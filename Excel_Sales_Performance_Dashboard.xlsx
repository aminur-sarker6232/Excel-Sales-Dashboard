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minu\Downloads\"/>
    </mc:Choice>
  </mc:AlternateContent>
  <xr:revisionPtr revIDLastSave="0" documentId="13_ncr:1_{70F0749D-81A3-4DC9-B13B-D9643CA44347}" xr6:coauthVersionLast="47" xr6:coauthVersionMax="47" xr10:uidLastSave="{00000000-0000-0000-0000-000000000000}"/>
  <bookViews>
    <workbookView xWindow="-108" yWindow="-108" windowWidth="23256" windowHeight="12456" firstSheet="8" activeTab="13" xr2:uid="{00000000-000D-0000-FFFF-FFFF00000000}"/>
  </bookViews>
  <sheets>
    <sheet name="Region Analysis" sheetId="4" r:id="rId1"/>
    <sheet name="Sales Rep Analysis" sheetId="5" r:id="rId2"/>
    <sheet name="Product Category Analysis" sheetId="6" r:id="rId3"/>
    <sheet name="Customer type analysis" sheetId="8" r:id="rId4"/>
    <sheet name="Sales Channel Analysis" sheetId="9" r:id="rId5"/>
    <sheet name="Discount Analysis" sheetId="12" r:id="rId6"/>
    <sheet name="Loss profit anlaysis" sheetId="16" r:id="rId7"/>
    <sheet name="profit status vs discount" sheetId="17" r:id="rId8"/>
    <sheet name="Effective Margin Analysis" sheetId="18" r:id="rId9"/>
    <sheet name="Payment Method Analysis" sheetId="19" r:id="rId10"/>
    <sheet name="Trend" sheetId="20" r:id="rId11"/>
    <sheet name="sales_data_Excel work" sheetId="1" r:id="rId12"/>
    <sheet name="KPI" sheetId="2" r:id="rId13"/>
    <sheet name="DashBoard" sheetId="23" r:id="rId14"/>
  </sheets>
  <definedNames>
    <definedName name="Slicer_Customer_Type">#N/A</definedName>
    <definedName name="Slicer_Payment_Method">#N/A</definedName>
    <definedName name="Slicer_Product_Category">#N/A</definedName>
    <definedName name="Slicer_Profit">#N/A</definedName>
    <definedName name="Slicer_Profit_Status">#N/A</definedName>
    <definedName name="Slicer_Region">#N/A</definedName>
    <definedName name="Slicer_Sales_amount">#N/A</definedName>
    <definedName name="Slicer_Sales_Rep">#N/A</definedName>
    <definedName name="Slicer_Years">#N/A</definedName>
  </definedNames>
  <calcPr calcId="191029"/>
  <pivotCaches>
    <pivotCache cacheId="147" r:id="rId15"/>
  </pivotCaches>
  <fileRecoveryPr repairLoad="1"/>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2" l="1"/>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2" i="12"/>
  <c r="F2" i="20"/>
  <c r="F3" i="20"/>
  <c r="F4" i="20"/>
  <c r="F5" i="20"/>
  <c r="F6" i="20"/>
  <c r="F7" i="20"/>
  <c r="F8" i="20"/>
  <c r="F9" i="20"/>
  <c r="F10" i="20"/>
  <c r="F11" i="20"/>
  <c r="F12" i="20"/>
  <c r="F13" i="20"/>
  <c r="F14" i="20"/>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X9" i="1"/>
  <c r="X15" i="1"/>
  <c r="X23" i="1"/>
  <c r="X24" i="1"/>
  <c r="X25" i="1"/>
  <c r="X39" i="1"/>
  <c r="X40" i="1"/>
  <c r="X47" i="1"/>
  <c r="X49" i="1"/>
  <c r="X63" i="1"/>
  <c r="X64" i="1"/>
  <c r="X65" i="1"/>
  <c r="X79" i="1"/>
  <c r="X86" i="1"/>
  <c r="X87" i="1"/>
  <c r="X89" i="1"/>
  <c r="X97" i="1"/>
  <c r="X103" i="1"/>
  <c r="X104" i="1"/>
  <c r="X127" i="1"/>
  <c r="X129" i="1"/>
  <c r="X137" i="1"/>
  <c r="X143" i="1"/>
  <c r="X161" i="1"/>
  <c r="X167" i="1"/>
  <c r="X177" i="1"/>
  <c r="X189" i="1"/>
  <c r="X190" i="1"/>
  <c r="X200" i="1"/>
  <c r="X201" i="1"/>
  <c r="X207" i="1"/>
  <c r="X217" i="1"/>
  <c r="X225" i="1"/>
  <c r="X229" i="1"/>
  <c r="X230" i="1"/>
  <c r="X240" i="1"/>
  <c r="X241" i="1"/>
  <c r="X257" i="1"/>
  <c r="X264" i="1"/>
  <c r="X265" i="1"/>
  <c r="X269" i="1"/>
  <c r="X270" i="1"/>
  <c r="X280" i="1"/>
  <c r="X281" i="1"/>
  <c r="X289" i="1"/>
  <c r="X293" i="1"/>
  <c r="X303" i="1"/>
  <c r="X304" i="1"/>
  <c r="X305" i="1"/>
  <c r="X309" i="1"/>
  <c r="X320" i="1"/>
  <c r="X321" i="1"/>
  <c r="X328" i="1"/>
  <c r="X329" i="1"/>
  <c r="X333" i="1"/>
  <c r="X343" i="1"/>
  <c r="X344" i="1"/>
  <c r="X345" i="1"/>
  <c r="X353" i="1"/>
  <c r="X360" i="1"/>
  <c r="X367" i="1"/>
  <c r="X368" i="1"/>
  <c r="X369" i="1"/>
  <c r="X373" i="1"/>
  <c r="X383" i="1"/>
  <c r="X384" i="1"/>
  <c r="X385" i="1"/>
  <c r="X392" i="1"/>
  <c r="X393" i="1"/>
  <c r="X407" i="1"/>
  <c r="X408" i="1"/>
  <c r="X409" i="1"/>
  <c r="X417" i="1"/>
  <c r="X423" i="1"/>
  <c r="X424" i="1"/>
  <c r="X431" i="1"/>
  <c r="X432" i="1"/>
  <c r="X433" i="1"/>
  <c r="X447" i="1"/>
  <c r="X448" i="1"/>
  <c r="X449" i="1"/>
  <c r="X456" i="1"/>
  <c r="X457" i="1"/>
  <c r="X463" i="1"/>
  <c r="X471" i="1"/>
  <c r="X472" i="1"/>
  <c r="X473" i="1"/>
  <c r="X481" i="1"/>
  <c r="X487" i="1"/>
  <c r="X488" i="1"/>
  <c r="X495" i="1"/>
  <c r="X496" i="1"/>
  <c r="X497" i="1"/>
  <c r="X511" i="1"/>
  <c r="X512" i="1"/>
  <c r="X513" i="1"/>
  <c r="X521" i="1"/>
  <c r="X527" i="1"/>
  <c r="X535" i="1"/>
  <c r="X536" i="1"/>
  <c r="X537" i="1"/>
  <c r="X551" i="1"/>
  <c r="X552" i="1"/>
  <c r="X559" i="1"/>
  <c r="X561" i="1"/>
  <c r="X575" i="1"/>
  <c r="X576" i="1"/>
  <c r="X577" i="1"/>
  <c r="X591" i="1"/>
  <c r="X598" i="1"/>
  <c r="X599" i="1"/>
  <c r="X601" i="1"/>
  <c r="X609" i="1"/>
  <c r="X615" i="1"/>
  <c r="X616" i="1"/>
  <c r="X638" i="1"/>
  <c r="X639" i="1"/>
  <c r="X641" i="1"/>
  <c r="X649" i="1"/>
  <c r="X655" i="1"/>
  <c r="X673" i="1"/>
  <c r="X675" i="1"/>
  <c r="X677" i="1"/>
  <c r="X678" i="1"/>
  <c r="X687" i="1"/>
  <c r="X691" i="1"/>
  <c r="X703" i="1"/>
  <c r="X711" i="1"/>
  <c r="X715" i="1"/>
  <c r="X716" i="1"/>
  <c r="X717" i="1"/>
  <c r="X727" i="1"/>
  <c r="X731" i="1"/>
  <c r="X735" i="1"/>
  <c r="X751" i="1"/>
  <c r="X755" i="1"/>
  <c r="X756" i="1"/>
  <c r="X766" i="1"/>
  <c r="X767" i="1"/>
  <c r="X775" i="1"/>
  <c r="X779" i="1"/>
  <c r="X780" i="1"/>
  <c r="X781" i="1"/>
  <c r="X791" i="1"/>
  <c r="X795" i="1"/>
  <c r="X799" i="1"/>
  <c r="X815" i="1"/>
  <c r="X819" i="1"/>
  <c r="X820" i="1"/>
  <c r="X830" i="1"/>
  <c r="X831" i="1"/>
  <c r="X839" i="1"/>
  <c r="X843" i="1"/>
  <c r="X855" i="1"/>
  <c r="X859" i="1"/>
  <c r="X863" i="1"/>
  <c r="X869" i="1"/>
  <c r="X870" i="1"/>
  <c r="X879" i="1"/>
  <c r="X883" i="1"/>
  <c r="X895" i="1"/>
  <c r="X903" i="1"/>
  <c r="X907" i="1"/>
  <c r="X908" i="1"/>
  <c r="X919" i="1"/>
  <c r="X923" i="1"/>
  <c r="X927" i="1"/>
  <c r="X933" i="1"/>
  <c r="X934" i="1"/>
  <c r="X942" i="1"/>
  <c r="X943" i="1"/>
  <c r="X951" i="1"/>
  <c r="X952" i="1"/>
  <c r="X959" i="1"/>
  <c r="X960" i="1"/>
  <c r="X961" i="1"/>
  <c r="X967" i="1"/>
  <c r="X968" i="1"/>
  <c r="X969" i="1"/>
  <c r="X971" i="1"/>
  <c r="X975" i="1"/>
  <c r="X976" i="1"/>
  <c r="X977" i="1"/>
  <c r="X979" i="1"/>
  <c r="X980" i="1"/>
  <c r="X984" i="1"/>
  <c r="X985" i="1"/>
  <c r="X987" i="1"/>
  <c r="X993" i="1"/>
  <c r="X996" i="1"/>
  <c r="X997" i="1"/>
  <c r="X998" i="1"/>
  <c r="W2" i="1"/>
  <c r="X2" i="1" s="1"/>
  <c r="W3" i="1"/>
  <c r="X3" i="1" s="1"/>
  <c r="W4" i="1"/>
  <c r="X4" i="1" s="1"/>
  <c r="W5" i="1"/>
  <c r="X5" i="1" s="1"/>
  <c r="W6" i="1"/>
  <c r="X6" i="1" s="1"/>
  <c r="W7" i="1"/>
  <c r="X7" i="1" s="1"/>
  <c r="W8" i="1"/>
  <c r="X8" i="1" s="1"/>
  <c r="W9" i="1"/>
  <c r="W10" i="1"/>
  <c r="X10" i="1" s="1"/>
  <c r="W11" i="1"/>
  <c r="X11" i="1" s="1"/>
  <c r="W12" i="1"/>
  <c r="X12" i="1" s="1"/>
  <c r="W13" i="1"/>
  <c r="X13" i="1" s="1"/>
  <c r="W14" i="1"/>
  <c r="X14" i="1" s="1"/>
  <c r="W15" i="1"/>
  <c r="W16" i="1"/>
  <c r="X16" i="1" s="1"/>
  <c r="W17" i="1"/>
  <c r="X17" i="1" s="1"/>
  <c r="W18" i="1"/>
  <c r="X18" i="1" s="1"/>
  <c r="W19" i="1"/>
  <c r="X19" i="1" s="1"/>
  <c r="W20" i="1"/>
  <c r="X20" i="1" s="1"/>
  <c r="W21" i="1"/>
  <c r="X21" i="1" s="1"/>
  <c r="W22" i="1"/>
  <c r="X22" i="1" s="1"/>
  <c r="W23" i="1"/>
  <c r="W24" i="1"/>
  <c r="W25" i="1"/>
  <c r="W26" i="1"/>
  <c r="X26" i="1" s="1"/>
  <c r="W27" i="1"/>
  <c r="X27" i="1" s="1"/>
  <c r="W28" i="1"/>
  <c r="X28" i="1" s="1"/>
  <c r="W29" i="1"/>
  <c r="X29" i="1" s="1"/>
  <c r="W30" i="1"/>
  <c r="X30" i="1" s="1"/>
  <c r="W31" i="1"/>
  <c r="X31" i="1" s="1"/>
  <c r="W32" i="1"/>
  <c r="X32" i="1" s="1"/>
  <c r="W33" i="1"/>
  <c r="X33" i="1" s="1"/>
  <c r="W34" i="1"/>
  <c r="X34" i="1" s="1"/>
  <c r="W35" i="1"/>
  <c r="X35" i="1" s="1"/>
  <c r="W36" i="1"/>
  <c r="X36" i="1" s="1"/>
  <c r="W37" i="1"/>
  <c r="X37" i="1" s="1"/>
  <c r="W38" i="1"/>
  <c r="X38" i="1" s="1"/>
  <c r="W39" i="1"/>
  <c r="W40" i="1"/>
  <c r="W41" i="1"/>
  <c r="X41" i="1" s="1"/>
  <c r="W42" i="1"/>
  <c r="X42" i="1" s="1"/>
  <c r="W43" i="1"/>
  <c r="X43" i="1" s="1"/>
  <c r="W44" i="1"/>
  <c r="X44" i="1" s="1"/>
  <c r="W45" i="1"/>
  <c r="X45" i="1" s="1"/>
  <c r="W46" i="1"/>
  <c r="X46" i="1" s="1"/>
  <c r="W47" i="1"/>
  <c r="W48" i="1"/>
  <c r="X48" i="1" s="1"/>
  <c r="W49" i="1"/>
  <c r="W50" i="1"/>
  <c r="X50" i="1" s="1"/>
  <c r="W51" i="1"/>
  <c r="X51" i="1" s="1"/>
  <c r="W52" i="1"/>
  <c r="X52" i="1" s="1"/>
  <c r="W53" i="1"/>
  <c r="X53" i="1" s="1"/>
  <c r="W54" i="1"/>
  <c r="X54" i="1" s="1"/>
  <c r="W55" i="1"/>
  <c r="X55" i="1" s="1"/>
  <c r="W56" i="1"/>
  <c r="X56" i="1" s="1"/>
  <c r="W57" i="1"/>
  <c r="X57" i="1" s="1"/>
  <c r="W58" i="1"/>
  <c r="X58" i="1" s="1"/>
  <c r="W59" i="1"/>
  <c r="X59" i="1" s="1"/>
  <c r="W60" i="1"/>
  <c r="X60" i="1" s="1"/>
  <c r="W61" i="1"/>
  <c r="X61" i="1" s="1"/>
  <c r="W62" i="1"/>
  <c r="X62" i="1" s="1"/>
  <c r="W63" i="1"/>
  <c r="W64" i="1"/>
  <c r="W65" i="1"/>
  <c r="W66" i="1"/>
  <c r="X66" i="1" s="1"/>
  <c r="W67" i="1"/>
  <c r="X67" i="1" s="1"/>
  <c r="W68" i="1"/>
  <c r="X68" i="1" s="1"/>
  <c r="W69" i="1"/>
  <c r="X69" i="1" s="1"/>
  <c r="W70" i="1"/>
  <c r="X70" i="1" s="1"/>
  <c r="W71" i="1"/>
  <c r="X71" i="1" s="1"/>
  <c r="W72" i="1"/>
  <c r="X72" i="1" s="1"/>
  <c r="W73" i="1"/>
  <c r="X73" i="1" s="1"/>
  <c r="W74" i="1"/>
  <c r="X74" i="1" s="1"/>
  <c r="W75" i="1"/>
  <c r="X75" i="1" s="1"/>
  <c r="W76" i="1"/>
  <c r="X76" i="1" s="1"/>
  <c r="W77" i="1"/>
  <c r="X77" i="1" s="1"/>
  <c r="W78" i="1"/>
  <c r="X78" i="1" s="1"/>
  <c r="W79" i="1"/>
  <c r="W80" i="1"/>
  <c r="X80" i="1" s="1"/>
  <c r="W81" i="1"/>
  <c r="X81" i="1" s="1"/>
  <c r="W82" i="1"/>
  <c r="X82" i="1" s="1"/>
  <c r="W83" i="1"/>
  <c r="X83" i="1" s="1"/>
  <c r="W84" i="1"/>
  <c r="X84" i="1" s="1"/>
  <c r="W85" i="1"/>
  <c r="X85" i="1" s="1"/>
  <c r="W86" i="1"/>
  <c r="W87" i="1"/>
  <c r="W88" i="1"/>
  <c r="X88" i="1" s="1"/>
  <c r="W89" i="1"/>
  <c r="W90" i="1"/>
  <c r="X90" i="1" s="1"/>
  <c r="W91" i="1"/>
  <c r="X91" i="1" s="1"/>
  <c r="W92" i="1"/>
  <c r="X92" i="1" s="1"/>
  <c r="W93" i="1"/>
  <c r="X93" i="1" s="1"/>
  <c r="W94" i="1"/>
  <c r="X94" i="1" s="1"/>
  <c r="W95" i="1"/>
  <c r="X95" i="1" s="1"/>
  <c r="W96" i="1"/>
  <c r="X96" i="1" s="1"/>
  <c r="W97" i="1"/>
  <c r="W98" i="1"/>
  <c r="X98" i="1" s="1"/>
  <c r="W99" i="1"/>
  <c r="X99" i="1" s="1"/>
  <c r="W100" i="1"/>
  <c r="X100" i="1" s="1"/>
  <c r="W101" i="1"/>
  <c r="X101" i="1" s="1"/>
  <c r="W102" i="1"/>
  <c r="X102" i="1" s="1"/>
  <c r="W103" i="1"/>
  <c r="W104" i="1"/>
  <c r="W105" i="1"/>
  <c r="X105" i="1" s="1"/>
  <c r="W106" i="1"/>
  <c r="X106" i="1" s="1"/>
  <c r="W107" i="1"/>
  <c r="X107" i="1" s="1"/>
  <c r="W108" i="1"/>
  <c r="X108" i="1" s="1"/>
  <c r="W109" i="1"/>
  <c r="X109" i="1" s="1"/>
  <c r="W110" i="1"/>
  <c r="X110" i="1" s="1"/>
  <c r="W111" i="1"/>
  <c r="X111" i="1" s="1"/>
  <c r="W112" i="1"/>
  <c r="X112" i="1" s="1"/>
  <c r="W113" i="1"/>
  <c r="X113" i="1" s="1"/>
  <c r="W114" i="1"/>
  <c r="X114" i="1" s="1"/>
  <c r="W115" i="1"/>
  <c r="X115" i="1" s="1"/>
  <c r="W116" i="1"/>
  <c r="X116" i="1" s="1"/>
  <c r="W117" i="1"/>
  <c r="X117" i="1" s="1"/>
  <c r="W118" i="1"/>
  <c r="X118" i="1" s="1"/>
  <c r="W119" i="1"/>
  <c r="X119" i="1" s="1"/>
  <c r="W120" i="1"/>
  <c r="X120" i="1" s="1"/>
  <c r="W121" i="1"/>
  <c r="X121" i="1" s="1"/>
  <c r="W122" i="1"/>
  <c r="X122" i="1" s="1"/>
  <c r="W123" i="1"/>
  <c r="X123" i="1" s="1"/>
  <c r="W124" i="1"/>
  <c r="X124" i="1" s="1"/>
  <c r="W125" i="1"/>
  <c r="X125" i="1" s="1"/>
  <c r="W126" i="1"/>
  <c r="X126" i="1" s="1"/>
  <c r="W127" i="1"/>
  <c r="W128" i="1"/>
  <c r="X128" i="1" s="1"/>
  <c r="W129" i="1"/>
  <c r="W130" i="1"/>
  <c r="X130" i="1" s="1"/>
  <c r="W131" i="1"/>
  <c r="X131" i="1" s="1"/>
  <c r="W132" i="1"/>
  <c r="X132" i="1" s="1"/>
  <c r="W133" i="1"/>
  <c r="X133" i="1" s="1"/>
  <c r="W134" i="1"/>
  <c r="X134" i="1" s="1"/>
  <c r="W135" i="1"/>
  <c r="X135" i="1" s="1"/>
  <c r="W136" i="1"/>
  <c r="X136" i="1" s="1"/>
  <c r="W137" i="1"/>
  <c r="W138" i="1"/>
  <c r="X138" i="1" s="1"/>
  <c r="W139" i="1"/>
  <c r="X139" i="1" s="1"/>
  <c r="W140" i="1"/>
  <c r="X140" i="1" s="1"/>
  <c r="W141" i="1"/>
  <c r="X141" i="1" s="1"/>
  <c r="W142" i="1"/>
  <c r="X142" i="1" s="1"/>
  <c r="W143" i="1"/>
  <c r="W144" i="1"/>
  <c r="X144" i="1" s="1"/>
  <c r="W145" i="1"/>
  <c r="X145" i="1" s="1"/>
  <c r="W146" i="1"/>
  <c r="X146" i="1" s="1"/>
  <c r="W147" i="1"/>
  <c r="X147" i="1" s="1"/>
  <c r="W148" i="1"/>
  <c r="X148" i="1" s="1"/>
  <c r="W149" i="1"/>
  <c r="X149" i="1" s="1"/>
  <c r="W150" i="1"/>
  <c r="X150" i="1" s="1"/>
  <c r="W151" i="1"/>
  <c r="X151" i="1" s="1"/>
  <c r="W152" i="1"/>
  <c r="X152" i="1" s="1"/>
  <c r="W153" i="1"/>
  <c r="X153" i="1" s="1"/>
  <c r="W154" i="1"/>
  <c r="X154" i="1" s="1"/>
  <c r="W155" i="1"/>
  <c r="X155" i="1" s="1"/>
  <c r="W156" i="1"/>
  <c r="X156" i="1" s="1"/>
  <c r="W157" i="1"/>
  <c r="X157" i="1" s="1"/>
  <c r="W158" i="1"/>
  <c r="X158" i="1" s="1"/>
  <c r="W159" i="1"/>
  <c r="X159" i="1" s="1"/>
  <c r="W160" i="1"/>
  <c r="X160" i="1" s="1"/>
  <c r="W161" i="1"/>
  <c r="W162" i="1"/>
  <c r="X162" i="1" s="1"/>
  <c r="W163" i="1"/>
  <c r="X163" i="1" s="1"/>
  <c r="W164" i="1"/>
  <c r="X164" i="1" s="1"/>
  <c r="W165" i="1"/>
  <c r="X165" i="1" s="1"/>
  <c r="W166" i="1"/>
  <c r="X166" i="1" s="1"/>
  <c r="W167" i="1"/>
  <c r="W168" i="1"/>
  <c r="X168" i="1" s="1"/>
  <c r="W169" i="1"/>
  <c r="X169" i="1" s="1"/>
  <c r="W170" i="1"/>
  <c r="X170" i="1" s="1"/>
  <c r="W171" i="1"/>
  <c r="X171" i="1" s="1"/>
  <c r="W172" i="1"/>
  <c r="X172" i="1" s="1"/>
  <c r="W173" i="1"/>
  <c r="X173" i="1" s="1"/>
  <c r="W174" i="1"/>
  <c r="X174" i="1" s="1"/>
  <c r="W175" i="1"/>
  <c r="X175" i="1" s="1"/>
  <c r="W176" i="1"/>
  <c r="X176" i="1" s="1"/>
  <c r="W177" i="1"/>
  <c r="W178" i="1"/>
  <c r="X178" i="1" s="1"/>
  <c r="W179" i="1"/>
  <c r="X179" i="1" s="1"/>
  <c r="W180" i="1"/>
  <c r="X180" i="1" s="1"/>
  <c r="W181" i="1"/>
  <c r="X181" i="1" s="1"/>
  <c r="W182" i="1"/>
  <c r="X182" i="1" s="1"/>
  <c r="W183" i="1"/>
  <c r="X183" i="1" s="1"/>
  <c r="W184" i="1"/>
  <c r="X184" i="1" s="1"/>
  <c r="W185" i="1"/>
  <c r="X185" i="1" s="1"/>
  <c r="W186" i="1"/>
  <c r="X186" i="1" s="1"/>
  <c r="W187" i="1"/>
  <c r="X187" i="1" s="1"/>
  <c r="W188" i="1"/>
  <c r="X188" i="1" s="1"/>
  <c r="W189" i="1"/>
  <c r="W190" i="1"/>
  <c r="W191" i="1"/>
  <c r="X191" i="1" s="1"/>
  <c r="W192" i="1"/>
  <c r="X192" i="1" s="1"/>
  <c r="W193" i="1"/>
  <c r="X193" i="1" s="1"/>
  <c r="W194" i="1"/>
  <c r="X194" i="1" s="1"/>
  <c r="W195" i="1"/>
  <c r="X195" i="1" s="1"/>
  <c r="W196" i="1"/>
  <c r="X196" i="1" s="1"/>
  <c r="W197" i="1"/>
  <c r="X197" i="1" s="1"/>
  <c r="W198" i="1"/>
  <c r="X198" i="1" s="1"/>
  <c r="W199" i="1"/>
  <c r="X199" i="1" s="1"/>
  <c r="W200" i="1"/>
  <c r="W201" i="1"/>
  <c r="W202" i="1"/>
  <c r="X202" i="1" s="1"/>
  <c r="W203" i="1"/>
  <c r="X203" i="1" s="1"/>
  <c r="W204" i="1"/>
  <c r="X204" i="1" s="1"/>
  <c r="W205" i="1"/>
  <c r="X205" i="1" s="1"/>
  <c r="W206" i="1"/>
  <c r="X206" i="1" s="1"/>
  <c r="W207" i="1"/>
  <c r="W208" i="1"/>
  <c r="X208" i="1" s="1"/>
  <c r="W209" i="1"/>
  <c r="X209" i="1" s="1"/>
  <c r="W210" i="1"/>
  <c r="X210" i="1" s="1"/>
  <c r="W211" i="1"/>
  <c r="X211" i="1" s="1"/>
  <c r="W212" i="1"/>
  <c r="X212" i="1" s="1"/>
  <c r="W213" i="1"/>
  <c r="X213" i="1" s="1"/>
  <c r="W214" i="1"/>
  <c r="X214" i="1" s="1"/>
  <c r="W215" i="1"/>
  <c r="X215" i="1" s="1"/>
  <c r="W216" i="1"/>
  <c r="X216" i="1" s="1"/>
  <c r="W217" i="1"/>
  <c r="W218" i="1"/>
  <c r="X218" i="1" s="1"/>
  <c r="W219" i="1"/>
  <c r="X219" i="1" s="1"/>
  <c r="W220" i="1"/>
  <c r="X220" i="1" s="1"/>
  <c r="W221" i="1"/>
  <c r="X221" i="1" s="1"/>
  <c r="W222" i="1"/>
  <c r="X222" i="1" s="1"/>
  <c r="W223" i="1"/>
  <c r="X223" i="1" s="1"/>
  <c r="W224" i="1"/>
  <c r="X224" i="1" s="1"/>
  <c r="W225" i="1"/>
  <c r="W226" i="1"/>
  <c r="X226" i="1" s="1"/>
  <c r="W227" i="1"/>
  <c r="X227" i="1" s="1"/>
  <c r="W228" i="1"/>
  <c r="X228" i="1" s="1"/>
  <c r="W229" i="1"/>
  <c r="W230" i="1"/>
  <c r="W231" i="1"/>
  <c r="X231" i="1" s="1"/>
  <c r="W232" i="1"/>
  <c r="X232" i="1" s="1"/>
  <c r="W233" i="1"/>
  <c r="X233" i="1" s="1"/>
  <c r="W234" i="1"/>
  <c r="X234" i="1" s="1"/>
  <c r="W235" i="1"/>
  <c r="X235" i="1" s="1"/>
  <c r="W236" i="1"/>
  <c r="X236" i="1" s="1"/>
  <c r="W237" i="1"/>
  <c r="X237" i="1" s="1"/>
  <c r="W238" i="1"/>
  <c r="X238" i="1" s="1"/>
  <c r="W239" i="1"/>
  <c r="X239" i="1" s="1"/>
  <c r="W240" i="1"/>
  <c r="W241" i="1"/>
  <c r="W242" i="1"/>
  <c r="X242" i="1" s="1"/>
  <c r="W243" i="1"/>
  <c r="X243" i="1" s="1"/>
  <c r="W244" i="1"/>
  <c r="X244" i="1" s="1"/>
  <c r="W245" i="1"/>
  <c r="X245" i="1" s="1"/>
  <c r="W246" i="1"/>
  <c r="X246" i="1" s="1"/>
  <c r="W247" i="1"/>
  <c r="X247" i="1" s="1"/>
  <c r="W248" i="1"/>
  <c r="X248" i="1" s="1"/>
  <c r="W249" i="1"/>
  <c r="X249" i="1" s="1"/>
  <c r="W250" i="1"/>
  <c r="X250" i="1" s="1"/>
  <c r="W251" i="1"/>
  <c r="X251" i="1" s="1"/>
  <c r="W252" i="1"/>
  <c r="X252" i="1" s="1"/>
  <c r="W253" i="1"/>
  <c r="X253" i="1" s="1"/>
  <c r="W254" i="1"/>
  <c r="X254" i="1" s="1"/>
  <c r="W255" i="1"/>
  <c r="X255" i="1" s="1"/>
  <c r="W256" i="1"/>
  <c r="X256" i="1" s="1"/>
  <c r="W257" i="1"/>
  <c r="W258" i="1"/>
  <c r="X258" i="1" s="1"/>
  <c r="W259" i="1"/>
  <c r="X259" i="1" s="1"/>
  <c r="W260" i="1"/>
  <c r="X260" i="1" s="1"/>
  <c r="W261" i="1"/>
  <c r="X261" i="1" s="1"/>
  <c r="W262" i="1"/>
  <c r="X262" i="1" s="1"/>
  <c r="W263" i="1"/>
  <c r="X263" i="1" s="1"/>
  <c r="W264" i="1"/>
  <c r="W265" i="1"/>
  <c r="W266" i="1"/>
  <c r="X266" i="1" s="1"/>
  <c r="W267" i="1"/>
  <c r="X267" i="1" s="1"/>
  <c r="W268" i="1"/>
  <c r="X268" i="1" s="1"/>
  <c r="W269" i="1"/>
  <c r="W270" i="1"/>
  <c r="W271" i="1"/>
  <c r="X271" i="1" s="1"/>
  <c r="W272" i="1"/>
  <c r="X272" i="1" s="1"/>
  <c r="W273" i="1"/>
  <c r="X273" i="1" s="1"/>
  <c r="W274" i="1"/>
  <c r="X274" i="1" s="1"/>
  <c r="W275" i="1"/>
  <c r="X275" i="1" s="1"/>
  <c r="W276" i="1"/>
  <c r="X276" i="1" s="1"/>
  <c r="W277" i="1"/>
  <c r="X277" i="1" s="1"/>
  <c r="W278" i="1"/>
  <c r="X278" i="1" s="1"/>
  <c r="W279" i="1"/>
  <c r="X279" i="1" s="1"/>
  <c r="W280" i="1"/>
  <c r="W281" i="1"/>
  <c r="W282" i="1"/>
  <c r="X282" i="1" s="1"/>
  <c r="W283" i="1"/>
  <c r="X283" i="1" s="1"/>
  <c r="W284" i="1"/>
  <c r="X284" i="1" s="1"/>
  <c r="W285" i="1"/>
  <c r="X285" i="1" s="1"/>
  <c r="W286" i="1"/>
  <c r="X286" i="1" s="1"/>
  <c r="W287" i="1"/>
  <c r="X287" i="1" s="1"/>
  <c r="W288" i="1"/>
  <c r="X288" i="1" s="1"/>
  <c r="W289" i="1"/>
  <c r="W290" i="1"/>
  <c r="X290" i="1" s="1"/>
  <c r="W291" i="1"/>
  <c r="X291" i="1" s="1"/>
  <c r="W292" i="1"/>
  <c r="X292" i="1" s="1"/>
  <c r="W293" i="1"/>
  <c r="W294" i="1"/>
  <c r="X294" i="1" s="1"/>
  <c r="W295" i="1"/>
  <c r="X295" i="1" s="1"/>
  <c r="W296" i="1"/>
  <c r="X296" i="1" s="1"/>
  <c r="W297" i="1"/>
  <c r="X297" i="1" s="1"/>
  <c r="W298" i="1"/>
  <c r="X298" i="1" s="1"/>
  <c r="W299" i="1"/>
  <c r="X299" i="1" s="1"/>
  <c r="W300" i="1"/>
  <c r="X300" i="1" s="1"/>
  <c r="W301" i="1"/>
  <c r="X301" i="1" s="1"/>
  <c r="W302" i="1"/>
  <c r="X302" i="1" s="1"/>
  <c r="W303" i="1"/>
  <c r="W304" i="1"/>
  <c r="W305" i="1"/>
  <c r="W306" i="1"/>
  <c r="X306" i="1" s="1"/>
  <c r="W307" i="1"/>
  <c r="X307" i="1" s="1"/>
  <c r="W308" i="1"/>
  <c r="X308" i="1" s="1"/>
  <c r="W309" i="1"/>
  <c r="W310" i="1"/>
  <c r="X310" i="1" s="1"/>
  <c r="W311" i="1"/>
  <c r="X311" i="1" s="1"/>
  <c r="W312" i="1"/>
  <c r="X312" i="1" s="1"/>
  <c r="W313" i="1"/>
  <c r="X313" i="1" s="1"/>
  <c r="W314" i="1"/>
  <c r="X314" i="1" s="1"/>
  <c r="W315" i="1"/>
  <c r="X315" i="1" s="1"/>
  <c r="W316" i="1"/>
  <c r="X316" i="1" s="1"/>
  <c r="W317" i="1"/>
  <c r="X317" i="1" s="1"/>
  <c r="W318" i="1"/>
  <c r="X318" i="1" s="1"/>
  <c r="W319" i="1"/>
  <c r="X319" i="1" s="1"/>
  <c r="W320" i="1"/>
  <c r="W321" i="1"/>
  <c r="W322" i="1"/>
  <c r="X322" i="1" s="1"/>
  <c r="W323" i="1"/>
  <c r="X323" i="1" s="1"/>
  <c r="W324" i="1"/>
  <c r="X324" i="1" s="1"/>
  <c r="W325" i="1"/>
  <c r="X325" i="1" s="1"/>
  <c r="W326" i="1"/>
  <c r="X326" i="1" s="1"/>
  <c r="W327" i="1"/>
  <c r="X327" i="1" s="1"/>
  <c r="W328" i="1"/>
  <c r="W329" i="1"/>
  <c r="W330" i="1"/>
  <c r="X330" i="1" s="1"/>
  <c r="W331" i="1"/>
  <c r="X331" i="1" s="1"/>
  <c r="W332" i="1"/>
  <c r="X332" i="1" s="1"/>
  <c r="W333" i="1"/>
  <c r="W334" i="1"/>
  <c r="X334" i="1" s="1"/>
  <c r="W335" i="1"/>
  <c r="X335" i="1" s="1"/>
  <c r="W336" i="1"/>
  <c r="X336" i="1" s="1"/>
  <c r="W337" i="1"/>
  <c r="X337" i="1" s="1"/>
  <c r="W338" i="1"/>
  <c r="X338" i="1" s="1"/>
  <c r="W339" i="1"/>
  <c r="X339" i="1" s="1"/>
  <c r="W340" i="1"/>
  <c r="X340" i="1" s="1"/>
  <c r="W341" i="1"/>
  <c r="X341" i="1" s="1"/>
  <c r="W342" i="1"/>
  <c r="X342" i="1" s="1"/>
  <c r="W343" i="1"/>
  <c r="W344" i="1"/>
  <c r="W345" i="1"/>
  <c r="W346" i="1"/>
  <c r="X346" i="1" s="1"/>
  <c r="W347" i="1"/>
  <c r="X347" i="1" s="1"/>
  <c r="W348" i="1"/>
  <c r="X348" i="1" s="1"/>
  <c r="W349" i="1"/>
  <c r="X349" i="1" s="1"/>
  <c r="W350" i="1"/>
  <c r="X350" i="1" s="1"/>
  <c r="W351" i="1"/>
  <c r="X351" i="1" s="1"/>
  <c r="W352" i="1"/>
  <c r="X352" i="1" s="1"/>
  <c r="W353" i="1"/>
  <c r="W354" i="1"/>
  <c r="X354" i="1" s="1"/>
  <c r="W355" i="1"/>
  <c r="X355" i="1" s="1"/>
  <c r="W356" i="1"/>
  <c r="X356" i="1" s="1"/>
  <c r="W357" i="1"/>
  <c r="X357" i="1" s="1"/>
  <c r="W358" i="1"/>
  <c r="X358" i="1" s="1"/>
  <c r="W359" i="1"/>
  <c r="X359" i="1" s="1"/>
  <c r="W360" i="1"/>
  <c r="W361" i="1"/>
  <c r="X361" i="1" s="1"/>
  <c r="W362" i="1"/>
  <c r="X362" i="1" s="1"/>
  <c r="W363" i="1"/>
  <c r="X363" i="1" s="1"/>
  <c r="W364" i="1"/>
  <c r="X364" i="1" s="1"/>
  <c r="W365" i="1"/>
  <c r="X365" i="1" s="1"/>
  <c r="W366" i="1"/>
  <c r="X366" i="1" s="1"/>
  <c r="W367" i="1"/>
  <c r="W368" i="1"/>
  <c r="W369" i="1"/>
  <c r="W370" i="1"/>
  <c r="X370" i="1" s="1"/>
  <c r="W371" i="1"/>
  <c r="X371" i="1" s="1"/>
  <c r="W372" i="1"/>
  <c r="X372" i="1" s="1"/>
  <c r="W373" i="1"/>
  <c r="W374" i="1"/>
  <c r="X374" i="1" s="1"/>
  <c r="W375" i="1"/>
  <c r="X375" i="1" s="1"/>
  <c r="W376" i="1"/>
  <c r="X376" i="1" s="1"/>
  <c r="W377" i="1"/>
  <c r="X377" i="1" s="1"/>
  <c r="W378" i="1"/>
  <c r="X378" i="1" s="1"/>
  <c r="W379" i="1"/>
  <c r="X379" i="1" s="1"/>
  <c r="W380" i="1"/>
  <c r="X380" i="1" s="1"/>
  <c r="W381" i="1"/>
  <c r="X381" i="1" s="1"/>
  <c r="W382" i="1"/>
  <c r="X382" i="1" s="1"/>
  <c r="W383" i="1"/>
  <c r="W384" i="1"/>
  <c r="W385" i="1"/>
  <c r="W386" i="1"/>
  <c r="X386" i="1" s="1"/>
  <c r="W387" i="1"/>
  <c r="X387" i="1" s="1"/>
  <c r="W388" i="1"/>
  <c r="X388" i="1" s="1"/>
  <c r="W389" i="1"/>
  <c r="X389" i="1" s="1"/>
  <c r="W390" i="1"/>
  <c r="X390" i="1" s="1"/>
  <c r="W391" i="1"/>
  <c r="X391" i="1" s="1"/>
  <c r="W392" i="1"/>
  <c r="W393" i="1"/>
  <c r="W394" i="1"/>
  <c r="X394" i="1" s="1"/>
  <c r="W395" i="1"/>
  <c r="X395" i="1" s="1"/>
  <c r="W396" i="1"/>
  <c r="X396" i="1" s="1"/>
  <c r="W397" i="1"/>
  <c r="X397" i="1" s="1"/>
  <c r="W398" i="1"/>
  <c r="X398" i="1" s="1"/>
  <c r="W399" i="1"/>
  <c r="X399" i="1" s="1"/>
  <c r="W400" i="1"/>
  <c r="X400" i="1" s="1"/>
  <c r="W401" i="1"/>
  <c r="X401" i="1" s="1"/>
  <c r="W402" i="1"/>
  <c r="X402" i="1" s="1"/>
  <c r="W403" i="1"/>
  <c r="X403" i="1" s="1"/>
  <c r="W404" i="1"/>
  <c r="X404" i="1" s="1"/>
  <c r="W405" i="1"/>
  <c r="X405" i="1" s="1"/>
  <c r="W406" i="1"/>
  <c r="X406" i="1" s="1"/>
  <c r="W407" i="1"/>
  <c r="W408" i="1"/>
  <c r="W409" i="1"/>
  <c r="W410" i="1"/>
  <c r="X410" i="1" s="1"/>
  <c r="W411" i="1"/>
  <c r="X411" i="1" s="1"/>
  <c r="W412" i="1"/>
  <c r="X412" i="1" s="1"/>
  <c r="W413" i="1"/>
  <c r="X413" i="1" s="1"/>
  <c r="W414" i="1"/>
  <c r="X414" i="1" s="1"/>
  <c r="W415" i="1"/>
  <c r="X415" i="1" s="1"/>
  <c r="W416" i="1"/>
  <c r="X416" i="1" s="1"/>
  <c r="W417" i="1"/>
  <c r="W418" i="1"/>
  <c r="X418" i="1" s="1"/>
  <c r="W419" i="1"/>
  <c r="X419" i="1" s="1"/>
  <c r="W420" i="1"/>
  <c r="X420" i="1" s="1"/>
  <c r="W421" i="1"/>
  <c r="X421" i="1" s="1"/>
  <c r="W422" i="1"/>
  <c r="X422" i="1" s="1"/>
  <c r="W423" i="1"/>
  <c r="W424" i="1"/>
  <c r="W425" i="1"/>
  <c r="X425" i="1" s="1"/>
  <c r="W426" i="1"/>
  <c r="X426" i="1" s="1"/>
  <c r="W427" i="1"/>
  <c r="X427" i="1" s="1"/>
  <c r="W428" i="1"/>
  <c r="X428" i="1" s="1"/>
  <c r="W429" i="1"/>
  <c r="X429" i="1" s="1"/>
  <c r="W430" i="1"/>
  <c r="X430" i="1" s="1"/>
  <c r="W431" i="1"/>
  <c r="W432" i="1"/>
  <c r="W433" i="1"/>
  <c r="W434" i="1"/>
  <c r="X434" i="1" s="1"/>
  <c r="W435" i="1"/>
  <c r="X435" i="1" s="1"/>
  <c r="W436" i="1"/>
  <c r="X436" i="1" s="1"/>
  <c r="W437" i="1"/>
  <c r="X437" i="1" s="1"/>
  <c r="W438" i="1"/>
  <c r="X438" i="1" s="1"/>
  <c r="W439" i="1"/>
  <c r="X439" i="1" s="1"/>
  <c r="W440" i="1"/>
  <c r="X440" i="1" s="1"/>
  <c r="W441" i="1"/>
  <c r="X441" i="1" s="1"/>
  <c r="W442" i="1"/>
  <c r="X442" i="1" s="1"/>
  <c r="W443" i="1"/>
  <c r="X443" i="1" s="1"/>
  <c r="W444" i="1"/>
  <c r="X444" i="1" s="1"/>
  <c r="W445" i="1"/>
  <c r="X445" i="1" s="1"/>
  <c r="W446" i="1"/>
  <c r="X446" i="1" s="1"/>
  <c r="W447" i="1"/>
  <c r="W448" i="1"/>
  <c r="W449" i="1"/>
  <c r="W450" i="1"/>
  <c r="X450" i="1" s="1"/>
  <c r="W451" i="1"/>
  <c r="X451" i="1" s="1"/>
  <c r="W452" i="1"/>
  <c r="X452" i="1" s="1"/>
  <c r="W453" i="1"/>
  <c r="X453" i="1" s="1"/>
  <c r="W454" i="1"/>
  <c r="X454" i="1" s="1"/>
  <c r="W455" i="1"/>
  <c r="X455" i="1" s="1"/>
  <c r="W456" i="1"/>
  <c r="W457" i="1"/>
  <c r="W458" i="1"/>
  <c r="X458" i="1" s="1"/>
  <c r="W459" i="1"/>
  <c r="X459" i="1" s="1"/>
  <c r="W460" i="1"/>
  <c r="X460" i="1" s="1"/>
  <c r="W461" i="1"/>
  <c r="X461" i="1" s="1"/>
  <c r="W462" i="1"/>
  <c r="X462" i="1" s="1"/>
  <c r="W463" i="1"/>
  <c r="W464" i="1"/>
  <c r="X464" i="1" s="1"/>
  <c r="W465" i="1"/>
  <c r="X465" i="1" s="1"/>
  <c r="W466" i="1"/>
  <c r="X466" i="1" s="1"/>
  <c r="W467" i="1"/>
  <c r="X467" i="1" s="1"/>
  <c r="W468" i="1"/>
  <c r="X468" i="1" s="1"/>
  <c r="W469" i="1"/>
  <c r="X469" i="1" s="1"/>
  <c r="W470" i="1"/>
  <c r="X470" i="1" s="1"/>
  <c r="W471" i="1"/>
  <c r="W472" i="1"/>
  <c r="W473" i="1"/>
  <c r="W474" i="1"/>
  <c r="X474" i="1" s="1"/>
  <c r="W475" i="1"/>
  <c r="X475" i="1" s="1"/>
  <c r="W476" i="1"/>
  <c r="X476" i="1" s="1"/>
  <c r="W477" i="1"/>
  <c r="X477" i="1" s="1"/>
  <c r="W478" i="1"/>
  <c r="X478" i="1" s="1"/>
  <c r="W479" i="1"/>
  <c r="X479" i="1" s="1"/>
  <c r="W480" i="1"/>
  <c r="X480" i="1" s="1"/>
  <c r="W481" i="1"/>
  <c r="W482" i="1"/>
  <c r="X482" i="1" s="1"/>
  <c r="W483" i="1"/>
  <c r="X483" i="1" s="1"/>
  <c r="W484" i="1"/>
  <c r="X484" i="1" s="1"/>
  <c r="W485" i="1"/>
  <c r="X485" i="1" s="1"/>
  <c r="W486" i="1"/>
  <c r="X486" i="1" s="1"/>
  <c r="W487" i="1"/>
  <c r="W488" i="1"/>
  <c r="W489" i="1"/>
  <c r="X489" i="1" s="1"/>
  <c r="W490" i="1"/>
  <c r="X490" i="1" s="1"/>
  <c r="W491" i="1"/>
  <c r="X491" i="1" s="1"/>
  <c r="W492" i="1"/>
  <c r="X492" i="1" s="1"/>
  <c r="W493" i="1"/>
  <c r="X493" i="1" s="1"/>
  <c r="W494" i="1"/>
  <c r="X494" i="1" s="1"/>
  <c r="W495" i="1"/>
  <c r="W496" i="1"/>
  <c r="W497" i="1"/>
  <c r="W498" i="1"/>
  <c r="X498" i="1" s="1"/>
  <c r="W499" i="1"/>
  <c r="X499" i="1" s="1"/>
  <c r="W500" i="1"/>
  <c r="X500" i="1" s="1"/>
  <c r="W501" i="1"/>
  <c r="X501" i="1" s="1"/>
  <c r="W502" i="1"/>
  <c r="X502" i="1" s="1"/>
  <c r="W503" i="1"/>
  <c r="X503" i="1" s="1"/>
  <c r="W504" i="1"/>
  <c r="X504" i="1" s="1"/>
  <c r="W505" i="1"/>
  <c r="X505" i="1" s="1"/>
  <c r="W506" i="1"/>
  <c r="X506" i="1" s="1"/>
  <c r="W507" i="1"/>
  <c r="X507" i="1" s="1"/>
  <c r="W508" i="1"/>
  <c r="X508" i="1" s="1"/>
  <c r="W509" i="1"/>
  <c r="X509" i="1" s="1"/>
  <c r="W510" i="1"/>
  <c r="X510" i="1" s="1"/>
  <c r="W511" i="1"/>
  <c r="W512" i="1"/>
  <c r="W513" i="1"/>
  <c r="W514" i="1"/>
  <c r="X514" i="1" s="1"/>
  <c r="W515" i="1"/>
  <c r="X515" i="1" s="1"/>
  <c r="W516" i="1"/>
  <c r="X516" i="1" s="1"/>
  <c r="W517" i="1"/>
  <c r="X517" i="1" s="1"/>
  <c r="W518" i="1"/>
  <c r="X518" i="1" s="1"/>
  <c r="W519" i="1"/>
  <c r="X519" i="1" s="1"/>
  <c r="W520" i="1"/>
  <c r="X520" i="1" s="1"/>
  <c r="W521" i="1"/>
  <c r="W522" i="1"/>
  <c r="X522" i="1" s="1"/>
  <c r="W523" i="1"/>
  <c r="X523" i="1" s="1"/>
  <c r="W524" i="1"/>
  <c r="X524" i="1" s="1"/>
  <c r="W525" i="1"/>
  <c r="X525" i="1" s="1"/>
  <c r="W526" i="1"/>
  <c r="X526" i="1" s="1"/>
  <c r="W527" i="1"/>
  <c r="W528" i="1"/>
  <c r="X528" i="1" s="1"/>
  <c r="W529" i="1"/>
  <c r="X529" i="1" s="1"/>
  <c r="W530" i="1"/>
  <c r="X530" i="1" s="1"/>
  <c r="W531" i="1"/>
  <c r="X531" i="1" s="1"/>
  <c r="W532" i="1"/>
  <c r="X532" i="1" s="1"/>
  <c r="W533" i="1"/>
  <c r="X533" i="1" s="1"/>
  <c r="W534" i="1"/>
  <c r="X534" i="1" s="1"/>
  <c r="W535" i="1"/>
  <c r="W536" i="1"/>
  <c r="W537" i="1"/>
  <c r="W538" i="1"/>
  <c r="X538" i="1" s="1"/>
  <c r="W539" i="1"/>
  <c r="X539" i="1" s="1"/>
  <c r="W540" i="1"/>
  <c r="X540" i="1" s="1"/>
  <c r="W541" i="1"/>
  <c r="X541" i="1" s="1"/>
  <c r="W542" i="1"/>
  <c r="X542" i="1" s="1"/>
  <c r="W543" i="1"/>
  <c r="X543" i="1" s="1"/>
  <c r="W544" i="1"/>
  <c r="X544" i="1" s="1"/>
  <c r="W545" i="1"/>
  <c r="X545" i="1" s="1"/>
  <c r="W546" i="1"/>
  <c r="X546" i="1" s="1"/>
  <c r="W547" i="1"/>
  <c r="X547" i="1" s="1"/>
  <c r="W548" i="1"/>
  <c r="X548" i="1" s="1"/>
  <c r="W549" i="1"/>
  <c r="X549" i="1" s="1"/>
  <c r="W550" i="1"/>
  <c r="X550" i="1" s="1"/>
  <c r="W551" i="1"/>
  <c r="W552" i="1"/>
  <c r="W553" i="1"/>
  <c r="X553" i="1" s="1"/>
  <c r="W554" i="1"/>
  <c r="X554" i="1" s="1"/>
  <c r="W555" i="1"/>
  <c r="X555" i="1" s="1"/>
  <c r="W556" i="1"/>
  <c r="X556" i="1" s="1"/>
  <c r="W557" i="1"/>
  <c r="X557" i="1" s="1"/>
  <c r="W558" i="1"/>
  <c r="X558" i="1" s="1"/>
  <c r="W559" i="1"/>
  <c r="W560" i="1"/>
  <c r="X560" i="1" s="1"/>
  <c r="W561" i="1"/>
  <c r="W562" i="1"/>
  <c r="X562" i="1" s="1"/>
  <c r="W563" i="1"/>
  <c r="X563" i="1" s="1"/>
  <c r="W564" i="1"/>
  <c r="X564" i="1" s="1"/>
  <c r="W565" i="1"/>
  <c r="X565" i="1" s="1"/>
  <c r="W566" i="1"/>
  <c r="X566" i="1" s="1"/>
  <c r="W567" i="1"/>
  <c r="X567" i="1" s="1"/>
  <c r="W568" i="1"/>
  <c r="X568" i="1" s="1"/>
  <c r="W569" i="1"/>
  <c r="X569" i="1" s="1"/>
  <c r="W570" i="1"/>
  <c r="X570" i="1" s="1"/>
  <c r="W571" i="1"/>
  <c r="X571" i="1" s="1"/>
  <c r="W572" i="1"/>
  <c r="X572" i="1" s="1"/>
  <c r="W573" i="1"/>
  <c r="X573" i="1" s="1"/>
  <c r="W574" i="1"/>
  <c r="X574" i="1" s="1"/>
  <c r="W575" i="1"/>
  <c r="W576" i="1"/>
  <c r="W577" i="1"/>
  <c r="W578" i="1"/>
  <c r="X578" i="1" s="1"/>
  <c r="W579" i="1"/>
  <c r="X579" i="1" s="1"/>
  <c r="W580" i="1"/>
  <c r="X580" i="1" s="1"/>
  <c r="W581" i="1"/>
  <c r="X581" i="1" s="1"/>
  <c r="W582" i="1"/>
  <c r="X582" i="1" s="1"/>
  <c r="W583" i="1"/>
  <c r="X583" i="1" s="1"/>
  <c r="W584" i="1"/>
  <c r="X584" i="1" s="1"/>
  <c r="W585" i="1"/>
  <c r="X585" i="1" s="1"/>
  <c r="W586" i="1"/>
  <c r="X586" i="1" s="1"/>
  <c r="W587" i="1"/>
  <c r="X587" i="1" s="1"/>
  <c r="W588" i="1"/>
  <c r="X588" i="1" s="1"/>
  <c r="W589" i="1"/>
  <c r="X589" i="1" s="1"/>
  <c r="W590" i="1"/>
  <c r="X590" i="1" s="1"/>
  <c r="W591" i="1"/>
  <c r="W592" i="1"/>
  <c r="X592" i="1" s="1"/>
  <c r="W593" i="1"/>
  <c r="X593" i="1" s="1"/>
  <c r="W594" i="1"/>
  <c r="X594" i="1" s="1"/>
  <c r="W595" i="1"/>
  <c r="X595" i="1" s="1"/>
  <c r="W596" i="1"/>
  <c r="X596" i="1" s="1"/>
  <c r="W597" i="1"/>
  <c r="X597" i="1" s="1"/>
  <c r="W598" i="1"/>
  <c r="W599" i="1"/>
  <c r="W600" i="1"/>
  <c r="X600" i="1" s="1"/>
  <c r="W601" i="1"/>
  <c r="W602" i="1"/>
  <c r="X602" i="1" s="1"/>
  <c r="W603" i="1"/>
  <c r="X603" i="1" s="1"/>
  <c r="W604" i="1"/>
  <c r="X604" i="1" s="1"/>
  <c r="W605" i="1"/>
  <c r="X605" i="1" s="1"/>
  <c r="W606" i="1"/>
  <c r="X606" i="1" s="1"/>
  <c r="W607" i="1"/>
  <c r="X607" i="1" s="1"/>
  <c r="W608" i="1"/>
  <c r="X608" i="1" s="1"/>
  <c r="W609" i="1"/>
  <c r="W610" i="1"/>
  <c r="X610" i="1" s="1"/>
  <c r="W611" i="1"/>
  <c r="X611" i="1" s="1"/>
  <c r="W612" i="1"/>
  <c r="X612" i="1" s="1"/>
  <c r="W613" i="1"/>
  <c r="X613" i="1" s="1"/>
  <c r="W614" i="1"/>
  <c r="X614" i="1" s="1"/>
  <c r="W615" i="1"/>
  <c r="W616" i="1"/>
  <c r="W617" i="1"/>
  <c r="X617" i="1" s="1"/>
  <c r="W618" i="1"/>
  <c r="X618" i="1" s="1"/>
  <c r="W619" i="1"/>
  <c r="X619" i="1" s="1"/>
  <c r="W620" i="1"/>
  <c r="X620" i="1" s="1"/>
  <c r="W621" i="1"/>
  <c r="X621" i="1" s="1"/>
  <c r="W622" i="1"/>
  <c r="X622" i="1" s="1"/>
  <c r="W623" i="1"/>
  <c r="X623" i="1" s="1"/>
  <c r="W624" i="1"/>
  <c r="X624" i="1" s="1"/>
  <c r="W625" i="1"/>
  <c r="X625" i="1" s="1"/>
  <c r="W626" i="1"/>
  <c r="X626" i="1" s="1"/>
  <c r="W627" i="1"/>
  <c r="X627" i="1" s="1"/>
  <c r="W628" i="1"/>
  <c r="X628" i="1" s="1"/>
  <c r="W629" i="1"/>
  <c r="X629" i="1" s="1"/>
  <c r="W630" i="1"/>
  <c r="X630" i="1" s="1"/>
  <c r="W631" i="1"/>
  <c r="X631" i="1" s="1"/>
  <c r="W632" i="1"/>
  <c r="X632" i="1" s="1"/>
  <c r="W633" i="1"/>
  <c r="X633" i="1" s="1"/>
  <c r="W634" i="1"/>
  <c r="X634" i="1" s="1"/>
  <c r="W635" i="1"/>
  <c r="X635" i="1" s="1"/>
  <c r="W636" i="1"/>
  <c r="X636" i="1" s="1"/>
  <c r="W637" i="1"/>
  <c r="X637" i="1" s="1"/>
  <c r="W638" i="1"/>
  <c r="W639" i="1"/>
  <c r="W640" i="1"/>
  <c r="X640" i="1" s="1"/>
  <c r="W641" i="1"/>
  <c r="W642" i="1"/>
  <c r="X642" i="1" s="1"/>
  <c r="W643" i="1"/>
  <c r="X643" i="1" s="1"/>
  <c r="W644" i="1"/>
  <c r="X644" i="1" s="1"/>
  <c r="W645" i="1"/>
  <c r="X645" i="1" s="1"/>
  <c r="W646" i="1"/>
  <c r="X646" i="1" s="1"/>
  <c r="W647" i="1"/>
  <c r="X647" i="1" s="1"/>
  <c r="W648" i="1"/>
  <c r="X648" i="1" s="1"/>
  <c r="W649" i="1"/>
  <c r="W650" i="1"/>
  <c r="X650" i="1" s="1"/>
  <c r="W651" i="1"/>
  <c r="X651" i="1" s="1"/>
  <c r="W652" i="1"/>
  <c r="X652" i="1" s="1"/>
  <c r="W653" i="1"/>
  <c r="X653" i="1" s="1"/>
  <c r="W654" i="1"/>
  <c r="X654" i="1" s="1"/>
  <c r="W655" i="1"/>
  <c r="W656" i="1"/>
  <c r="X656" i="1" s="1"/>
  <c r="W657" i="1"/>
  <c r="X657" i="1" s="1"/>
  <c r="W658" i="1"/>
  <c r="X658" i="1" s="1"/>
  <c r="W659" i="1"/>
  <c r="X659" i="1" s="1"/>
  <c r="W660" i="1"/>
  <c r="X660" i="1" s="1"/>
  <c r="W661" i="1"/>
  <c r="X661" i="1" s="1"/>
  <c r="W662" i="1"/>
  <c r="X662" i="1" s="1"/>
  <c r="W663" i="1"/>
  <c r="X663" i="1" s="1"/>
  <c r="W664" i="1"/>
  <c r="X664" i="1" s="1"/>
  <c r="W665" i="1"/>
  <c r="X665" i="1" s="1"/>
  <c r="W666" i="1"/>
  <c r="X666" i="1" s="1"/>
  <c r="W667" i="1"/>
  <c r="X667" i="1" s="1"/>
  <c r="W668" i="1"/>
  <c r="X668" i="1" s="1"/>
  <c r="W669" i="1"/>
  <c r="X669" i="1" s="1"/>
  <c r="W670" i="1"/>
  <c r="X670" i="1" s="1"/>
  <c r="W671" i="1"/>
  <c r="X671" i="1" s="1"/>
  <c r="W672" i="1"/>
  <c r="X672" i="1" s="1"/>
  <c r="W673" i="1"/>
  <c r="W674" i="1"/>
  <c r="X674" i="1" s="1"/>
  <c r="W675" i="1"/>
  <c r="W676" i="1"/>
  <c r="X676" i="1" s="1"/>
  <c r="W677" i="1"/>
  <c r="W678" i="1"/>
  <c r="W679" i="1"/>
  <c r="X679" i="1" s="1"/>
  <c r="W680" i="1"/>
  <c r="X680" i="1" s="1"/>
  <c r="W681" i="1"/>
  <c r="X681" i="1" s="1"/>
  <c r="W682" i="1"/>
  <c r="X682" i="1" s="1"/>
  <c r="W683" i="1"/>
  <c r="X683" i="1" s="1"/>
  <c r="W684" i="1"/>
  <c r="X684" i="1" s="1"/>
  <c r="W685" i="1"/>
  <c r="X685" i="1" s="1"/>
  <c r="W686" i="1"/>
  <c r="X686" i="1" s="1"/>
  <c r="W687" i="1"/>
  <c r="W688" i="1"/>
  <c r="X688" i="1" s="1"/>
  <c r="W689" i="1"/>
  <c r="X689" i="1" s="1"/>
  <c r="W690" i="1"/>
  <c r="X690" i="1" s="1"/>
  <c r="W691" i="1"/>
  <c r="W692" i="1"/>
  <c r="X692" i="1" s="1"/>
  <c r="W693" i="1"/>
  <c r="X693" i="1" s="1"/>
  <c r="W694" i="1"/>
  <c r="X694" i="1" s="1"/>
  <c r="W695" i="1"/>
  <c r="X695" i="1" s="1"/>
  <c r="W696" i="1"/>
  <c r="X696" i="1" s="1"/>
  <c r="W697" i="1"/>
  <c r="X697" i="1" s="1"/>
  <c r="W698" i="1"/>
  <c r="X698" i="1" s="1"/>
  <c r="W699" i="1"/>
  <c r="X699" i="1" s="1"/>
  <c r="W700" i="1"/>
  <c r="X700" i="1" s="1"/>
  <c r="W701" i="1"/>
  <c r="X701" i="1" s="1"/>
  <c r="W702" i="1"/>
  <c r="X702" i="1" s="1"/>
  <c r="W703" i="1"/>
  <c r="W704" i="1"/>
  <c r="X704" i="1" s="1"/>
  <c r="W705" i="1"/>
  <c r="X705" i="1" s="1"/>
  <c r="W706" i="1"/>
  <c r="X706" i="1" s="1"/>
  <c r="W707" i="1"/>
  <c r="X707" i="1" s="1"/>
  <c r="W708" i="1"/>
  <c r="X708" i="1" s="1"/>
  <c r="W709" i="1"/>
  <c r="X709" i="1" s="1"/>
  <c r="W710" i="1"/>
  <c r="X710" i="1" s="1"/>
  <c r="W711" i="1"/>
  <c r="W712" i="1"/>
  <c r="X712" i="1" s="1"/>
  <c r="W713" i="1"/>
  <c r="X713" i="1" s="1"/>
  <c r="W714" i="1"/>
  <c r="X714" i="1" s="1"/>
  <c r="W715" i="1"/>
  <c r="W716" i="1"/>
  <c r="W717" i="1"/>
  <c r="W718" i="1"/>
  <c r="X718" i="1" s="1"/>
  <c r="W719" i="1"/>
  <c r="X719" i="1" s="1"/>
  <c r="W720" i="1"/>
  <c r="X720" i="1" s="1"/>
  <c r="W721" i="1"/>
  <c r="X721" i="1" s="1"/>
  <c r="W722" i="1"/>
  <c r="X722" i="1" s="1"/>
  <c r="W723" i="1"/>
  <c r="X723" i="1" s="1"/>
  <c r="W724" i="1"/>
  <c r="X724" i="1" s="1"/>
  <c r="W725" i="1"/>
  <c r="X725" i="1" s="1"/>
  <c r="W726" i="1"/>
  <c r="X726" i="1" s="1"/>
  <c r="W727" i="1"/>
  <c r="W728" i="1"/>
  <c r="X728" i="1" s="1"/>
  <c r="W729" i="1"/>
  <c r="X729" i="1" s="1"/>
  <c r="W730" i="1"/>
  <c r="X730" i="1" s="1"/>
  <c r="W731" i="1"/>
  <c r="W732" i="1"/>
  <c r="X732" i="1" s="1"/>
  <c r="W733" i="1"/>
  <c r="X733" i="1" s="1"/>
  <c r="W734" i="1"/>
  <c r="X734" i="1" s="1"/>
  <c r="W735" i="1"/>
  <c r="W736" i="1"/>
  <c r="X736" i="1" s="1"/>
  <c r="W737" i="1"/>
  <c r="X737" i="1" s="1"/>
  <c r="W738" i="1"/>
  <c r="X738" i="1" s="1"/>
  <c r="W739" i="1"/>
  <c r="X739" i="1" s="1"/>
  <c r="W740" i="1"/>
  <c r="X740" i="1" s="1"/>
  <c r="W741" i="1"/>
  <c r="X741" i="1" s="1"/>
  <c r="W742" i="1"/>
  <c r="X742" i="1" s="1"/>
  <c r="W743" i="1"/>
  <c r="X743" i="1" s="1"/>
  <c r="W744" i="1"/>
  <c r="X744" i="1" s="1"/>
  <c r="W745" i="1"/>
  <c r="X745" i="1" s="1"/>
  <c r="W746" i="1"/>
  <c r="X746" i="1" s="1"/>
  <c r="W747" i="1"/>
  <c r="X747" i="1" s="1"/>
  <c r="W748" i="1"/>
  <c r="X748" i="1" s="1"/>
  <c r="W749" i="1"/>
  <c r="X749" i="1" s="1"/>
  <c r="W750" i="1"/>
  <c r="X750" i="1" s="1"/>
  <c r="W751" i="1"/>
  <c r="W752" i="1"/>
  <c r="X752" i="1" s="1"/>
  <c r="W753" i="1"/>
  <c r="X753" i="1" s="1"/>
  <c r="W754" i="1"/>
  <c r="X754" i="1" s="1"/>
  <c r="W755" i="1"/>
  <c r="W756" i="1"/>
  <c r="W757" i="1"/>
  <c r="X757" i="1" s="1"/>
  <c r="W758" i="1"/>
  <c r="X758" i="1" s="1"/>
  <c r="W759" i="1"/>
  <c r="X759" i="1" s="1"/>
  <c r="W760" i="1"/>
  <c r="X760" i="1" s="1"/>
  <c r="W761" i="1"/>
  <c r="X761" i="1" s="1"/>
  <c r="W762" i="1"/>
  <c r="X762" i="1" s="1"/>
  <c r="W763" i="1"/>
  <c r="X763" i="1" s="1"/>
  <c r="W764" i="1"/>
  <c r="X764" i="1" s="1"/>
  <c r="W765" i="1"/>
  <c r="X765" i="1" s="1"/>
  <c r="W766" i="1"/>
  <c r="W767" i="1"/>
  <c r="W768" i="1"/>
  <c r="X768" i="1" s="1"/>
  <c r="W769" i="1"/>
  <c r="X769" i="1" s="1"/>
  <c r="W770" i="1"/>
  <c r="X770" i="1" s="1"/>
  <c r="W771" i="1"/>
  <c r="X771" i="1" s="1"/>
  <c r="W772" i="1"/>
  <c r="X772" i="1" s="1"/>
  <c r="W773" i="1"/>
  <c r="X773" i="1" s="1"/>
  <c r="W774" i="1"/>
  <c r="X774" i="1" s="1"/>
  <c r="W775" i="1"/>
  <c r="W776" i="1"/>
  <c r="X776" i="1" s="1"/>
  <c r="W777" i="1"/>
  <c r="X777" i="1" s="1"/>
  <c r="W778" i="1"/>
  <c r="X778" i="1" s="1"/>
  <c r="W779" i="1"/>
  <c r="W780" i="1"/>
  <c r="W781" i="1"/>
  <c r="W782" i="1"/>
  <c r="X782" i="1" s="1"/>
  <c r="W783" i="1"/>
  <c r="X783" i="1" s="1"/>
  <c r="W784" i="1"/>
  <c r="X784" i="1" s="1"/>
  <c r="W785" i="1"/>
  <c r="X785" i="1" s="1"/>
  <c r="W786" i="1"/>
  <c r="X786" i="1" s="1"/>
  <c r="W787" i="1"/>
  <c r="X787" i="1" s="1"/>
  <c r="W788" i="1"/>
  <c r="X788" i="1" s="1"/>
  <c r="W789" i="1"/>
  <c r="X789" i="1" s="1"/>
  <c r="W790" i="1"/>
  <c r="X790" i="1" s="1"/>
  <c r="W791" i="1"/>
  <c r="W792" i="1"/>
  <c r="X792" i="1" s="1"/>
  <c r="W793" i="1"/>
  <c r="X793" i="1" s="1"/>
  <c r="W794" i="1"/>
  <c r="X794" i="1" s="1"/>
  <c r="W795" i="1"/>
  <c r="W796" i="1"/>
  <c r="X796" i="1" s="1"/>
  <c r="W797" i="1"/>
  <c r="X797" i="1" s="1"/>
  <c r="W798" i="1"/>
  <c r="X798" i="1" s="1"/>
  <c r="W799" i="1"/>
  <c r="W800" i="1"/>
  <c r="X800" i="1" s="1"/>
  <c r="W801" i="1"/>
  <c r="X801" i="1" s="1"/>
  <c r="W802" i="1"/>
  <c r="X802" i="1" s="1"/>
  <c r="W803" i="1"/>
  <c r="X803" i="1" s="1"/>
  <c r="W804" i="1"/>
  <c r="X804" i="1" s="1"/>
  <c r="W805" i="1"/>
  <c r="X805" i="1" s="1"/>
  <c r="W806" i="1"/>
  <c r="X806" i="1" s="1"/>
  <c r="W807" i="1"/>
  <c r="X807" i="1" s="1"/>
  <c r="W808" i="1"/>
  <c r="X808" i="1" s="1"/>
  <c r="W809" i="1"/>
  <c r="X809" i="1" s="1"/>
  <c r="W810" i="1"/>
  <c r="X810" i="1" s="1"/>
  <c r="W811" i="1"/>
  <c r="X811" i="1" s="1"/>
  <c r="W812" i="1"/>
  <c r="X812" i="1" s="1"/>
  <c r="W813" i="1"/>
  <c r="X813" i="1" s="1"/>
  <c r="W814" i="1"/>
  <c r="X814" i="1" s="1"/>
  <c r="W815" i="1"/>
  <c r="W816" i="1"/>
  <c r="X816" i="1" s="1"/>
  <c r="W817" i="1"/>
  <c r="X817" i="1" s="1"/>
  <c r="W818" i="1"/>
  <c r="X818" i="1" s="1"/>
  <c r="W819" i="1"/>
  <c r="W820" i="1"/>
  <c r="W821" i="1"/>
  <c r="X821" i="1" s="1"/>
  <c r="W822" i="1"/>
  <c r="X822" i="1" s="1"/>
  <c r="W823" i="1"/>
  <c r="X823" i="1" s="1"/>
  <c r="W824" i="1"/>
  <c r="X824" i="1" s="1"/>
  <c r="W825" i="1"/>
  <c r="X825" i="1" s="1"/>
  <c r="W826" i="1"/>
  <c r="X826" i="1" s="1"/>
  <c r="W827" i="1"/>
  <c r="X827" i="1" s="1"/>
  <c r="W828" i="1"/>
  <c r="X828" i="1" s="1"/>
  <c r="W829" i="1"/>
  <c r="X829" i="1" s="1"/>
  <c r="W830" i="1"/>
  <c r="W831" i="1"/>
  <c r="W832" i="1"/>
  <c r="X832" i="1" s="1"/>
  <c r="W833" i="1"/>
  <c r="X833" i="1" s="1"/>
  <c r="W834" i="1"/>
  <c r="X834" i="1" s="1"/>
  <c r="W835" i="1"/>
  <c r="X835" i="1" s="1"/>
  <c r="W836" i="1"/>
  <c r="X836" i="1" s="1"/>
  <c r="W837" i="1"/>
  <c r="X837" i="1" s="1"/>
  <c r="W838" i="1"/>
  <c r="X838" i="1" s="1"/>
  <c r="W839" i="1"/>
  <c r="W840" i="1"/>
  <c r="X840" i="1" s="1"/>
  <c r="W841" i="1"/>
  <c r="X841" i="1" s="1"/>
  <c r="W842" i="1"/>
  <c r="X842" i="1" s="1"/>
  <c r="W843" i="1"/>
  <c r="W844" i="1"/>
  <c r="X844" i="1" s="1"/>
  <c r="W845" i="1"/>
  <c r="X845" i="1" s="1"/>
  <c r="W846" i="1"/>
  <c r="X846" i="1" s="1"/>
  <c r="W847" i="1"/>
  <c r="X847" i="1" s="1"/>
  <c r="W848" i="1"/>
  <c r="X848" i="1" s="1"/>
  <c r="W849" i="1"/>
  <c r="X849" i="1" s="1"/>
  <c r="W850" i="1"/>
  <c r="X850" i="1" s="1"/>
  <c r="W851" i="1"/>
  <c r="X851" i="1" s="1"/>
  <c r="W852" i="1"/>
  <c r="X852" i="1" s="1"/>
  <c r="W853" i="1"/>
  <c r="X853" i="1" s="1"/>
  <c r="W854" i="1"/>
  <c r="X854" i="1" s="1"/>
  <c r="W855" i="1"/>
  <c r="W856" i="1"/>
  <c r="X856" i="1" s="1"/>
  <c r="W857" i="1"/>
  <c r="X857" i="1" s="1"/>
  <c r="W858" i="1"/>
  <c r="X858" i="1" s="1"/>
  <c r="W859" i="1"/>
  <c r="W860" i="1"/>
  <c r="X860" i="1" s="1"/>
  <c r="W861" i="1"/>
  <c r="X861" i="1" s="1"/>
  <c r="W862" i="1"/>
  <c r="X862" i="1" s="1"/>
  <c r="W863" i="1"/>
  <c r="W864" i="1"/>
  <c r="X864" i="1" s="1"/>
  <c r="W865" i="1"/>
  <c r="X865" i="1" s="1"/>
  <c r="W866" i="1"/>
  <c r="X866" i="1" s="1"/>
  <c r="W867" i="1"/>
  <c r="X867" i="1" s="1"/>
  <c r="W868" i="1"/>
  <c r="X868" i="1" s="1"/>
  <c r="W869" i="1"/>
  <c r="W870" i="1"/>
  <c r="W871" i="1"/>
  <c r="X871" i="1" s="1"/>
  <c r="W872" i="1"/>
  <c r="X872" i="1" s="1"/>
  <c r="W873" i="1"/>
  <c r="X873" i="1" s="1"/>
  <c r="W874" i="1"/>
  <c r="X874" i="1" s="1"/>
  <c r="W875" i="1"/>
  <c r="X875" i="1" s="1"/>
  <c r="W876" i="1"/>
  <c r="X876" i="1" s="1"/>
  <c r="W877" i="1"/>
  <c r="X877" i="1" s="1"/>
  <c r="W878" i="1"/>
  <c r="X878" i="1" s="1"/>
  <c r="W879" i="1"/>
  <c r="W880" i="1"/>
  <c r="X880" i="1" s="1"/>
  <c r="W881" i="1"/>
  <c r="X881" i="1" s="1"/>
  <c r="W882" i="1"/>
  <c r="X882" i="1" s="1"/>
  <c r="W883" i="1"/>
  <c r="W884" i="1"/>
  <c r="X884" i="1" s="1"/>
  <c r="W885" i="1"/>
  <c r="X885" i="1" s="1"/>
  <c r="W886" i="1"/>
  <c r="X886" i="1" s="1"/>
  <c r="W887" i="1"/>
  <c r="X887" i="1" s="1"/>
  <c r="W888" i="1"/>
  <c r="X888" i="1" s="1"/>
  <c r="W889" i="1"/>
  <c r="X889" i="1" s="1"/>
  <c r="W890" i="1"/>
  <c r="X890" i="1" s="1"/>
  <c r="W891" i="1"/>
  <c r="X891" i="1" s="1"/>
  <c r="W892" i="1"/>
  <c r="X892" i="1" s="1"/>
  <c r="W893" i="1"/>
  <c r="X893" i="1" s="1"/>
  <c r="W894" i="1"/>
  <c r="X894" i="1" s="1"/>
  <c r="W895" i="1"/>
  <c r="W896" i="1"/>
  <c r="X896" i="1" s="1"/>
  <c r="W897" i="1"/>
  <c r="X897" i="1" s="1"/>
  <c r="W898" i="1"/>
  <c r="X898" i="1" s="1"/>
  <c r="W899" i="1"/>
  <c r="X899" i="1" s="1"/>
  <c r="W900" i="1"/>
  <c r="X900" i="1" s="1"/>
  <c r="W901" i="1"/>
  <c r="X901" i="1" s="1"/>
  <c r="W902" i="1"/>
  <c r="X902" i="1" s="1"/>
  <c r="W903" i="1"/>
  <c r="W904" i="1"/>
  <c r="X904" i="1" s="1"/>
  <c r="W905" i="1"/>
  <c r="X905" i="1" s="1"/>
  <c r="W906" i="1"/>
  <c r="X906" i="1" s="1"/>
  <c r="W907" i="1"/>
  <c r="W908" i="1"/>
  <c r="W909" i="1"/>
  <c r="X909" i="1" s="1"/>
  <c r="W910" i="1"/>
  <c r="X910" i="1" s="1"/>
  <c r="W911" i="1"/>
  <c r="X911" i="1" s="1"/>
  <c r="W912" i="1"/>
  <c r="X912" i="1" s="1"/>
  <c r="W913" i="1"/>
  <c r="X913" i="1" s="1"/>
  <c r="W914" i="1"/>
  <c r="X914" i="1" s="1"/>
  <c r="W915" i="1"/>
  <c r="X915" i="1" s="1"/>
  <c r="W916" i="1"/>
  <c r="X916" i="1" s="1"/>
  <c r="W917" i="1"/>
  <c r="X917" i="1" s="1"/>
  <c r="W918" i="1"/>
  <c r="X918" i="1" s="1"/>
  <c r="W919" i="1"/>
  <c r="W920" i="1"/>
  <c r="X920" i="1" s="1"/>
  <c r="W921" i="1"/>
  <c r="X921" i="1" s="1"/>
  <c r="W922" i="1"/>
  <c r="X922" i="1" s="1"/>
  <c r="W923" i="1"/>
  <c r="W924" i="1"/>
  <c r="X924" i="1" s="1"/>
  <c r="W925" i="1"/>
  <c r="X925" i="1" s="1"/>
  <c r="W926" i="1"/>
  <c r="X926" i="1" s="1"/>
  <c r="W927" i="1"/>
  <c r="W928" i="1"/>
  <c r="X928" i="1" s="1"/>
  <c r="W929" i="1"/>
  <c r="X929" i="1" s="1"/>
  <c r="W930" i="1"/>
  <c r="X930" i="1" s="1"/>
  <c r="W931" i="1"/>
  <c r="X931" i="1" s="1"/>
  <c r="W932" i="1"/>
  <c r="X932" i="1" s="1"/>
  <c r="W933" i="1"/>
  <c r="W934" i="1"/>
  <c r="W935" i="1"/>
  <c r="X935" i="1" s="1"/>
  <c r="W936" i="1"/>
  <c r="X936" i="1" s="1"/>
  <c r="W937" i="1"/>
  <c r="X937" i="1" s="1"/>
  <c r="W938" i="1"/>
  <c r="X938" i="1" s="1"/>
  <c r="W939" i="1"/>
  <c r="X939" i="1" s="1"/>
  <c r="W940" i="1"/>
  <c r="X940" i="1" s="1"/>
  <c r="W941" i="1"/>
  <c r="X941" i="1" s="1"/>
  <c r="W942" i="1"/>
  <c r="W943" i="1"/>
  <c r="W944" i="1"/>
  <c r="X944" i="1" s="1"/>
  <c r="W945" i="1"/>
  <c r="X945" i="1" s="1"/>
  <c r="W946" i="1"/>
  <c r="X946" i="1" s="1"/>
  <c r="W947" i="1"/>
  <c r="X947" i="1" s="1"/>
  <c r="W948" i="1"/>
  <c r="X948" i="1" s="1"/>
  <c r="W949" i="1"/>
  <c r="X949" i="1" s="1"/>
  <c r="W950" i="1"/>
  <c r="X950" i="1" s="1"/>
  <c r="W951" i="1"/>
  <c r="W952" i="1"/>
  <c r="W953" i="1"/>
  <c r="X953" i="1" s="1"/>
  <c r="W954" i="1"/>
  <c r="X954" i="1" s="1"/>
  <c r="W955" i="1"/>
  <c r="X955" i="1" s="1"/>
  <c r="W956" i="1"/>
  <c r="X956" i="1" s="1"/>
  <c r="W957" i="1"/>
  <c r="X957" i="1" s="1"/>
  <c r="W958" i="1"/>
  <c r="X958" i="1" s="1"/>
  <c r="W959" i="1"/>
  <c r="W960" i="1"/>
  <c r="W961" i="1"/>
  <c r="W962" i="1"/>
  <c r="X962" i="1" s="1"/>
  <c r="W963" i="1"/>
  <c r="X963" i="1" s="1"/>
  <c r="W964" i="1"/>
  <c r="X964" i="1" s="1"/>
  <c r="W965" i="1"/>
  <c r="X965" i="1" s="1"/>
  <c r="W966" i="1"/>
  <c r="X966" i="1" s="1"/>
  <c r="W967" i="1"/>
  <c r="W968" i="1"/>
  <c r="W969" i="1"/>
  <c r="W970" i="1"/>
  <c r="X970" i="1" s="1"/>
  <c r="W971" i="1"/>
  <c r="W972" i="1"/>
  <c r="X972" i="1" s="1"/>
  <c r="W973" i="1"/>
  <c r="X973" i="1" s="1"/>
  <c r="W974" i="1"/>
  <c r="X974" i="1" s="1"/>
  <c r="W975" i="1"/>
  <c r="W976" i="1"/>
  <c r="W977" i="1"/>
  <c r="W978" i="1"/>
  <c r="X978" i="1" s="1"/>
  <c r="W979" i="1"/>
  <c r="W980" i="1"/>
  <c r="W981" i="1"/>
  <c r="X981" i="1" s="1"/>
  <c r="W982" i="1"/>
  <c r="X982" i="1" s="1"/>
  <c r="W983" i="1"/>
  <c r="X983" i="1" s="1"/>
  <c r="W984" i="1"/>
  <c r="W985" i="1"/>
  <c r="W986" i="1"/>
  <c r="X986" i="1" s="1"/>
  <c r="W987" i="1"/>
  <c r="W988" i="1"/>
  <c r="X988" i="1" s="1"/>
  <c r="W989" i="1"/>
  <c r="X989" i="1" s="1"/>
  <c r="W990" i="1"/>
  <c r="X990" i="1" s="1"/>
  <c r="W991" i="1"/>
  <c r="X991" i="1" s="1"/>
  <c r="W992" i="1"/>
  <c r="X992" i="1" s="1"/>
  <c r="W993" i="1"/>
  <c r="W994" i="1"/>
  <c r="X994" i="1" s="1"/>
  <c r="W995" i="1"/>
  <c r="X995" i="1" s="1"/>
  <c r="W996" i="1"/>
  <c r="W997" i="1"/>
  <c r="W998" i="1"/>
  <c r="W999" i="1"/>
  <c r="X999" i="1" s="1"/>
  <c r="W1000" i="1"/>
  <c r="X1000" i="1" s="1"/>
  <c r="W1001" i="1"/>
  <c r="X1001" i="1" s="1"/>
  <c r="F3" i="16"/>
  <c r="F4" i="16"/>
  <c r="F2" i="16"/>
  <c r="V614" i="1"/>
  <c r="U168" i="1"/>
  <c r="U302" i="1"/>
  <c r="U392" i="1"/>
  <c r="U416" i="1"/>
  <c r="U417" i="1"/>
  <c r="U536" i="1"/>
  <c r="U537" i="1"/>
  <c r="U631" i="1"/>
  <c r="U632" i="1"/>
  <c r="U983" i="1"/>
  <c r="U984" i="1"/>
  <c r="T361" i="1"/>
  <c r="T512" i="1"/>
  <c r="T647" i="1"/>
  <c r="T718" i="1"/>
  <c r="S2" i="1"/>
  <c r="S3" i="1"/>
  <c r="T3" i="1" s="1"/>
  <c r="S4" i="1"/>
  <c r="T4" i="1" s="1"/>
  <c r="S5" i="1"/>
  <c r="S6" i="1"/>
  <c r="S7" i="1"/>
  <c r="S8" i="1"/>
  <c r="S9" i="1"/>
  <c r="S10" i="1"/>
  <c r="S11" i="1"/>
  <c r="S12" i="1"/>
  <c r="S13" i="1"/>
  <c r="T13" i="1" s="1"/>
  <c r="S14" i="1"/>
  <c r="T14" i="1" s="1"/>
  <c r="S15" i="1"/>
  <c r="S16" i="1"/>
  <c r="S17" i="1"/>
  <c r="S18" i="1"/>
  <c r="S19" i="1"/>
  <c r="T19" i="1" s="1"/>
  <c r="S20" i="1"/>
  <c r="T20" i="1" s="1"/>
  <c r="S21" i="1"/>
  <c r="S22" i="1"/>
  <c r="S23" i="1"/>
  <c r="T23" i="1" s="1"/>
  <c r="S24" i="1"/>
  <c r="T24" i="1" s="1"/>
  <c r="S25" i="1"/>
  <c r="S26" i="1"/>
  <c r="S27" i="1"/>
  <c r="S28" i="1"/>
  <c r="S29" i="1"/>
  <c r="S30" i="1"/>
  <c r="S31" i="1"/>
  <c r="S32" i="1"/>
  <c r="S33" i="1"/>
  <c r="U33" i="1" s="1"/>
  <c r="S34" i="1"/>
  <c r="S35" i="1"/>
  <c r="T35" i="1" s="1"/>
  <c r="S36" i="1"/>
  <c r="S37" i="1"/>
  <c r="S38" i="1"/>
  <c r="S39" i="1"/>
  <c r="S40" i="1"/>
  <c r="T40" i="1" s="1"/>
  <c r="S41" i="1"/>
  <c r="S42" i="1"/>
  <c r="S43" i="1"/>
  <c r="T43" i="1" s="1"/>
  <c r="S44" i="1"/>
  <c r="S45" i="1"/>
  <c r="S46" i="1"/>
  <c r="S47" i="1"/>
  <c r="S48" i="1"/>
  <c r="S49" i="1"/>
  <c r="U49" i="1" s="1"/>
  <c r="S50" i="1"/>
  <c r="S51" i="1"/>
  <c r="T51" i="1" s="1"/>
  <c r="S52" i="1"/>
  <c r="S53" i="1"/>
  <c r="T53" i="1" s="1"/>
  <c r="S54" i="1"/>
  <c r="S55" i="1"/>
  <c r="T55" i="1" s="1"/>
  <c r="S56" i="1"/>
  <c r="T56" i="1" s="1"/>
  <c r="S57" i="1"/>
  <c r="S58" i="1"/>
  <c r="S59" i="1"/>
  <c r="S60" i="1"/>
  <c r="U60" i="1" s="1"/>
  <c r="S61" i="1"/>
  <c r="S62" i="1"/>
  <c r="S63" i="1"/>
  <c r="S64" i="1"/>
  <c r="S65" i="1"/>
  <c r="S66" i="1"/>
  <c r="S67" i="1"/>
  <c r="T67" i="1" s="1"/>
  <c r="S68" i="1"/>
  <c r="S69" i="1"/>
  <c r="S70" i="1"/>
  <c r="S71" i="1"/>
  <c r="T71" i="1" s="1"/>
  <c r="S72" i="1"/>
  <c r="T72" i="1" s="1"/>
  <c r="S73" i="1"/>
  <c r="U73" i="1" s="1"/>
  <c r="S74" i="1"/>
  <c r="S75" i="1"/>
  <c r="T75" i="1" s="1"/>
  <c r="S76" i="1"/>
  <c r="U76" i="1" s="1"/>
  <c r="S77" i="1"/>
  <c r="S78" i="1"/>
  <c r="S79" i="1"/>
  <c r="S80" i="1"/>
  <c r="S81" i="1"/>
  <c r="U81" i="1" s="1"/>
  <c r="S82" i="1"/>
  <c r="S83" i="1"/>
  <c r="T83" i="1" s="1"/>
  <c r="S84" i="1"/>
  <c r="U84" i="1" s="1"/>
  <c r="S85" i="1"/>
  <c r="S86" i="1"/>
  <c r="S87" i="1"/>
  <c r="S88" i="1"/>
  <c r="S89" i="1"/>
  <c r="S90" i="1"/>
  <c r="S91" i="1"/>
  <c r="S92" i="1"/>
  <c r="S93" i="1"/>
  <c r="S94" i="1"/>
  <c r="S95" i="1"/>
  <c r="S96" i="1"/>
  <c r="T96" i="1" s="1"/>
  <c r="S97" i="1"/>
  <c r="S98" i="1"/>
  <c r="S99" i="1"/>
  <c r="T99" i="1" s="1"/>
  <c r="S100" i="1"/>
  <c r="S101" i="1"/>
  <c r="S102" i="1"/>
  <c r="S103" i="1"/>
  <c r="S104" i="1"/>
  <c r="S105" i="1"/>
  <c r="U105" i="1" s="1"/>
  <c r="S106" i="1"/>
  <c r="S107" i="1"/>
  <c r="T107" i="1" s="1"/>
  <c r="S108" i="1"/>
  <c r="S109" i="1"/>
  <c r="S110" i="1"/>
  <c r="S111" i="1"/>
  <c r="S112" i="1"/>
  <c r="S113" i="1"/>
  <c r="S114" i="1"/>
  <c r="S115" i="1"/>
  <c r="S116" i="1"/>
  <c r="S117" i="1"/>
  <c r="S118" i="1"/>
  <c r="S119" i="1"/>
  <c r="S120" i="1"/>
  <c r="S121" i="1"/>
  <c r="S122" i="1"/>
  <c r="S123" i="1"/>
  <c r="S124" i="1"/>
  <c r="S125" i="1"/>
  <c r="U125" i="1" s="1"/>
  <c r="S126" i="1"/>
  <c r="S127" i="1"/>
  <c r="T127" i="1" s="1"/>
  <c r="S128" i="1"/>
  <c r="T128" i="1" s="1"/>
  <c r="S129" i="1"/>
  <c r="U129" i="1" s="1"/>
  <c r="S130" i="1"/>
  <c r="S131" i="1"/>
  <c r="T131" i="1" s="1"/>
  <c r="S132" i="1"/>
  <c r="T132" i="1" s="1"/>
  <c r="S133" i="1"/>
  <c r="S134" i="1"/>
  <c r="S135" i="1"/>
  <c r="S136" i="1"/>
  <c r="S137" i="1"/>
  <c r="S138" i="1"/>
  <c r="S139" i="1"/>
  <c r="T139" i="1" s="1"/>
  <c r="S140" i="1"/>
  <c r="S141" i="1"/>
  <c r="T141" i="1" s="1"/>
  <c r="S142" i="1"/>
  <c r="S143" i="1"/>
  <c r="S144" i="1"/>
  <c r="S145" i="1"/>
  <c r="U145" i="1" s="1"/>
  <c r="S146" i="1"/>
  <c r="S147" i="1"/>
  <c r="T147" i="1" s="1"/>
  <c r="S148" i="1"/>
  <c r="U148" i="1" s="1"/>
  <c r="S149" i="1"/>
  <c r="S150" i="1"/>
  <c r="S151" i="1"/>
  <c r="T151" i="1" s="1"/>
  <c r="S152" i="1"/>
  <c r="T152" i="1" s="1"/>
  <c r="S153" i="1"/>
  <c r="S154" i="1"/>
  <c r="S155" i="1"/>
  <c r="S156" i="1"/>
  <c r="S157" i="1"/>
  <c r="T157" i="1" s="1"/>
  <c r="S158" i="1"/>
  <c r="T158" i="1" s="1"/>
  <c r="S159" i="1"/>
  <c r="S160" i="1"/>
  <c r="S161" i="1"/>
  <c r="S162" i="1"/>
  <c r="S163" i="1"/>
  <c r="T163" i="1" s="1"/>
  <c r="S164" i="1"/>
  <c r="T164" i="1" s="1"/>
  <c r="S165" i="1"/>
  <c r="S166" i="1"/>
  <c r="S167" i="1"/>
  <c r="S168" i="1"/>
  <c r="T168" i="1" s="1"/>
  <c r="S169" i="1"/>
  <c r="U169" i="1" s="1"/>
  <c r="S170" i="1"/>
  <c r="S171" i="1"/>
  <c r="T171" i="1" s="1"/>
  <c r="S172" i="1"/>
  <c r="S173" i="1"/>
  <c r="U173" i="1" s="1"/>
  <c r="S174" i="1"/>
  <c r="S175" i="1"/>
  <c r="S176" i="1"/>
  <c r="S177" i="1"/>
  <c r="U177" i="1" s="1"/>
  <c r="S178" i="1"/>
  <c r="S179" i="1"/>
  <c r="T179" i="1" s="1"/>
  <c r="S180" i="1"/>
  <c r="T180" i="1" s="1"/>
  <c r="S181" i="1"/>
  <c r="T181" i="1" s="1"/>
  <c r="S182" i="1"/>
  <c r="S183" i="1"/>
  <c r="T183" i="1" s="1"/>
  <c r="S184" i="1"/>
  <c r="T184" i="1" s="1"/>
  <c r="S185" i="1"/>
  <c r="S186" i="1"/>
  <c r="S187" i="1"/>
  <c r="S188" i="1"/>
  <c r="T188" i="1" s="1"/>
  <c r="S189" i="1"/>
  <c r="S190" i="1"/>
  <c r="S191" i="1"/>
  <c r="S192" i="1"/>
  <c r="T192" i="1" s="1"/>
  <c r="S193" i="1"/>
  <c r="T193" i="1" s="1"/>
  <c r="S194" i="1"/>
  <c r="S195" i="1"/>
  <c r="S196" i="1"/>
  <c r="U196" i="1" s="1"/>
  <c r="S197" i="1"/>
  <c r="S198" i="1"/>
  <c r="S199" i="1"/>
  <c r="S200" i="1"/>
  <c r="S201" i="1"/>
  <c r="S202" i="1"/>
  <c r="S203" i="1"/>
  <c r="T203" i="1" s="1"/>
  <c r="S204" i="1"/>
  <c r="S205" i="1"/>
  <c r="S206" i="1"/>
  <c r="S207" i="1"/>
  <c r="S208" i="1"/>
  <c r="T208" i="1" s="1"/>
  <c r="S209" i="1"/>
  <c r="T209" i="1" s="1"/>
  <c r="S210" i="1"/>
  <c r="S211" i="1"/>
  <c r="T211" i="1" s="1"/>
  <c r="S212" i="1"/>
  <c r="T212" i="1" s="1"/>
  <c r="S213" i="1"/>
  <c r="S214" i="1"/>
  <c r="S215" i="1"/>
  <c r="S216" i="1"/>
  <c r="S217" i="1"/>
  <c r="T217" i="1" s="1"/>
  <c r="S218" i="1"/>
  <c r="S219" i="1"/>
  <c r="T219" i="1" s="1"/>
  <c r="S220" i="1"/>
  <c r="U220" i="1" s="1"/>
  <c r="S221" i="1"/>
  <c r="S222" i="1"/>
  <c r="S223" i="1"/>
  <c r="S224" i="1"/>
  <c r="S225" i="1"/>
  <c r="U225" i="1" s="1"/>
  <c r="S226" i="1"/>
  <c r="S227" i="1"/>
  <c r="T227" i="1" s="1"/>
  <c r="S228" i="1"/>
  <c r="T228" i="1" s="1"/>
  <c r="S229" i="1"/>
  <c r="T229" i="1" s="1"/>
  <c r="S230" i="1"/>
  <c r="S231" i="1"/>
  <c r="S232" i="1"/>
  <c r="S233" i="1"/>
  <c r="T233" i="1" s="1"/>
  <c r="S234" i="1"/>
  <c r="S235" i="1"/>
  <c r="T235" i="1" s="1"/>
  <c r="S236" i="1"/>
  <c r="T236" i="1" s="1"/>
  <c r="S237" i="1"/>
  <c r="S238" i="1"/>
  <c r="S239" i="1"/>
  <c r="S240" i="1"/>
  <c r="S241" i="1"/>
  <c r="U241" i="1" s="1"/>
  <c r="S242" i="1"/>
  <c r="S243" i="1"/>
  <c r="S244" i="1"/>
  <c r="S245" i="1"/>
  <c r="S246" i="1"/>
  <c r="S247" i="1"/>
  <c r="S248" i="1"/>
  <c r="S249" i="1"/>
  <c r="S250" i="1"/>
  <c r="S251" i="1"/>
  <c r="S252" i="1"/>
  <c r="T252" i="1" s="1"/>
  <c r="S253" i="1"/>
  <c r="S254" i="1"/>
  <c r="S255" i="1"/>
  <c r="T255" i="1" s="1"/>
  <c r="S256" i="1"/>
  <c r="T256" i="1" s="1"/>
  <c r="S257" i="1"/>
  <c r="U257" i="1" s="1"/>
  <c r="S258" i="1"/>
  <c r="S259" i="1"/>
  <c r="S260" i="1"/>
  <c r="S261" i="1"/>
  <c r="S262" i="1"/>
  <c r="S263" i="1"/>
  <c r="S264" i="1"/>
  <c r="S265" i="1"/>
  <c r="T265" i="1" s="1"/>
  <c r="S266" i="1"/>
  <c r="S267" i="1"/>
  <c r="T267" i="1" s="1"/>
  <c r="S268" i="1"/>
  <c r="S269" i="1"/>
  <c r="S270" i="1"/>
  <c r="S271" i="1"/>
  <c r="S272" i="1"/>
  <c r="S273" i="1"/>
  <c r="S274" i="1"/>
  <c r="S275" i="1"/>
  <c r="T275" i="1" s="1"/>
  <c r="S276" i="1"/>
  <c r="T276" i="1" s="1"/>
  <c r="S277" i="1"/>
  <c r="S278" i="1"/>
  <c r="S279" i="1"/>
  <c r="T279" i="1" s="1"/>
  <c r="S280" i="1"/>
  <c r="T280" i="1" s="1"/>
  <c r="S281" i="1"/>
  <c r="T281" i="1" s="1"/>
  <c r="S282" i="1"/>
  <c r="S283" i="1"/>
  <c r="S284" i="1"/>
  <c r="U284" i="1" s="1"/>
  <c r="S285" i="1"/>
  <c r="S286" i="1"/>
  <c r="S287" i="1"/>
  <c r="S288" i="1"/>
  <c r="S289" i="1"/>
  <c r="S290" i="1"/>
  <c r="S291" i="1"/>
  <c r="T291" i="1" s="1"/>
  <c r="S292" i="1"/>
  <c r="S293" i="1"/>
  <c r="S294" i="1"/>
  <c r="S295" i="1"/>
  <c r="S296" i="1"/>
  <c r="S297" i="1"/>
  <c r="S298" i="1"/>
  <c r="S299" i="1"/>
  <c r="T299" i="1" s="1"/>
  <c r="S300" i="1"/>
  <c r="T300" i="1" s="1"/>
  <c r="S301" i="1"/>
  <c r="S302" i="1"/>
  <c r="T302" i="1" s="1"/>
  <c r="S303" i="1"/>
  <c r="S304" i="1"/>
  <c r="S305" i="1"/>
  <c r="U305" i="1" s="1"/>
  <c r="S306" i="1"/>
  <c r="S307" i="1"/>
  <c r="T307" i="1" s="1"/>
  <c r="S308" i="1"/>
  <c r="S309" i="1"/>
  <c r="S310" i="1"/>
  <c r="S311" i="1"/>
  <c r="S312" i="1"/>
  <c r="S313" i="1"/>
  <c r="S314" i="1"/>
  <c r="S315" i="1"/>
  <c r="S316" i="1"/>
  <c r="S317" i="1"/>
  <c r="S318" i="1"/>
  <c r="S319" i="1"/>
  <c r="S320" i="1"/>
  <c r="S321" i="1"/>
  <c r="S322" i="1"/>
  <c r="S323" i="1"/>
  <c r="S324" i="1"/>
  <c r="S325" i="1"/>
  <c r="S326" i="1"/>
  <c r="S327" i="1"/>
  <c r="S328" i="1"/>
  <c r="T328" i="1" s="1"/>
  <c r="S329" i="1"/>
  <c r="U329" i="1" s="1"/>
  <c r="S330" i="1"/>
  <c r="S331" i="1"/>
  <c r="S332" i="1"/>
  <c r="S333" i="1"/>
  <c r="S334" i="1"/>
  <c r="S335" i="1"/>
  <c r="S336" i="1"/>
  <c r="S337" i="1"/>
  <c r="U337" i="1" s="1"/>
  <c r="S338" i="1"/>
  <c r="S339" i="1"/>
  <c r="T339" i="1" s="1"/>
  <c r="S340" i="1"/>
  <c r="T340" i="1" s="1"/>
  <c r="S341" i="1"/>
  <c r="S342" i="1"/>
  <c r="S343" i="1"/>
  <c r="T343" i="1" s="1"/>
  <c r="S344" i="1"/>
  <c r="T344" i="1" s="1"/>
  <c r="S345" i="1"/>
  <c r="S346" i="1"/>
  <c r="S347" i="1"/>
  <c r="T347" i="1" s="1"/>
  <c r="S348" i="1"/>
  <c r="T348" i="1" s="1"/>
  <c r="S349" i="1"/>
  <c r="S350" i="1"/>
  <c r="S351" i="1"/>
  <c r="S352" i="1"/>
  <c r="T352" i="1" s="1"/>
  <c r="S353" i="1"/>
  <c r="T353" i="1" s="1"/>
  <c r="S354" i="1"/>
  <c r="S355" i="1"/>
  <c r="T355" i="1" s="1"/>
  <c r="S356" i="1"/>
  <c r="S357" i="1"/>
  <c r="S358" i="1"/>
  <c r="S359" i="1"/>
  <c r="S360" i="1"/>
  <c r="S361" i="1"/>
  <c r="U361" i="1" s="1"/>
  <c r="S362" i="1"/>
  <c r="S363" i="1"/>
  <c r="T363" i="1" s="1"/>
  <c r="S364" i="1"/>
  <c r="S365" i="1"/>
  <c r="S366" i="1"/>
  <c r="T366" i="1" s="1"/>
  <c r="S367" i="1"/>
  <c r="T367" i="1" s="1"/>
  <c r="S368" i="1"/>
  <c r="S369" i="1"/>
  <c r="S370" i="1"/>
  <c r="S371" i="1"/>
  <c r="T371" i="1" s="1"/>
  <c r="S372" i="1"/>
  <c r="S373" i="1"/>
  <c r="S374" i="1"/>
  <c r="S375" i="1"/>
  <c r="S376" i="1"/>
  <c r="T376" i="1" s="1"/>
  <c r="S377" i="1"/>
  <c r="S378" i="1"/>
  <c r="S379" i="1"/>
  <c r="S380" i="1"/>
  <c r="T380" i="1" s="1"/>
  <c r="S381" i="1"/>
  <c r="T381" i="1" s="1"/>
  <c r="S382" i="1"/>
  <c r="S383" i="1"/>
  <c r="S384" i="1"/>
  <c r="S385" i="1"/>
  <c r="U385" i="1" s="1"/>
  <c r="S386" i="1"/>
  <c r="S387" i="1"/>
  <c r="S388" i="1"/>
  <c r="S389" i="1"/>
  <c r="S390" i="1"/>
  <c r="S391" i="1"/>
  <c r="T391" i="1" s="1"/>
  <c r="S392" i="1"/>
  <c r="T392" i="1" s="1"/>
  <c r="S393" i="1"/>
  <c r="S394" i="1"/>
  <c r="S395" i="1"/>
  <c r="S396" i="1"/>
  <c r="S397" i="1"/>
  <c r="S398" i="1"/>
  <c r="S399" i="1"/>
  <c r="S400" i="1"/>
  <c r="T400" i="1" s="1"/>
  <c r="S401" i="1"/>
  <c r="U401" i="1" s="1"/>
  <c r="S402" i="1"/>
  <c r="S403" i="1"/>
  <c r="T403" i="1" s="1"/>
  <c r="S404" i="1"/>
  <c r="T404" i="1" s="1"/>
  <c r="S405" i="1"/>
  <c r="S406" i="1"/>
  <c r="S407" i="1"/>
  <c r="S408" i="1"/>
  <c r="S409" i="1"/>
  <c r="S410" i="1"/>
  <c r="S411" i="1"/>
  <c r="S412" i="1"/>
  <c r="S413" i="1"/>
  <c r="S414" i="1"/>
  <c r="S415" i="1"/>
  <c r="S416" i="1"/>
  <c r="T416" i="1" s="1"/>
  <c r="S417" i="1"/>
  <c r="T417" i="1" s="1"/>
  <c r="S418" i="1"/>
  <c r="S419" i="1"/>
  <c r="S420" i="1"/>
  <c r="S421" i="1"/>
  <c r="S422" i="1"/>
  <c r="S423" i="1"/>
  <c r="S424" i="1"/>
  <c r="S425" i="1"/>
  <c r="U425" i="1" s="1"/>
  <c r="S426" i="1"/>
  <c r="S427" i="1"/>
  <c r="T427" i="1" s="1"/>
  <c r="S428" i="1"/>
  <c r="T428" i="1" s="1"/>
  <c r="S429" i="1"/>
  <c r="T429" i="1" s="1"/>
  <c r="S430" i="1"/>
  <c r="S431" i="1"/>
  <c r="S432" i="1"/>
  <c r="S433" i="1"/>
  <c r="U433" i="1" s="1"/>
  <c r="S434" i="1"/>
  <c r="S435" i="1"/>
  <c r="S436" i="1"/>
  <c r="S437" i="1"/>
  <c r="T437" i="1" s="1"/>
  <c r="S438" i="1"/>
  <c r="S439" i="1"/>
  <c r="T439" i="1" s="1"/>
  <c r="S440" i="1"/>
  <c r="T440" i="1" s="1"/>
  <c r="S441" i="1"/>
  <c r="S442" i="1"/>
  <c r="S443" i="1"/>
  <c r="S444" i="1"/>
  <c r="S445" i="1"/>
  <c r="S446" i="1"/>
  <c r="S447" i="1"/>
  <c r="S448" i="1"/>
  <c r="T448" i="1" s="1"/>
  <c r="S449" i="1"/>
  <c r="T449" i="1" s="1"/>
  <c r="S450" i="1"/>
  <c r="S451" i="1"/>
  <c r="S452" i="1"/>
  <c r="S453" i="1"/>
  <c r="T453" i="1" s="1"/>
  <c r="S454" i="1"/>
  <c r="T454" i="1" s="1"/>
  <c r="S455" i="1"/>
  <c r="S456" i="1"/>
  <c r="S457" i="1"/>
  <c r="U457" i="1" s="1"/>
  <c r="S458" i="1"/>
  <c r="S459" i="1"/>
  <c r="S460" i="1"/>
  <c r="S461" i="1"/>
  <c r="U461" i="1" s="1"/>
  <c r="S462" i="1"/>
  <c r="S463" i="1"/>
  <c r="T463" i="1" s="1"/>
  <c r="S464" i="1"/>
  <c r="T464" i="1" s="1"/>
  <c r="S465" i="1"/>
  <c r="T465" i="1" s="1"/>
  <c r="S466" i="1"/>
  <c r="S467" i="1"/>
  <c r="S468" i="1"/>
  <c r="S469" i="1"/>
  <c r="S470" i="1"/>
  <c r="S471" i="1"/>
  <c r="S472" i="1"/>
  <c r="S473" i="1"/>
  <c r="T473" i="1" s="1"/>
  <c r="S474" i="1"/>
  <c r="S475" i="1"/>
  <c r="T475" i="1" s="1"/>
  <c r="S476" i="1"/>
  <c r="T476" i="1" s="1"/>
  <c r="S477" i="1"/>
  <c r="T477" i="1" s="1"/>
  <c r="S478" i="1"/>
  <c r="S479" i="1"/>
  <c r="S480" i="1"/>
  <c r="S481" i="1"/>
  <c r="U481" i="1" s="1"/>
  <c r="S482" i="1"/>
  <c r="S483" i="1"/>
  <c r="S484" i="1"/>
  <c r="S485" i="1"/>
  <c r="T485" i="1" s="1"/>
  <c r="S486" i="1"/>
  <c r="S487" i="1"/>
  <c r="S488" i="1"/>
  <c r="S489" i="1"/>
  <c r="T489" i="1" s="1"/>
  <c r="S490" i="1"/>
  <c r="S491" i="1"/>
  <c r="T491" i="1" s="1"/>
  <c r="S492" i="1"/>
  <c r="S493" i="1"/>
  <c r="S494" i="1"/>
  <c r="S495" i="1"/>
  <c r="S496" i="1"/>
  <c r="S497" i="1"/>
  <c r="U497" i="1" s="1"/>
  <c r="S498" i="1"/>
  <c r="S499" i="1"/>
  <c r="T499" i="1" s="1"/>
  <c r="S500" i="1"/>
  <c r="T500" i="1" s="1"/>
  <c r="S501" i="1"/>
  <c r="T501" i="1" s="1"/>
  <c r="S502" i="1"/>
  <c r="T502" i="1" s="1"/>
  <c r="S503" i="1"/>
  <c r="S504" i="1"/>
  <c r="S505" i="1"/>
  <c r="S506" i="1"/>
  <c r="S507" i="1"/>
  <c r="S508" i="1"/>
  <c r="S509" i="1"/>
  <c r="S510" i="1"/>
  <c r="S511" i="1"/>
  <c r="U511" i="1" s="1"/>
  <c r="S512" i="1"/>
  <c r="U512" i="1" s="1"/>
  <c r="S513" i="1"/>
  <c r="T513" i="1" s="1"/>
  <c r="S514" i="1"/>
  <c r="S515" i="1"/>
  <c r="S516" i="1"/>
  <c r="S517" i="1"/>
  <c r="S518" i="1"/>
  <c r="S519" i="1"/>
  <c r="S520" i="1"/>
  <c r="S521" i="1"/>
  <c r="T521" i="1" s="1"/>
  <c r="S522" i="1"/>
  <c r="S523" i="1"/>
  <c r="T523" i="1" s="1"/>
  <c r="S524" i="1"/>
  <c r="S525" i="1"/>
  <c r="S526" i="1"/>
  <c r="T526" i="1" s="1"/>
  <c r="S527" i="1"/>
  <c r="T527" i="1" s="1"/>
  <c r="S528" i="1"/>
  <c r="S529" i="1"/>
  <c r="S530" i="1"/>
  <c r="S531" i="1"/>
  <c r="S532" i="1"/>
  <c r="S533" i="1"/>
  <c r="S534" i="1"/>
  <c r="S535" i="1"/>
  <c r="U535" i="1" s="1"/>
  <c r="S536" i="1"/>
  <c r="T536" i="1" s="1"/>
  <c r="S537" i="1"/>
  <c r="T537" i="1" s="1"/>
  <c r="S538" i="1"/>
  <c r="S539" i="1"/>
  <c r="T539" i="1" s="1"/>
  <c r="S540" i="1"/>
  <c r="S541" i="1"/>
  <c r="S542" i="1"/>
  <c r="S543" i="1"/>
  <c r="S544" i="1"/>
  <c r="S545" i="1"/>
  <c r="U545" i="1" s="1"/>
  <c r="S546" i="1"/>
  <c r="S547" i="1"/>
  <c r="T547" i="1" s="1"/>
  <c r="S548" i="1"/>
  <c r="T548" i="1" s="1"/>
  <c r="S549" i="1"/>
  <c r="T549" i="1" s="1"/>
  <c r="S550" i="1"/>
  <c r="T550" i="1" s="1"/>
  <c r="S551" i="1"/>
  <c r="S552" i="1"/>
  <c r="S553" i="1"/>
  <c r="S554" i="1"/>
  <c r="S555" i="1"/>
  <c r="S556" i="1"/>
  <c r="S557" i="1"/>
  <c r="S558" i="1"/>
  <c r="T558" i="1" s="1"/>
  <c r="S559" i="1"/>
  <c r="T559" i="1" s="1"/>
  <c r="S560" i="1"/>
  <c r="S561" i="1"/>
  <c r="U561" i="1" s="1"/>
  <c r="S562" i="1"/>
  <c r="S563" i="1"/>
  <c r="T563" i="1" s="1"/>
  <c r="S564" i="1"/>
  <c r="S565" i="1"/>
  <c r="S566" i="1"/>
  <c r="S567" i="1"/>
  <c r="S568" i="1"/>
  <c r="S569" i="1"/>
  <c r="S570" i="1"/>
  <c r="S571" i="1"/>
  <c r="S572" i="1"/>
  <c r="T572" i="1" s="1"/>
  <c r="S573" i="1"/>
  <c r="T573" i="1" s="1"/>
  <c r="S574" i="1"/>
  <c r="T574" i="1" s="1"/>
  <c r="S575" i="1"/>
  <c r="T575" i="1" s="1"/>
  <c r="S576" i="1"/>
  <c r="S577" i="1"/>
  <c r="S578" i="1"/>
  <c r="S579" i="1"/>
  <c r="S580" i="1"/>
  <c r="S581" i="1"/>
  <c r="S582" i="1"/>
  <c r="S583" i="1"/>
  <c r="T583" i="1" s="1"/>
  <c r="S584" i="1"/>
  <c r="T584" i="1" s="1"/>
  <c r="S585" i="1"/>
  <c r="T585" i="1" s="1"/>
  <c r="S586" i="1"/>
  <c r="S587" i="1"/>
  <c r="T587" i="1" s="1"/>
  <c r="S588" i="1"/>
  <c r="S589" i="1"/>
  <c r="S590" i="1"/>
  <c r="S591" i="1"/>
  <c r="S592" i="1"/>
  <c r="S593" i="1"/>
  <c r="S594" i="1"/>
  <c r="S595" i="1"/>
  <c r="T595" i="1" s="1"/>
  <c r="S596" i="1"/>
  <c r="T596" i="1" s="1"/>
  <c r="S597" i="1"/>
  <c r="S598" i="1"/>
  <c r="S599" i="1"/>
  <c r="T599" i="1" s="1"/>
  <c r="S600" i="1"/>
  <c r="T600" i="1" s="1"/>
  <c r="S601" i="1"/>
  <c r="S602" i="1"/>
  <c r="S603" i="1"/>
  <c r="S604" i="1"/>
  <c r="S605" i="1"/>
  <c r="S606" i="1"/>
  <c r="S607" i="1"/>
  <c r="S608" i="1"/>
  <c r="U608" i="1" s="1"/>
  <c r="S609" i="1"/>
  <c r="T609" i="1" s="1"/>
  <c r="S610" i="1"/>
  <c r="S611" i="1"/>
  <c r="T611" i="1" s="1"/>
  <c r="S612" i="1"/>
  <c r="S613" i="1"/>
  <c r="S614" i="1"/>
  <c r="S615" i="1"/>
  <c r="S616" i="1"/>
  <c r="S617" i="1"/>
  <c r="U617" i="1" s="1"/>
  <c r="S618" i="1"/>
  <c r="S619" i="1"/>
  <c r="S620" i="1"/>
  <c r="U620" i="1" s="1"/>
  <c r="S621" i="1"/>
  <c r="U621" i="1" s="1"/>
  <c r="S622" i="1"/>
  <c r="S623" i="1"/>
  <c r="T623" i="1" s="1"/>
  <c r="S624" i="1"/>
  <c r="S625" i="1"/>
  <c r="S626" i="1"/>
  <c r="S627" i="1"/>
  <c r="S628" i="1"/>
  <c r="S629" i="1"/>
  <c r="S630" i="1"/>
  <c r="S631" i="1"/>
  <c r="T631" i="1" s="1"/>
  <c r="S632" i="1"/>
  <c r="T632" i="1" s="1"/>
  <c r="S633" i="1"/>
  <c r="S634" i="1"/>
  <c r="S635" i="1"/>
  <c r="S636" i="1"/>
  <c r="T636" i="1" s="1"/>
  <c r="S637" i="1"/>
  <c r="S638" i="1"/>
  <c r="S639" i="1"/>
  <c r="S640" i="1"/>
  <c r="S641" i="1"/>
  <c r="S642" i="1"/>
  <c r="S643" i="1"/>
  <c r="S644" i="1"/>
  <c r="S645" i="1"/>
  <c r="T645" i="1" s="1"/>
  <c r="S646" i="1"/>
  <c r="S647" i="1"/>
  <c r="U647" i="1" s="1"/>
  <c r="S648" i="1"/>
  <c r="T648" i="1" s="1"/>
  <c r="S649" i="1"/>
  <c r="S650" i="1"/>
  <c r="S651" i="1"/>
  <c r="S652" i="1"/>
  <c r="S653" i="1"/>
  <c r="S654" i="1"/>
  <c r="S655" i="1"/>
  <c r="S656" i="1"/>
  <c r="T656" i="1" s="1"/>
  <c r="S657" i="1"/>
  <c r="T657" i="1" s="1"/>
  <c r="S658" i="1"/>
  <c r="S659" i="1"/>
  <c r="T659" i="1" s="1"/>
  <c r="S660" i="1"/>
  <c r="S661" i="1"/>
  <c r="S662" i="1"/>
  <c r="S663" i="1"/>
  <c r="S664" i="1"/>
  <c r="S665" i="1"/>
  <c r="S666" i="1"/>
  <c r="S667" i="1"/>
  <c r="S668" i="1"/>
  <c r="T668" i="1" s="1"/>
  <c r="S669" i="1"/>
  <c r="U669" i="1" s="1"/>
  <c r="S670" i="1"/>
  <c r="S671" i="1"/>
  <c r="S672" i="1"/>
  <c r="U672" i="1" s="1"/>
  <c r="S673" i="1"/>
  <c r="T673" i="1" s="1"/>
  <c r="S674" i="1"/>
  <c r="S675" i="1"/>
  <c r="S676" i="1"/>
  <c r="S677" i="1"/>
  <c r="S678" i="1"/>
  <c r="S679" i="1"/>
  <c r="S680" i="1"/>
  <c r="S681" i="1"/>
  <c r="U681" i="1" s="1"/>
  <c r="S682" i="1"/>
  <c r="U682" i="1" s="1"/>
  <c r="S683" i="1"/>
  <c r="U683" i="1" s="1"/>
  <c r="S684" i="1"/>
  <c r="S685" i="1"/>
  <c r="S686" i="1"/>
  <c r="S687" i="1"/>
  <c r="S688" i="1"/>
  <c r="S689" i="1"/>
  <c r="U689" i="1" s="1"/>
  <c r="S690" i="1"/>
  <c r="U690" i="1" s="1"/>
  <c r="S691" i="1"/>
  <c r="T691" i="1" s="1"/>
  <c r="S692" i="1"/>
  <c r="T692" i="1" s="1"/>
  <c r="S693" i="1"/>
  <c r="T693" i="1" s="1"/>
  <c r="S694" i="1"/>
  <c r="T694" i="1" s="1"/>
  <c r="S695" i="1"/>
  <c r="S696" i="1"/>
  <c r="S697" i="1"/>
  <c r="U697" i="1" s="1"/>
  <c r="S698" i="1"/>
  <c r="U698" i="1" s="1"/>
  <c r="S699" i="1"/>
  <c r="U699" i="1" s="1"/>
  <c r="S700" i="1"/>
  <c r="U700" i="1" s="1"/>
  <c r="S701" i="1"/>
  <c r="S702" i="1"/>
  <c r="T702" i="1" s="1"/>
  <c r="S703" i="1"/>
  <c r="S704" i="1"/>
  <c r="S705" i="1"/>
  <c r="T705" i="1" s="1"/>
  <c r="S706" i="1"/>
  <c r="T706" i="1" s="1"/>
  <c r="S707" i="1"/>
  <c r="S708" i="1"/>
  <c r="S709" i="1"/>
  <c r="S710" i="1"/>
  <c r="S711" i="1"/>
  <c r="S712" i="1"/>
  <c r="S713" i="1"/>
  <c r="T713" i="1" s="1"/>
  <c r="S714" i="1"/>
  <c r="T714" i="1" s="1"/>
  <c r="S715" i="1"/>
  <c r="U715" i="1" s="1"/>
  <c r="S716" i="1"/>
  <c r="T716" i="1" s="1"/>
  <c r="S717" i="1"/>
  <c r="S718" i="1"/>
  <c r="U718" i="1" s="1"/>
  <c r="S719" i="1"/>
  <c r="U719" i="1" s="1"/>
  <c r="S720" i="1"/>
  <c r="S721" i="1"/>
  <c r="S722" i="1"/>
  <c r="S723" i="1"/>
  <c r="T723" i="1" s="1"/>
  <c r="S724" i="1"/>
  <c r="S725" i="1"/>
  <c r="S726" i="1"/>
  <c r="S727" i="1"/>
  <c r="S728" i="1"/>
  <c r="S729" i="1"/>
  <c r="U729" i="1" s="1"/>
  <c r="S730" i="1"/>
  <c r="S731" i="1"/>
  <c r="S732" i="1"/>
  <c r="S733" i="1"/>
  <c r="T733" i="1" s="1"/>
  <c r="S734" i="1"/>
  <c r="S735" i="1"/>
  <c r="S736" i="1"/>
  <c r="S737" i="1"/>
  <c r="U737" i="1" s="1"/>
  <c r="S738" i="1"/>
  <c r="T738" i="1" s="1"/>
  <c r="S739" i="1"/>
  <c r="S740" i="1"/>
  <c r="S741" i="1"/>
  <c r="S742" i="1"/>
  <c r="S743" i="1"/>
  <c r="S744" i="1"/>
  <c r="S745" i="1"/>
  <c r="T745" i="1" s="1"/>
  <c r="S746" i="1"/>
  <c r="U746" i="1" s="1"/>
  <c r="S747" i="1"/>
  <c r="U747" i="1" s="1"/>
  <c r="S748" i="1"/>
  <c r="S749" i="1"/>
  <c r="S750" i="1"/>
  <c r="S751" i="1"/>
  <c r="S752" i="1"/>
  <c r="S753" i="1"/>
  <c r="U753" i="1" s="1"/>
  <c r="S754" i="1"/>
  <c r="U754" i="1" s="1"/>
  <c r="S755" i="1"/>
  <c r="U755" i="1" s="1"/>
  <c r="S756" i="1"/>
  <c r="T756" i="1" s="1"/>
  <c r="S757" i="1"/>
  <c r="T757" i="1" s="1"/>
  <c r="S758" i="1"/>
  <c r="T758" i="1" s="1"/>
  <c r="S759" i="1"/>
  <c r="S760" i="1"/>
  <c r="S761" i="1"/>
  <c r="U761" i="1" s="1"/>
  <c r="S762" i="1"/>
  <c r="S763" i="1"/>
  <c r="S764" i="1"/>
  <c r="U764" i="1" s="1"/>
  <c r="S765" i="1"/>
  <c r="T765" i="1" s="1"/>
  <c r="S766" i="1"/>
  <c r="S767" i="1"/>
  <c r="S768" i="1"/>
  <c r="S769" i="1"/>
  <c r="T769" i="1" s="1"/>
  <c r="S770" i="1"/>
  <c r="T770" i="1" s="1"/>
  <c r="S771" i="1"/>
  <c r="U771" i="1" s="1"/>
  <c r="S772" i="1"/>
  <c r="S773" i="1"/>
  <c r="S774" i="1"/>
  <c r="S775" i="1"/>
  <c r="S776" i="1"/>
  <c r="S777" i="1"/>
  <c r="T777" i="1" s="1"/>
  <c r="S778" i="1"/>
  <c r="T778" i="1" s="1"/>
  <c r="S779" i="1"/>
  <c r="T779" i="1" s="1"/>
  <c r="S780" i="1"/>
  <c r="T780" i="1" s="1"/>
  <c r="S781" i="1"/>
  <c r="S782" i="1"/>
  <c r="S783" i="1"/>
  <c r="S784" i="1"/>
  <c r="S785" i="1"/>
  <c r="S786" i="1"/>
  <c r="S787" i="1"/>
  <c r="T787" i="1" s="1"/>
  <c r="S788" i="1"/>
  <c r="S789" i="1"/>
  <c r="S790" i="1"/>
  <c r="S791" i="1"/>
  <c r="S792" i="1"/>
  <c r="S793" i="1"/>
  <c r="U793" i="1" s="1"/>
  <c r="S794" i="1"/>
  <c r="S795" i="1"/>
  <c r="T795" i="1" s="1"/>
  <c r="S796" i="1"/>
  <c r="T796" i="1" s="1"/>
  <c r="S797" i="1"/>
  <c r="T797" i="1" s="1"/>
  <c r="S798" i="1"/>
  <c r="T798" i="1" s="1"/>
  <c r="S799" i="1"/>
  <c r="U799" i="1" s="1"/>
  <c r="S800" i="1"/>
  <c r="U800" i="1" s="1"/>
  <c r="S801" i="1"/>
  <c r="U801" i="1" s="1"/>
  <c r="S802" i="1"/>
  <c r="U802" i="1" s="1"/>
  <c r="S803" i="1"/>
  <c r="T803" i="1" s="1"/>
  <c r="S804" i="1"/>
  <c r="S805" i="1"/>
  <c r="T805" i="1" s="1"/>
  <c r="S806" i="1"/>
  <c r="T806" i="1" s="1"/>
  <c r="S807" i="1"/>
  <c r="S808" i="1"/>
  <c r="S809" i="1"/>
  <c r="S810" i="1"/>
  <c r="S811" i="1"/>
  <c r="U811" i="1" s="1"/>
  <c r="S812" i="1"/>
  <c r="T812" i="1" s="1"/>
  <c r="S813" i="1"/>
  <c r="T813" i="1" s="1"/>
  <c r="S814" i="1"/>
  <c r="T814" i="1" s="1"/>
  <c r="S815" i="1"/>
  <c r="S816" i="1"/>
  <c r="S817" i="1"/>
  <c r="U817" i="1" s="1"/>
  <c r="S818" i="1"/>
  <c r="U818" i="1" s="1"/>
  <c r="S819" i="1"/>
  <c r="T819" i="1" s="1"/>
  <c r="S820" i="1"/>
  <c r="T820" i="1" s="1"/>
  <c r="S821" i="1"/>
  <c r="S822" i="1"/>
  <c r="S823" i="1"/>
  <c r="S824" i="1"/>
  <c r="S825" i="1"/>
  <c r="U825" i="1" s="1"/>
  <c r="S826" i="1"/>
  <c r="U826" i="1" s="1"/>
  <c r="S827" i="1"/>
  <c r="T827" i="1" s="1"/>
  <c r="S828" i="1"/>
  <c r="T828" i="1" s="1"/>
  <c r="S829" i="1"/>
  <c r="T829" i="1" s="1"/>
  <c r="S830" i="1"/>
  <c r="S831" i="1"/>
  <c r="S832" i="1"/>
  <c r="S833" i="1"/>
  <c r="U833" i="1" s="1"/>
  <c r="S834" i="1"/>
  <c r="U834" i="1" s="1"/>
  <c r="S835" i="1"/>
  <c r="T835" i="1" s="1"/>
  <c r="S836" i="1"/>
  <c r="S837" i="1"/>
  <c r="S838" i="1"/>
  <c r="S839" i="1"/>
  <c r="S840" i="1"/>
  <c r="S841" i="1"/>
  <c r="S842" i="1"/>
  <c r="U842" i="1" s="1"/>
  <c r="S843" i="1"/>
  <c r="U843" i="1" s="1"/>
  <c r="S844" i="1"/>
  <c r="T844" i="1" s="1"/>
  <c r="S845" i="1"/>
  <c r="T845" i="1" s="1"/>
  <c r="S846" i="1"/>
  <c r="T846" i="1" s="1"/>
  <c r="S847" i="1"/>
  <c r="S848" i="1"/>
  <c r="S849" i="1"/>
  <c r="S850" i="1"/>
  <c r="S851" i="1"/>
  <c r="T851" i="1" s="1"/>
  <c r="S852" i="1"/>
  <c r="T852" i="1" s="1"/>
  <c r="S853" i="1"/>
  <c r="T853" i="1" s="1"/>
  <c r="S854" i="1"/>
  <c r="S855" i="1"/>
  <c r="S856" i="1"/>
  <c r="S857" i="1"/>
  <c r="S858" i="1"/>
  <c r="S859" i="1"/>
  <c r="T859" i="1" s="1"/>
  <c r="S860" i="1"/>
  <c r="T860" i="1" s="1"/>
  <c r="S861" i="1"/>
  <c r="T861" i="1" s="1"/>
  <c r="S862" i="1"/>
  <c r="T862" i="1" s="1"/>
  <c r="S863" i="1"/>
  <c r="S864" i="1"/>
  <c r="S865" i="1"/>
  <c r="S866" i="1"/>
  <c r="S867" i="1"/>
  <c r="T867" i="1" s="1"/>
  <c r="S868" i="1"/>
  <c r="S869" i="1"/>
  <c r="S870" i="1"/>
  <c r="S871" i="1"/>
  <c r="S872" i="1"/>
  <c r="S873" i="1"/>
  <c r="S874" i="1"/>
  <c r="S875" i="1"/>
  <c r="T875" i="1" s="1"/>
  <c r="S876" i="1"/>
  <c r="T876" i="1" s="1"/>
  <c r="S877" i="1"/>
  <c r="U877" i="1" s="1"/>
  <c r="S878" i="1"/>
  <c r="T878" i="1" s="1"/>
  <c r="S879" i="1"/>
  <c r="S880" i="1"/>
  <c r="S881" i="1"/>
  <c r="S882" i="1"/>
  <c r="S883" i="1"/>
  <c r="T883" i="1" s="1"/>
  <c r="S884" i="1"/>
  <c r="S885" i="1"/>
  <c r="S886" i="1"/>
  <c r="S887" i="1"/>
  <c r="S888" i="1"/>
  <c r="S889" i="1"/>
  <c r="S890" i="1"/>
  <c r="S891" i="1"/>
  <c r="T891" i="1" s="1"/>
  <c r="S892" i="1"/>
  <c r="T892" i="1" s="1"/>
  <c r="S893" i="1"/>
  <c r="U893" i="1" s="1"/>
  <c r="S894" i="1"/>
  <c r="T894" i="1" s="1"/>
  <c r="S895" i="1"/>
  <c r="S896" i="1"/>
  <c r="S897" i="1"/>
  <c r="S898" i="1"/>
  <c r="S899" i="1"/>
  <c r="T899" i="1" s="1"/>
  <c r="S900" i="1"/>
  <c r="T900" i="1" s="1"/>
  <c r="S901" i="1"/>
  <c r="T901" i="1" s="1"/>
  <c r="S902" i="1"/>
  <c r="S903" i="1"/>
  <c r="S904" i="1"/>
  <c r="S905" i="1"/>
  <c r="S906" i="1"/>
  <c r="S907" i="1"/>
  <c r="T907" i="1" s="1"/>
  <c r="S908" i="1"/>
  <c r="T908" i="1" s="1"/>
  <c r="S909" i="1"/>
  <c r="U909" i="1" s="1"/>
  <c r="S910" i="1"/>
  <c r="T910" i="1" s="1"/>
  <c r="S911" i="1"/>
  <c r="S912" i="1"/>
  <c r="S913" i="1"/>
  <c r="S914" i="1"/>
  <c r="S915" i="1"/>
  <c r="T915" i="1" s="1"/>
  <c r="S916" i="1"/>
  <c r="S917" i="1"/>
  <c r="S918" i="1"/>
  <c r="S919" i="1"/>
  <c r="S920" i="1"/>
  <c r="S921" i="1"/>
  <c r="S922" i="1"/>
  <c r="S923" i="1"/>
  <c r="T923" i="1" s="1"/>
  <c r="S924" i="1"/>
  <c r="T924" i="1" s="1"/>
  <c r="S925" i="1"/>
  <c r="U925" i="1" s="1"/>
  <c r="S926" i="1"/>
  <c r="T926" i="1" s="1"/>
  <c r="S927" i="1"/>
  <c r="S928" i="1"/>
  <c r="S929" i="1"/>
  <c r="S930" i="1"/>
  <c r="S931" i="1"/>
  <c r="T931" i="1" s="1"/>
  <c r="S932" i="1"/>
  <c r="S933" i="1"/>
  <c r="T933" i="1" s="1"/>
  <c r="S934" i="1"/>
  <c r="T934" i="1" s="1"/>
  <c r="S935" i="1"/>
  <c r="S936" i="1"/>
  <c r="S937" i="1"/>
  <c r="S938" i="1"/>
  <c r="S939" i="1"/>
  <c r="T939" i="1" s="1"/>
  <c r="S940" i="1"/>
  <c r="T940" i="1" s="1"/>
  <c r="S941" i="1"/>
  <c r="S942" i="1"/>
  <c r="T942" i="1" s="1"/>
  <c r="S943" i="1"/>
  <c r="S944" i="1"/>
  <c r="S945" i="1"/>
  <c r="S946" i="1"/>
  <c r="S947" i="1"/>
  <c r="T947" i="1" s="1"/>
  <c r="S948" i="1"/>
  <c r="T948" i="1" s="1"/>
  <c r="S949" i="1"/>
  <c r="S950" i="1"/>
  <c r="S951" i="1"/>
  <c r="S952" i="1"/>
  <c r="S953" i="1"/>
  <c r="S954" i="1"/>
  <c r="S955" i="1"/>
  <c r="T955" i="1" s="1"/>
  <c r="S956" i="1"/>
  <c r="T956" i="1" s="1"/>
  <c r="S957" i="1"/>
  <c r="T957" i="1" s="1"/>
  <c r="S958" i="1"/>
  <c r="T958" i="1" s="1"/>
  <c r="S959" i="1"/>
  <c r="S960" i="1"/>
  <c r="T960" i="1" s="1"/>
  <c r="S961" i="1"/>
  <c r="S962" i="1"/>
  <c r="S963" i="1"/>
  <c r="T963" i="1" s="1"/>
  <c r="S964" i="1"/>
  <c r="S965" i="1"/>
  <c r="S966" i="1"/>
  <c r="S967" i="1"/>
  <c r="S968" i="1"/>
  <c r="T968" i="1" s="1"/>
  <c r="S969" i="1"/>
  <c r="S970" i="1"/>
  <c r="S971" i="1"/>
  <c r="T971" i="1" s="1"/>
  <c r="S972" i="1"/>
  <c r="T972" i="1" s="1"/>
  <c r="S973" i="1"/>
  <c r="T973" i="1" s="1"/>
  <c r="S974" i="1"/>
  <c r="S975" i="1"/>
  <c r="T975" i="1" s="1"/>
  <c r="S976" i="1"/>
  <c r="T976" i="1" s="1"/>
  <c r="S977" i="1"/>
  <c r="S978" i="1"/>
  <c r="S979" i="1"/>
  <c r="T979" i="1" s="1"/>
  <c r="S980" i="1"/>
  <c r="T980" i="1" s="1"/>
  <c r="S981" i="1"/>
  <c r="T981" i="1" s="1"/>
  <c r="S982" i="1"/>
  <c r="S983" i="1"/>
  <c r="T983" i="1" s="1"/>
  <c r="S984" i="1"/>
  <c r="T984" i="1" s="1"/>
  <c r="S985" i="1"/>
  <c r="S986" i="1"/>
  <c r="S987" i="1"/>
  <c r="T987" i="1" s="1"/>
  <c r="S988" i="1"/>
  <c r="T988" i="1" s="1"/>
  <c r="S989" i="1"/>
  <c r="T989" i="1" s="1"/>
  <c r="S990" i="1"/>
  <c r="T990" i="1" s="1"/>
  <c r="S991" i="1"/>
  <c r="T991" i="1" s="1"/>
  <c r="S992" i="1"/>
  <c r="T992" i="1" s="1"/>
  <c r="S993" i="1"/>
  <c r="S994" i="1"/>
  <c r="S995" i="1"/>
  <c r="T995" i="1" s="1"/>
  <c r="S996" i="1"/>
  <c r="T996" i="1" s="1"/>
  <c r="S997" i="1"/>
  <c r="T997" i="1" s="1"/>
  <c r="S998" i="1"/>
  <c r="U998" i="1" s="1"/>
  <c r="S999" i="1"/>
  <c r="T999" i="1" s="1"/>
  <c r="S1000" i="1"/>
  <c r="U1000" i="1" s="1"/>
  <c r="S1001" i="1"/>
  <c r="E3" i="9"/>
  <c r="E4" i="9"/>
  <c r="E2" i="9"/>
  <c r="E3" i="8"/>
  <c r="E4" i="8"/>
  <c r="E2" i="8"/>
  <c r="E3" i="6"/>
  <c r="E4" i="6"/>
  <c r="E5" i="6"/>
  <c r="E6" i="6"/>
  <c r="E2" i="6"/>
  <c r="E3" i="5"/>
  <c r="E4" i="5"/>
  <c r="E5" i="5"/>
  <c r="E6" i="5"/>
  <c r="E7" i="5"/>
  <c r="E2" i="5"/>
  <c r="E3" i="4"/>
  <c r="E4" i="4"/>
  <c r="E5" i="4"/>
  <c r="E6" i="4"/>
  <c r="E2" i="4"/>
  <c r="J2" i="2"/>
  <c r="H2" i="2"/>
  <c r="G2" i="2"/>
  <c r="P127" i="1"/>
  <c r="O2" i="1"/>
  <c r="P2" i="1" s="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P510" i="1" s="1"/>
  <c r="O511" i="1"/>
  <c r="P511" i="1" s="1"/>
  <c r="O512" i="1"/>
  <c r="P512" i="1" s="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P529" i="1" s="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P543" i="1" s="1"/>
  <c r="O544" i="1"/>
  <c r="P544" i="1" s="1"/>
  <c r="O545" i="1"/>
  <c r="P545" i="1" s="1"/>
  <c r="O546" i="1"/>
  <c r="P546" i="1" s="1"/>
  <c r="O547" i="1"/>
  <c r="P547" i="1" s="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P600" i="1" s="1"/>
  <c r="O601" i="1"/>
  <c r="P601" i="1" s="1"/>
  <c r="O602" i="1"/>
  <c r="P602" i="1" s="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P618" i="1" s="1"/>
  <c r="O619" i="1"/>
  <c r="P619" i="1" s="1"/>
  <c r="O620" i="1"/>
  <c r="P620" i="1" s="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P637" i="1" s="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P656" i="1" s="1"/>
  <c r="O657" i="1"/>
  <c r="P657" i="1" s="1"/>
  <c r="O658" i="1"/>
  <c r="P658" i="1" s="1"/>
  <c r="O659" i="1"/>
  <c r="P659" i="1" s="1"/>
  <c r="O660" i="1"/>
  <c r="P660" i="1" s="1"/>
  <c r="O661" i="1"/>
  <c r="P661" i="1" s="1"/>
  <c r="O662" i="1"/>
  <c r="P662" i="1" s="1"/>
  <c r="O663" i="1"/>
  <c r="P663" i="1" s="1"/>
  <c r="O664" i="1"/>
  <c r="P664" i="1" s="1"/>
  <c r="O665" i="1"/>
  <c r="P665" i="1" s="1"/>
  <c r="O666" i="1"/>
  <c r="P666" i="1" s="1"/>
  <c r="O667" i="1"/>
  <c r="P667" i="1" s="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 r="O705" i="1"/>
  <c r="P705" i="1" s="1"/>
  <c r="O706" i="1"/>
  <c r="P706" i="1" s="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P723" i="1" s="1"/>
  <c r="O724" i="1"/>
  <c r="P724" i="1" s="1"/>
  <c r="O725" i="1"/>
  <c r="P725" i="1" s="1"/>
  <c r="O726" i="1"/>
  <c r="P726" i="1" s="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P744" i="1" s="1"/>
  <c r="O745" i="1"/>
  <c r="P745" i="1" s="1"/>
  <c r="O746" i="1"/>
  <c r="P746" i="1" s="1"/>
  <c r="O747" i="1"/>
  <c r="P747" i="1" s="1"/>
  <c r="O748" i="1"/>
  <c r="P748" i="1" s="1"/>
  <c r="O749" i="1"/>
  <c r="P749" i="1" s="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P772" i="1" s="1"/>
  <c r="O773" i="1"/>
  <c r="P773" i="1" s="1"/>
  <c r="O774" i="1"/>
  <c r="P774" i="1" s="1"/>
  <c r="O775" i="1"/>
  <c r="P775" i="1" s="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821" i="1"/>
  <c r="P821" i="1" s="1"/>
  <c r="O822" i="1"/>
  <c r="P822" i="1" s="1"/>
  <c r="O823" i="1"/>
  <c r="P823" i="1" s="1"/>
  <c r="O824" i="1"/>
  <c r="P824" i="1" s="1"/>
  <c r="O825" i="1"/>
  <c r="P825" i="1" s="1"/>
  <c r="O826" i="1"/>
  <c r="P826" i="1" s="1"/>
  <c r="O827" i="1"/>
  <c r="P827" i="1" s="1"/>
  <c r="O828" i="1"/>
  <c r="P828" i="1" s="1"/>
  <c r="O829" i="1"/>
  <c r="P829" i="1" s="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P868" i="1" s="1"/>
  <c r="O869" i="1"/>
  <c r="P869" i="1" s="1"/>
  <c r="O870" i="1"/>
  <c r="P870" i="1" s="1"/>
  <c r="O871" i="1"/>
  <c r="P871" i="1" s="1"/>
  <c r="O872" i="1"/>
  <c r="P872" i="1" s="1"/>
  <c r="O873" i="1"/>
  <c r="P873" i="1" s="1"/>
  <c r="O874" i="1"/>
  <c r="P874" i="1" s="1"/>
  <c r="O875" i="1"/>
  <c r="P875" i="1" s="1"/>
  <c r="O876" i="1"/>
  <c r="P876" i="1" s="1"/>
  <c r="O877" i="1"/>
  <c r="P877" i="1" s="1"/>
  <c r="O878" i="1"/>
  <c r="P878" i="1" s="1"/>
  <c r="O879" i="1"/>
  <c r="P879" i="1" s="1"/>
  <c r="O880" i="1"/>
  <c r="P880" i="1" s="1"/>
  <c r="O881" i="1"/>
  <c r="P881" i="1" s="1"/>
  <c r="O882" i="1"/>
  <c r="P882" i="1" s="1"/>
  <c r="O883" i="1"/>
  <c r="P883" i="1" s="1"/>
  <c r="O884" i="1"/>
  <c r="P884" i="1" s="1"/>
  <c r="O885" i="1"/>
  <c r="P885" i="1" s="1"/>
  <c r="O886" i="1"/>
  <c r="P886" i="1" s="1"/>
  <c r="O887" i="1"/>
  <c r="P887" i="1" s="1"/>
  <c r="O888" i="1"/>
  <c r="P888" i="1" s="1"/>
  <c r="O889" i="1"/>
  <c r="P889" i="1" s="1"/>
  <c r="O890" i="1"/>
  <c r="P890" i="1" s="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 r="O914" i="1"/>
  <c r="P914" i="1" s="1"/>
  <c r="O915" i="1"/>
  <c r="P915" i="1" s="1"/>
  <c r="O916" i="1"/>
  <c r="P916" i="1" s="1"/>
  <c r="O917" i="1"/>
  <c r="P917" i="1" s="1"/>
  <c r="O918" i="1"/>
  <c r="P918" i="1" s="1"/>
  <c r="O919" i="1"/>
  <c r="P919" i="1" s="1"/>
  <c r="O920" i="1"/>
  <c r="P920" i="1" s="1"/>
  <c r="O921" i="1"/>
  <c r="P921" i="1" s="1"/>
  <c r="O922" i="1"/>
  <c r="P922" i="1" s="1"/>
  <c r="O923" i="1"/>
  <c r="P923" i="1" s="1"/>
  <c r="O924" i="1"/>
  <c r="P924" i="1" s="1"/>
  <c r="O925" i="1"/>
  <c r="P925" i="1" s="1"/>
  <c r="O926" i="1"/>
  <c r="P926" i="1" s="1"/>
  <c r="O927" i="1"/>
  <c r="P927" i="1" s="1"/>
  <c r="O928" i="1"/>
  <c r="P928" i="1" s="1"/>
  <c r="O929" i="1"/>
  <c r="P929" i="1" s="1"/>
  <c r="O930" i="1"/>
  <c r="P930" i="1" s="1"/>
  <c r="O931" i="1"/>
  <c r="P931" i="1" s="1"/>
  <c r="O932" i="1"/>
  <c r="P932" i="1" s="1"/>
  <c r="O933" i="1"/>
  <c r="P933" i="1" s="1"/>
  <c r="O934" i="1"/>
  <c r="P934" i="1" s="1"/>
  <c r="O935" i="1"/>
  <c r="P935" i="1" s="1"/>
  <c r="O936" i="1"/>
  <c r="P936" i="1" s="1"/>
  <c r="O937" i="1"/>
  <c r="P937" i="1" s="1"/>
  <c r="O938" i="1"/>
  <c r="P938" i="1" s="1"/>
  <c r="O939" i="1"/>
  <c r="P939" i="1" s="1"/>
  <c r="O940" i="1"/>
  <c r="P940" i="1" s="1"/>
  <c r="O941" i="1"/>
  <c r="P941" i="1" s="1"/>
  <c r="O942" i="1"/>
  <c r="P942" i="1" s="1"/>
  <c r="O943" i="1"/>
  <c r="P943" i="1" s="1"/>
  <c r="O944" i="1"/>
  <c r="P944" i="1" s="1"/>
  <c r="O945" i="1"/>
  <c r="P945" i="1" s="1"/>
  <c r="O946" i="1"/>
  <c r="P946" i="1" s="1"/>
  <c r="O947" i="1"/>
  <c r="P947" i="1" s="1"/>
  <c r="O948" i="1"/>
  <c r="P948" i="1" s="1"/>
  <c r="O949" i="1"/>
  <c r="P949" i="1" s="1"/>
  <c r="O950" i="1"/>
  <c r="P950" i="1" s="1"/>
  <c r="O951" i="1"/>
  <c r="P951" i="1" s="1"/>
  <c r="O952" i="1"/>
  <c r="P952" i="1" s="1"/>
  <c r="O953" i="1"/>
  <c r="P953" i="1" s="1"/>
  <c r="O954" i="1"/>
  <c r="P954" i="1" s="1"/>
  <c r="O955" i="1"/>
  <c r="P955" i="1" s="1"/>
  <c r="O956" i="1"/>
  <c r="P956" i="1" s="1"/>
  <c r="O957" i="1"/>
  <c r="P957" i="1" s="1"/>
  <c r="O958" i="1"/>
  <c r="P958" i="1" s="1"/>
  <c r="O959" i="1"/>
  <c r="P959" i="1" s="1"/>
  <c r="O960" i="1"/>
  <c r="P960" i="1" s="1"/>
  <c r="O961" i="1"/>
  <c r="P961" i="1" s="1"/>
  <c r="O962" i="1"/>
  <c r="P962" i="1" s="1"/>
  <c r="O963" i="1"/>
  <c r="P963" i="1" s="1"/>
  <c r="O964" i="1"/>
  <c r="P964" i="1" s="1"/>
  <c r="O965" i="1"/>
  <c r="P965" i="1" s="1"/>
  <c r="O966" i="1"/>
  <c r="P966" i="1" s="1"/>
  <c r="O967" i="1"/>
  <c r="P967" i="1" s="1"/>
  <c r="O968" i="1"/>
  <c r="P968" i="1" s="1"/>
  <c r="O969" i="1"/>
  <c r="P969" i="1" s="1"/>
  <c r="O970" i="1"/>
  <c r="P970" i="1" s="1"/>
  <c r="O971" i="1"/>
  <c r="P971" i="1" s="1"/>
  <c r="O972" i="1"/>
  <c r="P972" i="1" s="1"/>
  <c r="O973" i="1"/>
  <c r="P973" i="1" s="1"/>
  <c r="O974" i="1"/>
  <c r="P974" i="1" s="1"/>
  <c r="O975" i="1"/>
  <c r="P975" i="1" s="1"/>
  <c r="O976" i="1"/>
  <c r="P976" i="1" s="1"/>
  <c r="O977" i="1"/>
  <c r="P977" i="1" s="1"/>
  <c r="O978" i="1"/>
  <c r="P978" i="1" s="1"/>
  <c r="O979" i="1"/>
  <c r="P979" i="1" s="1"/>
  <c r="O980" i="1"/>
  <c r="P980" i="1" s="1"/>
  <c r="O981" i="1"/>
  <c r="P981" i="1" s="1"/>
  <c r="O982" i="1"/>
  <c r="P982" i="1" s="1"/>
  <c r="O983" i="1"/>
  <c r="P983" i="1" s="1"/>
  <c r="O984" i="1"/>
  <c r="P984" i="1" s="1"/>
  <c r="O985" i="1"/>
  <c r="P985" i="1" s="1"/>
  <c r="O986" i="1"/>
  <c r="P986" i="1" s="1"/>
  <c r="O987" i="1"/>
  <c r="P987" i="1" s="1"/>
  <c r="O988" i="1"/>
  <c r="P988" i="1" s="1"/>
  <c r="O989" i="1"/>
  <c r="P989" i="1" s="1"/>
  <c r="O990" i="1"/>
  <c r="P990" i="1" s="1"/>
  <c r="O991" i="1"/>
  <c r="P991" i="1" s="1"/>
  <c r="O992" i="1"/>
  <c r="P992" i="1" s="1"/>
  <c r="O993" i="1"/>
  <c r="P993" i="1" s="1"/>
  <c r="O994" i="1"/>
  <c r="P994" i="1" s="1"/>
  <c r="O995" i="1"/>
  <c r="P995" i="1" s="1"/>
  <c r="O996" i="1"/>
  <c r="P996" i="1" s="1"/>
  <c r="O997" i="1"/>
  <c r="P997" i="1" s="1"/>
  <c r="O998" i="1"/>
  <c r="P998" i="1" s="1"/>
  <c r="O999" i="1"/>
  <c r="P999" i="1" s="1"/>
  <c r="O1000" i="1"/>
  <c r="P1000" i="1" s="1"/>
  <c r="O1001" i="1"/>
  <c r="P100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Q32" i="1" s="1"/>
  <c r="N33" i="1"/>
  <c r="N34" i="1"/>
  <c r="N35" i="1"/>
  <c r="N36" i="1"/>
  <c r="N37" i="1"/>
  <c r="N38" i="1"/>
  <c r="N39" i="1"/>
  <c r="N40" i="1"/>
  <c r="N41" i="1"/>
  <c r="N42" i="1"/>
  <c r="N43" i="1"/>
  <c r="N44" i="1"/>
  <c r="N45" i="1"/>
  <c r="N46" i="1"/>
  <c r="N47" i="1"/>
  <c r="N48" i="1"/>
  <c r="N49" i="1"/>
  <c r="N50" i="1"/>
  <c r="N51" i="1"/>
  <c r="N52" i="1"/>
  <c r="N53" i="1"/>
  <c r="N54" i="1"/>
  <c r="N55" i="1"/>
  <c r="N56" i="1"/>
  <c r="N57" i="1"/>
  <c r="N58" i="1"/>
  <c r="N59" i="1"/>
  <c r="Q59" i="1" s="1"/>
  <c r="R59" i="1" s="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Q160" i="1" s="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Q187" i="1" s="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Q251" i="1" s="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Q283" i="1" s="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Q355" i="1" s="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Q386" i="1" s="1"/>
  <c r="N387" i="1"/>
  <c r="N388" i="1"/>
  <c r="N389" i="1"/>
  <c r="N390" i="1"/>
  <c r="N391" i="1"/>
  <c r="N392" i="1"/>
  <c r="N393" i="1"/>
  <c r="N394" i="1"/>
  <c r="N395" i="1"/>
  <c r="N396" i="1"/>
  <c r="N397" i="1"/>
  <c r="N398" i="1"/>
  <c r="N399" i="1"/>
  <c r="N400" i="1"/>
  <c r="N401" i="1"/>
  <c r="N402" i="1"/>
  <c r="N403" i="1"/>
  <c r="N404" i="1"/>
  <c r="N405" i="1"/>
  <c r="N406" i="1"/>
  <c r="N407" i="1"/>
  <c r="N408" i="1"/>
  <c r="N409" i="1"/>
  <c r="N410" i="1"/>
  <c r="Q410" i="1" s="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Q458" i="1" s="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Q562" i="1" s="1"/>
  <c r="R562" i="1" s="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Q614" i="1" s="1"/>
  <c r="R614" i="1" s="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Q764" i="1" s="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Q812" i="1" s="1"/>
  <c r="R812" i="1" s="1"/>
  <c r="N813" i="1"/>
  <c r="N814" i="1"/>
  <c r="N815" i="1"/>
  <c r="N816" i="1"/>
  <c r="N817" i="1"/>
  <c r="N818" i="1"/>
  <c r="N819" i="1"/>
  <c r="N820" i="1"/>
  <c r="Q820" i="1" s="1"/>
  <c r="R820" i="1" s="1"/>
  <c r="N821" i="1"/>
  <c r="N822" i="1"/>
  <c r="N823" i="1"/>
  <c r="N824" i="1"/>
  <c r="N825" i="1"/>
  <c r="N826" i="1"/>
  <c r="N827" i="1"/>
  <c r="N828" i="1"/>
  <c r="N829" i="1"/>
  <c r="N830" i="1"/>
  <c r="N831" i="1"/>
  <c r="N832" i="1"/>
  <c r="N833" i="1"/>
  <c r="N834" i="1"/>
  <c r="N835" i="1"/>
  <c r="N836" i="1"/>
  <c r="Q836" i="1" s="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Q876" i="1" s="1"/>
  <c r="N877" i="1"/>
  <c r="N878" i="1"/>
  <c r="N879" i="1"/>
  <c r="N880" i="1"/>
  <c r="N881" i="1"/>
  <c r="N882" i="1"/>
  <c r="N883" i="1"/>
  <c r="N884" i="1"/>
  <c r="N885" i="1"/>
  <c r="N886" i="1"/>
  <c r="N887" i="1"/>
  <c r="N888" i="1"/>
  <c r="N889" i="1"/>
  <c r="N890" i="1"/>
  <c r="N891" i="1"/>
  <c r="N892" i="1"/>
  <c r="Q892" i="1" s="1"/>
  <c r="R892" i="1" s="1"/>
  <c r="N893" i="1"/>
  <c r="N894" i="1"/>
  <c r="N895" i="1"/>
  <c r="N896" i="1"/>
  <c r="N897" i="1"/>
  <c r="N898" i="1"/>
  <c r="N899" i="1"/>
  <c r="N900" i="1"/>
  <c r="N901" i="1"/>
  <c r="N902" i="1"/>
  <c r="N903" i="1"/>
  <c r="N904" i="1"/>
  <c r="N905" i="1"/>
  <c r="N906" i="1"/>
  <c r="N907" i="1"/>
  <c r="N908" i="1"/>
  <c r="N909" i="1"/>
  <c r="N910" i="1"/>
  <c r="Q910" i="1" s="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Q940" i="1" s="1"/>
  <c r="R940" i="1" s="1"/>
  <c r="N941" i="1"/>
  <c r="N942" i="1"/>
  <c r="N943" i="1"/>
  <c r="N944" i="1"/>
  <c r="N945" i="1"/>
  <c r="N946" i="1"/>
  <c r="N947" i="1"/>
  <c r="N948" i="1"/>
  <c r="Q948" i="1" s="1"/>
  <c r="N949" i="1"/>
  <c r="N950" i="1"/>
  <c r="N951" i="1"/>
  <c r="N952" i="1"/>
  <c r="N953" i="1"/>
  <c r="N954" i="1"/>
  <c r="N955" i="1"/>
  <c r="N956" i="1"/>
  <c r="N957" i="1"/>
  <c r="N958" i="1"/>
  <c r="N959" i="1"/>
  <c r="N960" i="1"/>
  <c r="N961" i="1"/>
  <c r="N962" i="1"/>
  <c r="N963" i="1"/>
  <c r="N964" i="1"/>
  <c r="Q964" i="1" s="1"/>
  <c r="N965" i="1"/>
  <c r="N966" i="1"/>
  <c r="N967" i="1"/>
  <c r="N968" i="1"/>
  <c r="N969" i="1"/>
  <c r="N970" i="1"/>
  <c r="N971" i="1"/>
  <c r="N972" i="1"/>
  <c r="N973" i="1"/>
  <c r="N974" i="1"/>
  <c r="N975" i="1"/>
  <c r="N976" i="1"/>
  <c r="N977" i="1"/>
  <c r="N978" i="1"/>
  <c r="N979" i="1"/>
  <c r="N980" i="1"/>
  <c r="Q980" i="1" s="1"/>
  <c r="R980" i="1" s="1"/>
  <c r="N981" i="1"/>
  <c r="N982" i="1"/>
  <c r="N983" i="1"/>
  <c r="N984" i="1"/>
  <c r="N985" i="1"/>
  <c r="N986" i="1"/>
  <c r="N987" i="1"/>
  <c r="N988" i="1"/>
  <c r="N989" i="1"/>
  <c r="N990" i="1"/>
  <c r="N991" i="1"/>
  <c r="N992" i="1"/>
  <c r="N993" i="1"/>
  <c r="N994" i="1"/>
  <c r="N995" i="1"/>
  <c r="N996" i="1"/>
  <c r="N997" i="1"/>
  <c r="N998" i="1"/>
  <c r="N999" i="1"/>
  <c r="N1000" i="1"/>
  <c r="N1001" i="1"/>
  <c r="E4" i="19"/>
  <c r="E5" i="19"/>
  <c r="E3" i="19"/>
  <c r="E2" i="19"/>
  <c r="T327" i="1" l="1"/>
  <c r="U327" i="1"/>
  <c r="T95" i="1"/>
  <c r="U95" i="1"/>
  <c r="T535" i="1"/>
  <c r="T54" i="1"/>
  <c r="U54" i="1"/>
  <c r="V812" i="1"/>
  <c r="U463" i="1"/>
  <c r="T319" i="1"/>
  <c r="U319" i="1"/>
  <c r="U62" i="1"/>
  <c r="T62" i="1"/>
  <c r="U999" i="1"/>
  <c r="T967" i="1"/>
  <c r="U967" i="1"/>
  <c r="T375" i="1"/>
  <c r="U375" i="1"/>
  <c r="U151" i="1"/>
  <c r="R964" i="1"/>
  <c r="V964" i="1"/>
  <c r="R948" i="1"/>
  <c r="V948" i="1"/>
  <c r="R876" i="1"/>
  <c r="V876" i="1"/>
  <c r="T886" i="1"/>
  <c r="U886" i="1"/>
  <c r="T854" i="1"/>
  <c r="U854" i="1"/>
  <c r="T766" i="1"/>
  <c r="U766" i="1"/>
  <c r="T486" i="1"/>
  <c r="U486" i="1"/>
  <c r="T76" i="1"/>
  <c r="U513" i="1"/>
  <c r="U339" i="1"/>
  <c r="T833" i="1"/>
  <c r="T753" i="1"/>
  <c r="T49" i="1"/>
  <c r="U705" i="1"/>
  <c r="U464" i="1"/>
  <c r="T909" i="1"/>
  <c r="T241" i="1"/>
  <c r="U853" i="1"/>
  <c r="U267" i="1"/>
  <c r="U901" i="1"/>
  <c r="T461" i="1"/>
  <c r="U900" i="1"/>
  <c r="U141" i="1"/>
  <c r="U307" i="1"/>
  <c r="U99" i="1"/>
  <c r="T925" i="1"/>
  <c r="T337" i="1"/>
  <c r="U489" i="1"/>
  <c r="T893" i="1"/>
  <c r="T608" i="1"/>
  <c r="T105" i="1"/>
  <c r="U973" i="1"/>
  <c r="U805" i="1"/>
  <c r="U585" i="1"/>
  <c r="U485" i="1"/>
  <c r="U367" i="1"/>
  <c r="U255" i="1"/>
  <c r="U43" i="1"/>
  <c r="U765" i="1"/>
  <c r="U706" i="1"/>
  <c r="T700" i="1"/>
  <c r="T689" i="1"/>
  <c r="T834" i="1"/>
  <c r="T84" i="1"/>
  <c r="U972" i="1"/>
  <c r="U769" i="1"/>
  <c r="U558" i="1"/>
  <c r="U465" i="1"/>
  <c r="U366" i="1"/>
  <c r="U219" i="1"/>
  <c r="V980" i="1"/>
  <c r="V562" i="1"/>
  <c r="V59" i="1"/>
  <c r="T982" i="1"/>
  <c r="U982" i="1"/>
  <c r="T974" i="1"/>
  <c r="U974" i="1"/>
  <c r="T966" i="1"/>
  <c r="U966" i="1"/>
  <c r="T950" i="1"/>
  <c r="U950" i="1"/>
  <c r="T918" i="1"/>
  <c r="U918" i="1"/>
  <c r="T902" i="1"/>
  <c r="U902" i="1"/>
  <c r="T870" i="1"/>
  <c r="U870" i="1"/>
  <c r="T838" i="1"/>
  <c r="U838" i="1"/>
  <c r="U830" i="1"/>
  <c r="T830" i="1"/>
  <c r="T822" i="1"/>
  <c r="U822" i="1"/>
  <c r="T790" i="1"/>
  <c r="U790" i="1"/>
  <c r="U782" i="1"/>
  <c r="T782" i="1"/>
  <c r="T734" i="1"/>
  <c r="U734" i="1"/>
  <c r="T726" i="1"/>
  <c r="U726" i="1"/>
  <c r="U646" i="1"/>
  <c r="T646" i="1"/>
  <c r="U622" i="1"/>
  <c r="T622" i="1"/>
  <c r="U510" i="1"/>
  <c r="T510" i="1"/>
  <c r="U462" i="1"/>
  <c r="T462" i="1"/>
  <c r="T438" i="1"/>
  <c r="U438" i="1"/>
  <c r="T390" i="1"/>
  <c r="U390" i="1"/>
  <c r="T318" i="1"/>
  <c r="U318" i="1"/>
  <c r="T294" i="1"/>
  <c r="U294" i="1"/>
  <c r="T270" i="1"/>
  <c r="U270" i="1"/>
  <c r="T254" i="1"/>
  <c r="U254" i="1"/>
  <c r="T246" i="1"/>
  <c r="U246" i="1"/>
  <c r="T230" i="1"/>
  <c r="U230" i="1"/>
  <c r="T206" i="1"/>
  <c r="U206" i="1"/>
  <c r="T198" i="1"/>
  <c r="U198" i="1"/>
  <c r="T182" i="1"/>
  <c r="U182" i="1"/>
  <c r="T142" i="1"/>
  <c r="U142" i="1"/>
  <c r="T126" i="1"/>
  <c r="U126" i="1"/>
  <c r="T110" i="1"/>
  <c r="U110" i="1"/>
  <c r="T86" i="1"/>
  <c r="U86" i="1"/>
  <c r="U38" i="1"/>
  <c r="T38" i="1"/>
  <c r="T30" i="1"/>
  <c r="U30" i="1"/>
  <c r="T220" i="1"/>
  <c r="U948" i="1"/>
  <c r="U852" i="1"/>
  <c r="U340" i="1"/>
  <c r="U53" i="1"/>
  <c r="R355" i="1"/>
  <c r="V355" i="1"/>
  <c r="R283" i="1"/>
  <c r="V283" i="1"/>
  <c r="R251" i="1"/>
  <c r="V251" i="1"/>
  <c r="R187" i="1"/>
  <c r="V187" i="1"/>
  <c r="T965" i="1"/>
  <c r="U965" i="1"/>
  <c r="T949" i="1"/>
  <c r="U949" i="1"/>
  <c r="U941" i="1"/>
  <c r="T941" i="1"/>
  <c r="T917" i="1"/>
  <c r="U917" i="1"/>
  <c r="T885" i="1"/>
  <c r="U885" i="1"/>
  <c r="T869" i="1"/>
  <c r="U869" i="1"/>
  <c r="T837" i="1"/>
  <c r="U837" i="1"/>
  <c r="T821" i="1"/>
  <c r="U821" i="1"/>
  <c r="T789" i="1"/>
  <c r="U789" i="1"/>
  <c r="T725" i="1"/>
  <c r="U725" i="1"/>
  <c r="T701" i="1"/>
  <c r="U701" i="1"/>
  <c r="T637" i="1"/>
  <c r="U637" i="1"/>
  <c r="T413" i="1"/>
  <c r="U413" i="1"/>
  <c r="T389" i="1"/>
  <c r="U389" i="1"/>
  <c r="T365" i="1"/>
  <c r="U365" i="1"/>
  <c r="T317" i="1"/>
  <c r="U317" i="1"/>
  <c r="T293" i="1"/>
  <c r="U293" i="1"/>
  <c r="T245" i="1"/>
  <c r="U245" i="1"/>
  <c r="T221" i="1"/>
  <c r="U221" i="1"/>
  <c r="T197" i="1"/>
  <c r="U197" i="1"/>
  <c r="T109" i="1"/>
  <c r="U109" i="1"/>
  <c r="T85" i="1"/>
  <c r="U85" i="1"/>
  <c r="T29" i="1"/>
  <c r="U29" i="1"/>
  <c r="T196" i="1"/>
  <c r="U997" i="1"/>
  <c r="U934" i="1"/>
  <c r="U820" i="1"/>
  <c r="U702" i="1"/>
  <c r="U437" i="1"/>
  <c r="R458" i="1"/>
  <c r="V458" i="1"/>
  <c r="R410" i="1"/>
  <c r="V410" i="1"/>
  <c r="R386" i="1"/>
  <c r="V386" i="1"/>
  <c r="T964" i="1"/>
  <c r="U964" i="1"/>
  <c r="T932" i="1"/>
  <c r="U932" i="1"/>
  <c r="T916" i="1"/>
  <c r="U916" i="1"/>
  <c r="T884" i="1"/>
  <c r="U884" i="1"/>
  <c r="T868" i="1"/>
  <c r="U868" i="1"/>
  <c r="T836" i="1"/>
  <c r="U836" i="1"/>
  <c r="T804" i="1"/>
  <c r="U804" i="1"/>
  <c r="T788" i="1"/>
  <c r="U788" i="1"/>
  <c r="T748" i="1"/>
  <c r="U748" i="1"/>
  <c r="T724" i="1"/>
  <c r="U724" i="1"/>
  <c r="T684" i="1"/>
  <c r="U684" i="1"/>
  <c r="T660" i="1"/>
  <c r="U660" i="1"/>
  <c r="U644" i="1"/>
  <c r="T644" i="1"/>
  <c r="T612" i="1"/>
  <c r="U612" i="1"/>
  <c r="T564" i="1"/>
  <c r="U564" i="1"/>
  <c r="T412" i="1"/>
  <c r="U412" i="1"/>
  <c r="T364" i="1"/>
  <c r="U364" i="1"/>
  <c r="T356" i="1"/>
  <c r="U356" i="1"/>
  <c r="U332" i="1"/>
  <c r="T332" i="1"/>
  <c r="U316" i="1"/>
  <c r="T316" i="1"/>
  <c r="U308" i="1"/>
  <c r="T308" i="1"/>
  <c r="T292" i="1"/>
  <c r="U292" i="1"/>
  <c r="T244" i="1"/>
  <c r="U244" i="1"/>
  <c r="U172" i="1"/>
  <c r="T172" i="1"/>
  <c r="T140" i="1"/>
  <c r="U140" i="1"/>
  <c r="U124" i="1"/>
  <c r="T124" i="1"/>
  <c r="T116" i="1"/>
  <c r="U116" i="1"/>
  <c r="U108" i="1"/>
  <c r="T108" i="1"/>
  <c r="T100" i="1"/>
  <c r="U100" i="1"/>
  <c r="T68" i="1"/>
  <c r="U68" i="1"/>
  <c r="U52" i="1"/>
  <c r="T52" i="1"/>
  <c r="T44" i="1"/>
  <c r="U44" i="1"/>
  <c r="U36" i="1"/>
  <c r="T36" i="1"/>
  <c r="U28" i="1"/>
  <c r="T28" i="1"/>
  <c r="T12" i="1"/>
  <c r="U12" i="1"/>
  <c r="T173" i="1"/>
  <c r="U996" i="1"/>
  <c r="U933" i="1"/>
  <c r="U806" i="1"/>
  <c r="U636" i="1"/>
  <c r="Q184" i="1"/>
  <c r="T331" i="1"/>
  <c r="U331" i="1"/>
  <c r="T283" i="1"/>
  <c r="U283" i="1"/>
  <c r="T243" i="1"/>
  <c r="U243" i="1"/>
  <c r="T115" i="1"/>
  <c r="U115" i="1"/>
  <c r="T11" i="1"/>
  <c r="U11" i="1"/>
  <c r="U139" i="1"/>
  <c r="R32" i="1"/>
  <c r="V32" i="1"/>
  <c r="U83" i="1"/>
  <c r="R910" i="1"/>
  <c r="V910" i="1"/>
  <c r="T1000" i="1"/>
  <c r="T511" i="1"/>
  <c r="U584" i="1"/>
  <c r="U440" i="1"/>
  <c r="U391" i="1"/>
  <c r="U355" i="1"/>
  <c r="U291" i="1"/>
  <c r="U235" i="1"/>
  <c r="U67" i="1"/>
  <c r="U24" i="1"/>
  <c r="R160" i="1"/>
  <c r="V160" i="1"/>
  <c r="T257" i="1"/>
  <c r="U975" i="1"/>
  <c r="U583" i="1"/>
  <c r="U439" i="1"/>
  <c r="U344" i="1"/>
  <c r="U279" i="1"/>
  <c r="U171" i="1"/>
  <c r="U56" i="1"/>
  <c r="U23" i="1"/>
  <c r="V940" i="1"/>
  <c r="V892" i="1"/>
  <c r="V820" i="1"/>
  <c r="R836" i="1"/>
  <c r="V836" i="1"/>
  <c r="R764" i="1"/>
  <c r="V764" i="1"/>
  <c r="T303" i="1"/>
  <c r="U303" i="1"/>
  <c r="T271" i="1"/>
  <c r="U271" i="1"/>
  <c r="T207" i="1"/>
  <c r="U207" i="1"/>
  <c r="T167" i="1"/>
  <c r="U167" i="1"/>
  <c r="T39" i="1"/>
  <c r="U39" i="1"/>
  <c r="U770" i="1"/>
  <c r="U559" i="1"/>
  <c r="U343" i="1"/>
  <c r="U55" i="1"/>
  <c r="T850" i="1"/>
  <c r="U850" i="1"/>
  <c r="T858" i="1"/>
  <c r="U858" i="1"/>
  <c r="T866" i="1"/>
  <c r="U866" i="1"/>
  <c r="T650" i="1"/>
  <c r="U650" i="1"/>
  <c r="T618" i="1"/>
  <c r="U618" i="1"/>
  <c r="T586" i="1"/>
  <c r="U586" i="1"/>
  <c r="T554" i="1"/>
  <c r="U554" i="1"/>
  <c r="T522" i="1"/>
  <c r="U522" i="1"/>
  <c r="T490" i="1"/>
  <c r="U490" i="1"/>
  <c r="T458" i="1"/>
  <c r="U458" i="1"/>
  <c r="T426" i="1"/>
  <c r="U426" i="1"/>
  <c r="T394" i="1"/>
  <c r="U394" i="1"/>
  <c r="T362" i="1"/>
  <c r="U362" i="1"/>
  <c r="T330" i="1"/>
  <c r="U330" i="1"/>
  <c r="T298" i="1"/>
  <c r="U298" i="1"/>
  <c r="T266" i="1"/>
  <c r="U266" i="1"/>
  <c r="T234" i="1"/>
  <c r="U234" i="1"/>
  <c r="T202" i="1"/>
  <c r="U202" i="1"/>
  <c r="T170" i="1"/>
  <c r="U170" i="1"/>
  <c r="T138" i="1"/>
  <c r="U138" i="1"/>
  <c r="T98" i="1"/>
  <c r="U98" i="1"/>
  <c r="T58" i="1"/>
  <c r="U58" i="1"/>
  <c r="T18" i="1"/>
  <c r="U18" i="1"/>
  <c r="T1001" i="1"/>
  <c r="U1001" i="1"/>
  <c r="T969" i="1"/>
  <c r="U969" i="1"/>
  <c r="T937" i="1"/>
  <c r="U937" i="1"/>
  <c r="T905" i="1"/>
  <c r="U905" i="1"/>
  <c r="T873" i="1"/>
  <c r="U873" i="1"/>
  <c r="U809" i="1"/>
  <c r="T809" i="1"/>
  <c r="T785" i="1"/>
  <c r="U785" i="1"/>
  <c r="T441" i="1"/>
  <c r="U441" i="1"/>
  <c r="T321" i="1"/>
  <c r="U321" i="1"/>
  <c r="T161" i="1"/>
  <c r="U161" i="1"/>
  <c r="T137" i="1"/>
  <c r="U137" i="1"/>
  <c r="T113" i="1"/>
  <c r="U113" i="1"/>
  <c r="T57" i="1"/>
  <c r="U57" i="1"/>
  <c r="T25" i="1"/>
  <c r="U25" i="1"/>
  <c r="T801" i="1"/>
  <c r="T746" i="1"/>
  <c r="T682" i="1"/>
  <c r="T561" i="1"/>
  <c r="T457" i="1"/>
  <c r="U995" i="1"/>
  <c r="U657" i="1"/>
  <c r="U609" i="1"/>
  <c r="U193" i="1"/>
  <c r="T952" i="1"/>
  <c r="U952" i="1"/>
  <c r="T920" i="1"/>
  <c r="U920" i="1"/>
  <c r="T904" i="1"/>
  <c r="U904" i="1"/>
  <c r="T888" i="1"/>
  <c r="U888" i="1"/>
  <c r="T872" i="1"/>
  <c r="U872" i="1"/>
  <c r="T856" i="1"/>
  <c r="U856" i="1"/>
  <c r="T840" i="1"/>
  <c r="U840" i="1"/>
  <c r="T824" i="1"/>
  <c r="U824" i="1"/>
  <c r="T776" i="1"/>
  <c r="U776" i="1"/>
  <c r="T760" i="1"/>
  <c r="U760" i="1"/>
  <c r="T744" i="1"/>
  <c r="U744" i="1"/>
  <c r="T728" i="1"/>
  <c r="U728" i="1"/>
  <c r="T712" i="1"/>
  <c r="U712" i="1"/>
  <c r="T688" i="1"/>
  <c r="U688" i="1"/>
  <c r="T664" i="1"/>
  <c r="U664" i="1"/>
  <c r="T640" i="1"/>
  <c r="U640" i="1"/>
  <c r="T624" i="1"/>
  <c r="U624" i="1"/>
  <c r="T568" i="1"/>
  <c r="U568" i="1"/>
  <c r="T552" i="1"/>
  <c r="U552" i="1"/>
  <c r="T520" i="1"/>
  <c r="U520" i="1"/>
  <c r="T504" i="1"/>
  <c r="U504" i="1"/>
  <c r="U488" i="1"/>
  <c r="T488" i="1"/>
  <c r="T472" i="1"/>
  <c r="U472" i="1"/>
  <c r="T456" i="1"/>
  <c r="U456" i="1"/>
  <c r="T360" i="1"/>
  <c r="U360" i="1"/>
  <c r="T312" i="1"/>
  <c r="U312" i="1"/>
  <c r="T304" i="1"/>
  <c r="U304" i="1"/>
  <c r="T288" i="1"/>
  <c r="U288" i="1"/>
  <c r="T272" i="1"/>
  <c r="U272" i="1"/>
  <c r="T264" i="1"/>
  <c r="U264" i="1"/>
  <c r="T248" i="1"/>
  <c r="U248" i="1"/>
  <c r="T240" i="1"/>
  <c r="U240" i="1"/>
  <c r="T232" i="1"/>
  <c r="U232" i="1"/>
  <c r="T224" i="1"/>
  <c r="U224" i="1"/>
  <c r="T216" i="1"/>
  <c r="U216" i="1"/>
  <c r="T200" i="1"/>
  <c r="U200" i="1"/>
  <c r="T176" i="1"/>
  <c r="U176" i="1"/>
  <c r="T160" i="1"/>
  <c r="U160" i="1"/>
  <c r="T136" i="1"/>
  <c r="U136" i="1"/>
  <c r="T120" i="1"/>
  <c r="U120" i="1"/>
  <c r="T112" i="1"/>
  <c r="U112" i="1"/>
  <c r="T104" i="1"/>
  <c r="U104" i="1"/>
  <c r="T88" i="1"/>
  <c r="U88" i="1"/>
  <c r="T80" i="1"/>
  <c r="U80" i="1"/>
  <c r="T64" i="1"/>
  <c r="U64" i="1"/>
  <c r="T48" i="1"/>
  <c r="U48" i="1"/>
  <c r="T32" i="1"/>
  <c r="U32" i="1"/>
  <c r="T16" i="1"/>
  <c r="U16" i="1"/>
  <c r="T8" i="1"/>
  <c r="U8" i="1"/>
  <c r="T826" i="1"/>
  <c r="T800" i="1"/>
  <c r="T737" i="1"/>
  <c r="T681" i="1"/>
  <c r="T497" i="1"/>
  <c r="T433" i="1"/>
  <c r="T329" i="1"/>
  <c r="T225" i="1"/>
  <c r="T145" i="1"/>
  <c r="T81" i="1"/>
  <c r="T33" i="1"/>
  <c r="U992" i="1"/>
  <c r="U960" i="1"/>
  <c r="U947" i="1"/>
  <c r="U931" i="1"/>
  <c r="U915" i="1"/>
  <c r="U899" i="1"/>
  <c r="U883" i="1"/>
  <c r="U867" i="1"/>
  <c r="U851" i="1"/>
  <c r="U835" i="1"/>
  <c r="U819" i="1"/>
  <c r="U803" i="1"/>
  <c r="U787" i="1"/>
  <c r="U745" i="1"/>
  <c r="U723" i="1"/>
  <c r="U656" i="1"/>
  <c r="U265" i="1"/>
  <c r="U217" i="1"/>
  <c r="U192" i="1"/>
  <c r="T959" i="1"/>
  <c r="U959" i="1"/>
  <c r="T951" i="1"/>
  <c r="U951" i="1"/>
  <c r="T943" i="1"/>
  <c r="U943" i="1"/>
  <c r="T935" i="1"/>
  <c r="U935" i="1"/>
  <c r="T927" i="1"/>
  <c r="U927" i="1"/>
  <c r="T919" i="1"/>
  <c r="U919" i="1"/>
  <c r="T911" i="1"/>
  <c r="U911" i="1"/>
  <c r="T903" i="1"/>
  <c r="U903" i="1"/>
  <c r="T895" i="1"/>
  <c r="U895" i="1"/>
  <c r="T887" i="1"/>
  <c r="U887" i="1"/>
  <c r="T879" i="1"/>
  <c r="U879" i="1"/>
  <c r="T871" i="1"/>
  <c r="U871" i="1"/>
  <c r="T863" i="1"/>
  <c r="U863" i="1"/>
  <c r="T855" i="1"/>
  <c r="U855" i="1"/>
  <c r="T847" i="1"/>
  <c r="U847" i="1"/>
  <c r="T839" i="1"/>
  <c r="U839" i="1"/>
  <c r="T831" i="1"/>
  <c r="U831" i="1"/>
  <c r="T823" i="1"/>
  <c r="U823" i="1"/>
  <c r="T815" i="1"/>
  <c r="U815" i="1"/>
  <c r="T807" i="1"/>
  <c r="U807" i="1"/>
  <c r="T791" i="1"/>
  <c r="U791" i="1"/>
  <c r="T783" i="1"/>
  <c r="U783" i="1"/>
  <c r="T775" i="1"/>
  <c r="U775" i="1"/>
  <c r="T767" i="1"/>
  <c r="U767" i="1"/>
  <c r="T759" i="1"/>
  <c r="U759" i="1"/>
  <c r="T751" i="1"/>
  <c r="U751" i="1"/>
  <c r="T743" i="1"/>
  <c r="U743" i="1"/>
  <c r="T735" i="1"/>
  <c r="U735" i="1"/>
  <c r="T727" i="1"/>
  <c r="U727" i="1"/>
  <c r="T711" i="1"/>
  <c r="U711" i="1"/>
  <c r="T703" i="1"/>
  <c r="U703" i="1"/>
  <c r="T695" i="1"/>
  <c r="U695" i="1"/>
  <c r="T687" i="1"/>
  <c r="U687" i="1"/>
  <c r="T679" i="1"/>
  <c r="U679" i="1"/>
  <c r="U671" i="1"/>
  <c r="T671" i="1"/>
  <c r="T663" i="1"/>
  <c r="U663" i="1"/>
  <c r="T655" i="1"/>
  <c r="U655" i="1"/>
  <c r="T639" i="1"/>
  <c r="U639" i="1"/>
  <c r="T615" i="1"/>
  <c r="U615" i="1"/>
  <c r="U607" i="1"/>
  <c r="T607" i="1"/>
  <c r="T591" i="1"/>
  <c r="U591" i="1"/>
  <c r="T567" i="1"/>
  <c r="U567" i="1"/>
  <c r="T551" i="1"/>
  <c r="U551" i="1"/>
  <c r="T543" i="1"/>
  <c r="U543" i="1"/>
  <c r="T519" i="1"/>
  <c r="U519" i="1"/>
  <c r="T503" i="1"/>
  <c r="U503" i="1"/>
  <c r="T495" i="1"/>
  <c r="U495" i="1"/>
  <c r="U487" i="1"/>
  <c r="T487" i="1"/>
  <c r="T479" i="1"/>
  <c r="U479" i="1"/>
  <c r="T471" i="1"/>
  <c r="U471" i="1"/>
  <c r="T455" i="1"/>
  <c r="U455" i="1"/>
  <c r="T447" i="1"/>
  <c r="U447" i="1"/>
  <c r="T431" i="1"/>
  <c r="U431" i="1"/>
  <c r="T423" i="1"/>
  <c r="U423" i="1"/>
  <c r="T415" i="1"/>
  <c r="U415" i="1"/>
  <c r="T407" i="1"/>
  <c r="U407" i="1"/>
  <c r="T399" i="1"/>
  <c r="U399" i="1"/>
  <c r="T383" i="1"/>
  <c r="U383" i="1"/>
  <c r="T359" i="1"/>
  <c r="U359" i="1"/>
  <c r="T351" i="1"/>
  <c r="U351" i="1"/>
  <c r="T335" i="1"/>
  <c r="U335" i="1"/>
  <c r="T311" i="1"/>
  <c r="U311" i="1"/>
  <c r="T295" i="1"/>
  <c r="U295" i="1"/>
  <c r="T287" i="1"/>
  <c r="U287" i="1"/>
  <c r="T263" i="1"/>
  <c r="U263" i="1"/>
  <c r="T247" i="1"/>
  <c r="U247" i="1"/>
  <c r="T239" i="1"/>
  <c r="U239" i="1"/>
  <c r="T231" i="1"/>
  <c r="U231" i="1"/>
  <c r="T223" i="1"/>
  <c r="U223" i="1"/>
  <c r="T215" i="1"/>
  <c r="U215" i="1"/>
  <c r="T199" i="1"/>
  <c r="U199" i="1"/>
  <c r="T191" i="1"/>
  <c r="U191" i="1"/>
  <c r="T175" i="1"/>
  <c r="U175" i="1"/>
  <c r="T159" i="1"/>
  <c r="U159" i="1"/>
  <c r="T143" i="1"/>
  <c r="U143" i="1"/>
  <c r="T135" i="1"/>
  <c r="U135" i="1"/>
  <c r="T119" i="1"/>
  <c r="U119" i="1"/>
  <c r="T111" i="1"/>
  <c r="U111" i="1"/>
  <c r="T103" i="1"/>
  <c r="U103" i="1"/>
  <c r="T87" i="1"/>
  <c r="U87" i="1"/>
  <c r="T79" i="1"/>
  <c r="U79" i="1"/>
  <c r="T63" i="1"/>
  <c r="U63" i="1"/>
  <c r="T47" i="1"/>
  <c r="U47" i="1"/>
  <c r="T31" i="1"/>
  <c r="U31" i="1"/>
  <c r="T15" i="1"/>
  <c r="U15" i="1"/>
  <c r="T7" i="1"/>
  <c r="U7" i="1"/>
  <c r="T998" i="1"/>
  <c r="T877" i="1"/>
  <c r="T825" i="1"/>
  <c r="T799" i="1"/>
  <c r="T764" i="1"/>
  <c r="T729" i="1"/>
  <c r="T699" i="1"/>
  <c r="T672" i="1"/>
  <c r="T621" i="1"/>
  <c r="T545" i="1"/>
  <c r="T425" i="1"/>
  <c r="T129" i="1"/>
  <c r="U991" i="1"/>
  <c r="U981" i="1"/>
  <c r="U971" i="1"/>
  <c r="U958" i="1"/>
  <c r="U942" i="1"/>
  <c r="U926" i="1"/>
  <c r="U910" i="1"/>
  <c r="U894" i="1"/>
  <c r="U878" i="1"/>
  <c r="U862" i="1"/>
  <c r="U846" i="1"/>
  <c r="U814" i="1"/>
  <c r="U798" i="1"/>
  <c r="U780" i="1"/>
  <c r="U758" i="1"/>
  <c r="U738" i="1"/>
  <c r="U716" i="1"/>
  <c r="U694" i="1"/>
  <c r="U673" i="1"/>
  <c r="U648" i="1"/>
  <c r="U623" i="1"/>
  <c r="U600" i="1"/>
  <c r="U575" i="1"/>
  <c r="U550" i="1"/>
  <c r="U527" i="1"/>
  <c r="U502" i="1"/>
  <c r="U477" i="1"/>
  <c r="U454" i="1"/>
  <c r="U429" i="1"/>
  <c r="U404" i="1"/>
  <c r="U381" i="1"/>
  <c r="U209" i="1"/>
  <c r="U184" i="1"/>
  <c r="U158" i="1"/>
  <c r="U128" i="1"/>
  <c r="U72" i="1"/>
  <c r="U14" i="1"/>
  <c r="U763" i="1"/>
  <c r="T763" i="1"/>
  <c r="T739" i="1"/>
  <c r="U739" i="1"/>
  <c r="U707" i="1"/>
  <c r="T707" i="1"/>
  <c r="T667" i="1"/>
  <c r="U667" i="1"/>
  <c r="T643" i="1"/>
  <c r="U643" i="1"/>
  <c r="T571" i="1"/>
  <c r="U571" i="1"/>
  <c r="T531" i="1"/>
  <c r="U531" i="1"/>
  <c r="T483" i="1"/>
  <c r="U483" i="1"/>
  <c r="T467" i="1"/>
  <c r="U467" i="1"/>
  <c r="T811" i="1"/>
  <c r="T715" i="1"/>
  <c r="U539" i="1"/>
  <c r="T994" i="1"/>
  <c r="U994" i="1"/>
  <c r="T978" i="1"/>
  <c r="U978" i="1"/>
  <c r="T962" i="1"/>
  <c r="U962" i="1"/>
  <c r="T938" i="1"/>
  <c r="U938" i="1"/>
  <c r="T922" i="1"/>
  <c r="U922" i="1"/>
  <c r="T898" i="1"/>
  <c r="U898" i="1"/>
  <c r="T794" i="1"/>
  <c r="U794" i="1"/>
  <c r="T722" i="1"/>
  <c r="U722" i="1"/>
  <c r="T674" i="1"/>
  <c r="U674" i="1"/>
  <c r="T642" i="1"/>
  <c r="U642" i="1"/>
  <c r="T610" i="1"/>
  <c r="U610" i="1"/>
  <c r="T578" i="1"/>
  <c r="U578" i="1"/>
  <c r="T546" i="1"/>
  <c r="U546" i="1"/>
  <c r="T514" i="1"/>
  <c r="U514" i="1"/>
  <c r="T482" i="1"/>
  <c r="U482" i="1"/>
  <c r="T450" i="1"/>
  <c r="U450" i="1"/>
  <c r="T418" i="1"/>
  <c r="U418" i="1"/>
  <c r="T386" i="1"/>
  <c r="U386" i="1"/>
  <c r="T354" i="1"/>
  <c r="U354" i="1"/>
  <c r="T322" i="1"/>
  <c r="U322" i="1"/>
  <c r="T290" i="1"/>
  <c r="U290" i="1"/>
  <c r="T258" i="1"/>
  <c r="U258" i="1"/>
  <c r="T226" i="1"/>
  <c r="U226" i="1"/>
  <c r="T194" i="1"/>
  <c r="U194" i="1"/>
  <c r="T162" i="1"/>
  <c r="U162" i="1"/>
  <c r="T130" i="1"/>
  <c r="U130" i="1"/>
  <c r="T106" i="1"/>
  <c r="U106" i="1"/>
  <c r="T74" i="1"/>
  <c r="U74" i="1"/>
  <c r="T42" i="1"/>
  <c r="U42" i="1"/>
  <c r="T10" i="1"/>
  <c r="U10" i="1"/>
  <c r="T802" i="1"/>
  <c r="U659" i="1"/>
  <c r="U563" i="1"/>
  <c r="T993" i="1"/>
  <c r="U993" i="1"/>
  <c r="T961" i="1"/>
  <c r="U961" i="1"/>
  <c r="T929" i="1"/>
  <c r="U929" i="1"/>
  <c r="T897" i="1"/>
  <c r="U897" i="1"/>
  <c r="T865" i="1"/>
  <c r="U865" i="1"/>
  <c r="T633" i="1"/>
  <c r="U633" i="1"/>
  <c r="T601" i="1"/>
  <c r="U601" i="1"/>
  <c r="T577" i="1"/>
  <c r="U577" i="1"/>
  <c r="T393" i="1"/>
  <c r="U393" i="1"/>
  <c r="T369" i="1"/>
  <c r="U369" i="1"/>
  <c r="T345" i="1"/>
  <c r="U345" i="1"/>
  <c r="T273" i="1"/>
  <c r="U273" i="1"/>
  <c r="T249" i="1"/>
  <c r="U249" i="1"/>
  <c r="T17" i="1"/>
  <c r="U17" i="1"/>
  <c r="T169" i="1"/>
  <c r="U963" i="1"/>
  <c r="T944" i="1"/>
  <c r="U944" i="1"/>
  <c r="T912" i="1"/>
  <c r="U912" i="1"/>
  <c r="T896" i="1"/>
  <c r="U896" i="1"/>
  <c r="T880" i="1"/>
  <c r="U880" i="1"/>
  <c r="T864" i="1"/>
  <c r="U864" i="1"/>
  <c r="T848" i="1"/>
  <c r="U848" i="1"/>
  <c r="T832" i="1"/>
  <c r="U832" i="1"/>
  <c r="T816" i="1"/>
  <c r="U816" i="1"/>
  <c r="T808" i="1"/>
  <c r="U808" i="1"/>
  <c r="T792" i="1"/>
  <c r="U792" i="1"/>
  <c r="T784" i="1"/>
  <c r="U784" i="1"/>
  <c r="T768" i="1"/>
  <c r="U768" i="1"/>
  <c r="T752" i="1"/>
  <c r="U752" i="1"/>
  <c r="T736" i="1"/>
  <c r="U736" i="1"/>
  <c r="T720" i="1"/>
  <c r="U720" i="1"/>
  <c r="T704" i="1"/>
  <c r="U704" i="1"/>
  <c r="T696" i="1"/>
  <c r="U696" i="1"/>
  <c r="T680" i="1"/>
  <c r="U680" i="1"/>
  <c r="T616" i="1"/>
  <c r="U616" i="1"/>
  <c r="T592" i="1"/>
  <c r="U592" i="1"/>
  <c r="T576" i="1"/>
  <c r="U576" i="1"/>
  <c r="T560" i="1"/>
  <c r="U560" i="1"/>
  <c r="T544" i="1"/>
  <c r="U544" i="1"/>
  <c r="T528" i="1"/>
  <c r="U528" i="1"/>
  <c r="T496" i="1"/>
  <c r="U496" i="1"/>
  <c r="T480" i="1"/>
  <c r="U480" i="1"/>
  <c r="T432" i="1"/>
  <c r="U432" i="1"/>
  <c r="T424" i="1"/>
  <c r="U424" i="1"/>
  <c r="T408" i="1"/>
  <c r="U408" i="1"/>
  <c r="T384" i="1"/>
  <c r="U384" i="1"/>
  <c r="T368" i="1"/>
  <c r="U368" i="1"/>
  <c r="T336" i="1"/>
  <c r="U336" i="1"/>
  <c r="T320" i="1"/>
  <c r="U320" i="1"/>
  <c r="T296" i="1"/>
  <c r="U296" i="1"/>
  <c r="T144" i="1"/>
  <c r="U144" i="1"/>
  <c r="I2" i="2"/>
  <c r="T774" i="1"/>
  <c r="U774" i="1"/>
  <c r="T750" i="1"/>
  <c r="U750" i="1"/>
  <c r="T742" i="1"/>
  <c r="U742" i="1"/>
  <c r="T710" i="1"/>
  <c r="U710" i="1"/>
  <c r="T686" i="1"/>
  <c r="U686" i="1"/>
  <c r="T678" i="1"/>
  <c r="U678" i="1"/>
  <c r="U670" i="1"/>
  <c r="T670" i="1"/>
  <c r="T662" i="1"/>
  <c r="U662" i="1"/>
  <c r="T654" i="1"/>
  <c r="U654" i="1"/>
  <c r="T638" i="1"/>
  <c r="U638" i="1"/>
  <c r="T630" i="1"/>
  <c r="U630" i="1"/>
  <c r="T614" i="1"/>
  <c r="U614" i="1"/>
  <c r="T606" i="1"/>
  <c r="U606" i="1"/>
  <c r="T598" i="1"/>
  <c r="U598" i="1"/>
  <c r="T590" i="1"/>
  <c r="U590" i="1"/>
  <c r="T582" i="1"/>
  <c r="U582" i="1"/>
  <c r="T566" i="1"/>
  <c r="U566" i="1"/>
  <c r="T542" i="1"/>
  <c r="U542" i="1"/>
  <c r="U534" i="1"/>
  <c r="T534" i="1"/>
  <c r="T518" i="1"/>
  <c r="U518" i="1"/>
  <c r="T494" i="1"/>
  <c r="U494" i="1"/>
  <c r="T478" i="1"/>
  <c r="U478" i="1"/>
  <c r="T470" i="1"/>
  <c r="U470" i="1"/>
  <c r="T446" i="1"/>
  <c r="U446" i="1"/>
  <c r="T430" i="1"/>
  <c r="U430" i="1"/>
  <c r="T422" i="1"/>
  <c r="U422" i="1"/>
  <c r="T414" i="1"/>
  <c r="U414" i="1"/>
  <c r="T406" i="1"/>
  <c r="U406" i="1"/>
  <c r="T398" i="1"/>
  <c r="U398" i="1"/>
  <c r="T382" i="1"/>
  <c r="U382" i="1"/>
  <c r="T374" i="1"/>
  <c r="U374" i="1"/>
  <c r="T358" i="1"/>
  <c r="U358" i="1"/>
  <c r="T350" i="1"/>
  <c r="U350" i="1"/>
  <c r="T342" i="1"/>
  <c r="U342" i="1"/>
  <c r="T334" i="1"/>
  <c r="U334" i="1"/>
  <c r="T326" i="1"/>
  <c r="U326" i="1"/>
  <c r="T310" i="1"/>
  <c r="U310" i="1"/>
  <c r="T286" i="1"/>
  <c r="U286" i="1"/>
  <c r="T278" i="1"/>
  <c r="U278" i="1"/>
  <c r="T262" i="1"/>
  <c r="U262" i="1"/>
  <c r="T238" i="1"/>
  <c r="U238" i="1"/>
  <c r="T222" i="1"/>
  <c r="U222" i="1"/>
  <c r="T214" i="1"/>
  <c r="U214" i="1"/>
  <c r="T190" i="1"/>
  <c r="U190" i="1"/>
  <c r="T174" i="1"/>
  <c r="U174" i="1"/>
  <c r="T166" i="1"/>
  <c r="U166" i="1"/>
  <c r="T150" i="1"/>
  <c r="U150" i="1"/>
  <c r="T134" i="1"/>
  <c r="U134" i="1"/>
  <c r="T118" i="1"/>
  <c r="U118" i="1"/>
  <c r="T102" i="1"/>
  <c r="U102" i="1"/>
  <c r="T94" i="1"/>
  <c r="U94" i="1"/>
  <c r="T78" i="1"/>
  <c r="U78" i="1"/>
  <c r="T70" i="1"/>
  <c r="U70" i="1"/>
  <c r="T46" i="1"/>
  <c r="U46" i="1"/>
  <c r="T22" i="1"/>
  <c r="U22" i="1"/>
  <c r="T6" i="1"/>
  <c r="U6" i="1"/>
  <c r="T843" i="1"/>
  <c r="T793" i="1"/>
  <c r="T761" i="1"/>
  <c r="T719" i="1"/>
  <c r="T698" i="1"/>
  <c r="T669" i="1"/>
  <c r="T620" i="1"/>
  <c r="T401" i="1"/>
  <c r="T125" i="1"/>
  <c r="T73" i="1"/>
  <c r="U990" i="1"/>
  <c r="U980" i="1"/>
  <c r="U968" i="1"/>
  <c r="U957" i="1"/>
  <c r="U861" i="1"/>
  <c r="U845" i="1"/>
  <c r="U829" i="1"/>
  <c r="U813" i="1"/>
  <c r="U797" i="1"/>
  <c r="U779" i="1"/>
  <c r="U757" i="1"/>
  <c r="U693" i="1"/>
  <c r="U599" i="1"/>
  <c r="U574" i="1"/>
  <c r="U549" i="1"/>
  <c r="U526" i="1"/>
  <c r="U501" i="1"/>
  <c r="U476" i="1"/>
  <c r="U453" i="1"/>
  <c r="U428" i="1"/>
  <c r="U403" i="1"/>
  <c r="U380" i="1"/>
  <c r="U281" i="1"/>
  <c r="U256" i="1"/>
  <c r="U233" i="1"/>
  <c r="U208" i="1"/>
  <c r="U183" i="1"/>
  <c r="U157" i="1"/>
  <c r="U127" i="1"/>
  <c r="U71" i="1"/>
  <c r="U13" i="1"/>
  <c r="T675" i="1"/>
  <c r="U675" i="1"/>
  <c r="T651" i="1"/>
  <c r="U651" i="1"/>
  <c r="T627" i="1"/>
  <c r="U627" i="1"/>
  <c r="T515" i="1"/>
  <c r="U515" i="1"/>
  <c r="T507" i="1"/>
  <c r="U507" i="1"/>
  <c r="T451" i="1"/>
  <c r="U451" i="1"/>
  <c r="T443" i="1"/>
  <c r="U443" i="1"/>
  <c r="T411" i="1"/>
  <c r="U411" i="1"/>
  <c r="T387" i="1"/>
  <c r="U387" i="1"/>
  <c r="U587" i="1"/>
  <c r="T986" i="1"/>
  <c r="U986" i="1"/>
  <c r="T970" i="1"/>
  <c r="U970" i="1"/>
  <c r="T954" i="1"/>
  <c r="U954" i="1"/>
  <c r="T946" i="1"/>
  <c r="U946" i="1"/>
  <c r="T930" i="1"/>
  <c r="U930" i="1"/>
  <c r="T914" i="1"/>
  <c r="U914" i="1"/>
  <c r="T906" i="1"/>
  <c r="U906" i="1"/>
  <c r="T890" i="1"/>
  <c r="U890" i="1"/>
  <c r="T882" i="1"/>
  <c r="U882" i="1"/>
  <c r="T874" i="1"/>
  <c r="U874" i="1"/>
  <c r="T666" i="1"/>
  <c r="U666" i="1"/>
  <c r="T634" i="1"/>
  <c r="U634" i="1"/>
  <c r="T602" i="1"/>
  <c r="U602" i="1"/>
  <c r="T570" i="1"/>
  <c r="U570" i="1"/>
  <c r="T538" i="1"/>
  <c r="U538" i="1"/>
  <c r="T506" i="1"/>
  <c r="U506" i="1"/>
  <c r="T474" i="1"/>
  <c r="U474" i="1"/>
  <c r="T442" i="1"/>
  <c r="U442" i="1"/>
  <c r="T410" i="1"/>
  <c r="U410" i="1"/>
  <c r="T378" i="1"/>
  <c r="U378" i="1"/>
  <c r="T346" i="1"/>
  <c r="U346" i="1"/>
  <c r="T314" i="1"/>
  <c r="U314" i="1"/>
  <c r="T282" i="1"/>
  <c r="U282" i="1"/>
  <c r="T250" i="1"/>
  <c r="U250" i="1"/>
  <c r="T218" i="1"/>
  <c r="U218" i="1"/>
  <c r="T186" i="1"/>
  <c r="U186" i="1"/>
  <c r="T146" i="1"/>
  <c r="U146" i="1"/>
  <c r="T114" i="1"/>
  <c r="U114" i="1"/>
  <c r="T82" i="1"/>
  <c r="U82" i="1"/>
  <c r="T50" i="1"/>
  <c r="U50" i="1"/>
  <c r="T26" i="1"/>
  <c r="U26" i="1"/>
  <c r="T747" i="1"/>
  <c r="T977" i="1"/>
  <c r="U977" i="1"/>
  <c r="T945" i="1"/>
  <c r="U945" i="1"/>
  <c r="T921" i="1"/>
  <c r="U921" i="1"/>
  <c r="T889" i="1"/>
  <c r="U889" i="1"/>
  <c r="T857" i="1"/>
  <c r="U857" i="1"/>
  <c r="T841" i="1"/>
  <c r="U841" i="1"/>
  <c r="T665" i="1"/>
  <c r="U665" i="1"/>
  <c r="U641" i="1"/>
  <c r="T641" i="1"/>
  <c r="T297" i="1"/>
  <c r="U297" i="1"/>
  <c r="U201" i="1"/>
  <c r="T201" i="1"/>
  <c r="T185" i="1"/>
  <c r="U185" i="1"/>
  <c r="T121" i="1"/>
  <c r="U121" i="1"/>
  <c r="U97" i="1"/>
  <c r="T97" i="1"/>
  <c r="T928" i="1"/>
  <c r="U928" i="1"/>
  <c r="Q127" i="1"/>
  <c r="T781" i="1"/>
  <c r="U781" i="1"/>
  <c r="T773" i="1"/>
  <c r="U773" i="1"/>
  <c r="T749" i="1"/>
  <c r="U749" i="1"/>
  <c r="T741" i="1"/>
  <c r="U741" i="1"/>
  <c r="T717" i="1"/>
  <c r="U717" i="1"/>
  <c r="T709" i="1"/>
  <c r="U709" i="1"/>
  <c r="T685" i="1"/>
  <c r="U685" i="1"/>
  <c r="T677" i="1"/>
  <c r="U677" i="1"/>
  <c r="T661" i="1"/>
  <c r="U661" i="1"/>
  <c r="T653" i="1"/>
  <c r="U653" i="1"/>
  <c r="T629" i="1"/>
  <c r="U629" i="1"/>
  <c r="T613" i="1"/>
  <c r="U613" i="1"/>
  <c r="T605" i="1"/>
  <c r="U605" i="1"/>
  <c r="T597" i="1"/>
  <c r="U597" i="1"/>
  <c r="T589" i="1"/>
  <c r="U589" i="1"/>
  <c r="T581" i="1"/>
  <c r="U581" i="1"/>
  <c r="T565" i="1"/>
  <c r="U565" i="1"/>
  <c r="T557" i="1"/>
  <c r="U557" i="1"/>
  <c r="T541" i="1"/>
  <c r="U541" i="1"/>
  <c r="T533" i="1"/>
  <c r="U533" i="1"/>
  <c r="T525" i="1"/>
  <c r="U525" i="1"/>
  <c r="T517" i="1"/>
  <c r="U517" i="1"/>
  <c r="T509" i="1"/>
  <c r="U509" i="1"/>
  <c r="T493" i="1"/>
  <c r="U493" i="1"/>
  <c r="T469" i="1"/>
  <c r="U469" i="1"/>
  <c r="T445" i="1"/>
  <c r="U445" i="1"/>
  <c r="T421" i="1"/>
  <c r="U421" i="1"/>
  <c r="T405" i="1"/>
  <c r="U405" i="1"/>
  <c r="T397" i="1"/>
  <c r="U397" i="1"/>
  <c r="T373" i="1"/>
  <c r="U373" i="1"/>
  <c r="T357" i="1"/>
  <c r="U357" i="1"/>
  <c r="T349" i="1"/>
  <c r="U349" i="1"/>
  <c r="T341" i="1"/>
  <c r="U341" i="1"/>
  <c r="T333" i="1"/>
  <c r="U333" i="1"/>
  <c r="T325" i="1"/>
  <c r="U325" i="1"/>
  <c r="T309" i="1"/>
  <c r="U309" i="1"/>
  <c r="T301" i="1"/>
  <c r="U301" i="1"/>
  <c r="T285" i="1"/>
  <c r="U285" i="1"/>
  <c r="T277" i="1"/>
  <c r="U277" i="1"/>
  <c r="T269" i="1"/>
  <c r="U269" i="1"/>
  <c r="T261" i="1"/>
  <c r="U261" i="1"/>
  <c r="T253" i="1"/>
  <c r="U253" i="1"/>
  <c r="T237" i="1"/>
  <c r="U237" i="1"/>
  <c r="T213" i="1"/>
  <c r="U213" i="1"/>
  <c r="T205" i="1"/>
  <c r="U205" i="1"/>
  <c r="T189" i="1"/>
  <c r="U189" i="1"/>
  <c r="T165" i="1"/>
  <c r="U165" i="1"/>
  <c r="U149" i="1"/>
  <c r="T149" i="1"/>
  <c r="T133" i="1"/>
  <c r="U133" i="1"/>
  <c r="T117" i="1"/>
  <c r="U117" i="1"/>
  <c r="T101" i="1"/>
  <c r="U101" i="1"/>
  <c r="T93" i="1"/>
  <c r="U93" i="1"/>
  <c r="T77" i="1"/>
  <c r="U77" i="1"/>
  <c r="T69" i="1"/>
  <c r="U69" i="1"/>
  <c r="U61" i="1"/>
  <c r="T61" i="1"/>
  <c r="T45" i="1"/>
  <c r="U45" i="1"/>
  <c r="T37" i="1"/>
  <c r="U37" i="1"/>
  <c r="T21" i="1"/>
  <c r="U21" i="1"/>
  <c r="T5" i="1"/>
  <c r="U5" i="1"/>
  <c r="T842" i="1"/>
  <c r="T818" i="1"/>
  <c r="T755" i="1"/>
  <c r="T697" i="1"/>
  <c r="T617" i="1"/>
  <c r="T481" i="1"/>
  <c r="T385" i="1"/>
  <c r="T305" i="1"/>
  <c r="U989" i="1"/>
  <c r="U979" i="1"/>
  <c r="U956" i="1"/>
  <c r="U940" i="1"/>
  <c r="U924" i="1"/>
  <c r="U908" i="1"/>
  <c r="U892" i="1"/>
  <c r="U876" i="1"/>
  <c r="U860" i="1"/>
  <c r="U844" i="1"/>
  <c r="U828" i="1"/>
  <c r="U812" i="1"/>
  <c r="U796" i="1"/>
  <c r="U778" i="1"/>
  <c r="U756" i="1"/>
  <c r="U714" i="1"/>
  <c r="U692" i="1"/>
  <c r="U596" i="1"/>
  <c r="U573" i="1"/>
  <c r="U548" i="1"/>
  <c r="U523" i="1"/>
  <c r="U500" i="1"/>
  <c r="U475" i="1"/>
  <c r="U449" i="1"/>
  <c r="U427" i="1"/>
  <c r="U376" i="1"/>
  <c r="U353" i="1"/>
  <c r="U328" i="1"/>
  <c r="U280" i="1"/>
  <c r="U152" i="1"/>
  <c r="U96" i="1"/>
  <c r="U40" i="1"/>
  <c r="T731" i="1"/>
  <c r="U731" i="1"/>
  <c r="T635" i="1"/>
  <c r="U635" i="1"/>
  <c r="T619" i="1"/>
  <c r="U619" i="1"/>
  <c r="T603" i="1"/>
  <c r="U603" i="1"/>
  <c r="T579" i="1"/>
  <c r="U579" i="1"/>
  <c r="T555" i="1"/>
  <c r="U555" i="1"/>
  <c r="T459" i="1"/>
  <c r="U459" i="1"/>
  <c r="T435" i="1"/>
  <c r="U435" i="1"/>
  <c r="T419" i="1"/>
  <c r="U419" i="1"/>
  <c r="T395" i="1"/>
  <c r="U395" i="1"/>
  <c r="T771" i="1"/>
  <c r="U987" i="1"/>
  <c r="U491" i="1"/>
  <c r="U810" i="1"/>
  <c r="T810" i="1"/>
  <c r="T786" i="1"/>
  <c r="U786" i="1"/>
  <c r="U762" i="1"/>
  <c r="T762" i="1"/>
  <c r="T730" i="1"/>
  <c r="U730" i="1"/>
  <c r="T658" i="1"/>
  <c r="U658" i="1"/>
  <c r="T626" i="1"/>
  <c r="U626" i="1"/>
  <c r="T594" i="1"/>
  <c r="U594" i="1"/>
  <c r="T562" i="1"/>
  <c r="U562" i="1"/>
  <c r="T530" i="1"/>
  <c r="U530" i="1"/>
  <c r="T498" i="1"/>
  <c r="U498" i="1"/>
  <c r="T466" i="1"/>
  <c r="U466" i="1"/>
  <c r="T434" i="1"/>
  <c r="U434" i="1"/>
  <c r="T402" i="1"/>
  <c r="U402" i="1"/>
  <c r="T370" i="1"/>
  <c r="U370" i="1"/>
  <c r="T338" i="1"/>
  <c r="U338" i="1"/>
  <c r="T306" i="1"/>
  <c r="U306" i="1"/>
  <c r="T274" i="1"/>
  <c r="U274" i="1"/>
  <c r="T242" i="1"/>
  <c r="U242" i="1"/>
  <c r="T210" i="1"/>
  <c r="U210" i="1"/>
  <c r="T178" i="1"/>
  <c r="U178" i="1"/>
  <c r="T154" i="1"/>
  <c r="U154" i="1"/>
  <c r="T122" i="1"/>
  <c r="U122" i="1"/>
  <c r="T90" i="1"/>
  <c r="U90" i="1"/>
  <c r="T66" i="1"/>
  <c r="U66" i="1"/>
  <c r="T34" i="1"/>
  <c r="U34" i="1"/>
  <c r="T2" i="1"/>
  <c r="U2" i="1"/>
  <c r="T683" i="1"/>
  <c r="U611" i="1"/>
  <c r="T985" i="1"/>
  <c r="U985" i="1"/>
  <c r="T953" i="1"/>
  <c r="U953" i="1"/>
  <c r="T913" i="1"/>
  <c r="U913" i="1"/>
  <c r="T881" i="1"/>
  <c r="U881" i="1"/>
  <c r="T849" i="1"/>
  <c r="U849" i="1"/>
  <c r="T721" i="1"/>
  <c r="U721" i="1"/>
  <c r="T649" i="1"/>
  <c r="U649" i="1"/>
  <c r="T625" i="1"/>
  <c r="U625" i="1"/>
  <c r="T593" i="1"/>
  <c r="U593" i="1"/>
  <c r="T569" i="1"/>
  <c r="U569" i="1"/>
  <c r="T553" i="1"/>
  <c r="U553" i="1"/>
  <c r="T529" i="1"/>
  <c r="U529" i="1"/>
  <c r="T505" i="1"/>
  <c r="U505" i="1"/>
  <c r="T409" i="1"/>
  <c r="U409" i="1"/>
  <c r="T377" i="1"/>
  <c r="U377" i="1"/>
  <c r="T313" i="1"/>
  <c r="U313" i="1"/>
  <c r="U289" i="1"/>
  <c r="T289" i="1"/>
  <c r="T153" i="1"/>
  <c r="U153" i="1"/>
  <c r="T89" i="1"/>
  <c r="U89" i="1"/>
  <c r="T65" i="1"/>
  <c r="U65" i="1"/>
  <c r="T41" i="1"/>
  <c r="U41" i="1"/>
  <c r="U9" i="1"/>
  <c r="T9" i="1"/>
  <c r="T936" i="1"/>
  <c r="U936" i="1"/>
  <c r="T772" i="1"/>
  <c r="U772" i="1"/>
  <c r="T740" i="1"/>
  <c r="U740" i="1"/>
  <c r="T732" i="1"/>
  <c r="U732" i="1"/>
  <c r="T708" i="1"/>
  <c r="U708" i="1"/>
  <c r="T676" i="1"/>
  <c r="U676" i="1"/>
  <c r="T652" i="1"/>
  <c r="U652" i="1"/>
  <c r="T628" i="1"/>
  <c r="U628" i="1"/>
  <c r="T604" i="1"/>
  <c r="U604" i="1"/>
  <c r="T588" i="1"/>
  <c r="U588" i="1"/>
  <c r="T580" i="1"/>
  <c r="U580" i="1"/>
  <c r="T556" i="1"/>
  <c r="U556" i="1"/>
  <c r="T540" i="1"/>
  <c r="U540" i="1"/>
  <c r="T532" i="1"/>
  <c r="U532" i="1"/>
  <c r="T524" i="1"/>
  <c r="U524" i="1"/>
  <c r="T516" i="1"/>
  <c r="U516" i="1"/>
  <c r="T508" i="1"/>
  <c r="U508" i="1"/>
  <c r="T492" i="1"/>
  <c r="U492" i="1"/>
  <c r="T484" i="1"/>
  <c r="U484" i="1"/>
  <c r="T468" i="1"/>
  <c r="U468" i="1"/>
  <c r="T460" i="1"/>
  <c r="U460" i="1"/>
  <c r="T452" i="1"/>
  <c r="U452" i="1"/>
  <c r="T444" i="1"/>
  <c r="U444" i="1"/>
  <c r="T436" i="1"/>
  <c r="U436" i="1"/>
  <c r="T420" i="1"/>
  <c r="U420" i="1"/>
  <c r="T396" i="1"/>
  <c r="U396" i="1"/>
  <c r="T388" i="1"/>
  <c r="U388" i="1"/>
  <c r="T372" i="1"/>
  <c r="U372" i="1"/>
  <c r="T817" i="1"/>
  <c r="T754" i="1"/>
  <c r="T690" i="1"/>
  <c r="T177" i="1"/>
  <c r="U988" i="1"/>
  <c r="U976" i="1"/>
  <c r="U955" i="1"/>
  <c r="U939" i="1"/>
  <c r="U923" i="1"/>
  <c r="U907" i="1"/>
  <c r="U891" i="1"/>
  <c r="U875" i="1"/>
  <c r="U859" i="1"/>
  <c r="U827" i="1"/>
  <c r="U795" i="1"/>
  <c r="U777" i="1"/>
  <c r="U733" i="1"/>
  <c r="U713" i="1"/>
  <c r="U691" i="1"/>
  <c r="U668" i="1"/>
  <c r="U645" i="1"/>
  <c r="U595" i="1"/>
  <c r="U572" i="1"/>
  <c r="U547" i="1"/>
  <c r="U521" i="1"/>
  <c r="U499" i="1"/>
  <c r="U473" i="1"/>
  <c r="U448" i="1"/>
  <c r="U400" i="1"/>
  <c r="U352" i="1"/>
  <c r="U229" i="1"/>
  <c r="U181" i="1"/>
  <c r="T324" i="1"/>
  <c r="U324" i="1"/>
  <c r="T268" i="1"/>
  <c r="U268" i="1"/>
  <c r="T260" i="1"/>
  <c r="U260" i="1"/>
  <c r="T204" i="1"/>
  <c r="U204" i="1"/>
  <c r="T156" i="1"/>
  <c r="U156" i="1"/>
  <c r="T92" i="1"/>
  <c r="U92" i="1"/>
  <c r="U363" i="1"/>
  <c r="U276" i="1"/>
  <c r="U228" i="1"/>
  <c r="U203" i="1"/>
  <c r="U180" i="1"/>
  <c r="U164" i="1"/>
  <c r="T379" i="1"/>
  <c r="U379" i="1"/>
  <c r="T323" i="1"/>
  <c r="U323" i="1"/>
  <c r="T315" i="1"/>
  <c r="U315" i="1"/>
  <c r="T259" i="1"/>
  <c r="U259" i="1"/>
  <c r="T251" i="1"/>
  <c r="U251" i="1"/>
  <c r="T195" i="1"/>
  <c r="U195" i="1"/>
  <c r="T187" i="1"/>
  <c r="U187" i="1"/>
  <c r="T155" i="1"/>
  <c r="U155" i="1"/>
  <c r="T123" i="1"/>
  <c r="U123" i="1"/>
  <c r="T91" i="1"/>
  <c r="U91" i="1"/>
  <c r="T59" i="1"/>
  <c r="U59" i="1"/>
  <c r="T27" i="1"/>
  <c r="U27" i="1"/>
  <c r="T284" i="1"/>
  <c r="T148" i="1"/>
  <c r="T60" i="1"/>
  <c r="U348" i="1"/>
  <c r="U300" i="1"/>
  <c r="U275" i="1"/>
  <c r="U252" i="1"/>
  <c r="U227" i="1"/>
  <c r="U179" i="1"/>
  <c r="U163" i="1"/>
  <c r="U107" i="1"/>
  <c r="U51" i="1"/>
  <c r="U35" i="1"/>
  <c r="U347" i="1"/>
  <c r="U299" i="1"/>
  <c r="U212" i="1"/>
  <c r="U132" i="1"/>
  <c r="U20" i="1"/>
  <c r="U4" i="1"/>
  <c r="U371" i="1"/>
  <c r="U236" i="1"/>
  <c r="U211" i="1"/>
  <c r="U188" i="1"/>
  <c r="U147" i="1"/>
  <c r="U131" i="1"/>
  <c r="U75" i="1"/>
  <c r="U19" i="1"/>
  <c r="U3" i="1"/>
  <c r="Q192" i="1"/>
  <c r="Q975" i="1"/>
  <c r="Q784" i="1"/>
  <c r="Q760" i="1"/>
  <c r="Q983" i="1"/>
  <c r="Q783" i="1"/>
  <c r="Q663" i="1"/>
  <c r="Q912" i="1"/>
  <c r="Q911" i="1"/>
  <c r="Q839" i="1"/>
  <c r="Q199" i="1"/>
  <c r="Q360" i="1"/>
  <c r="Q224" i="1"/>
  <c r="Q946" i="1"/>
  <c r="Q998" i="1"/>
  <c r="Q966" i="1"/>
  <c r="Q854" i="1"/>
  <c r="Q718" i="1"/>
  <c r="Q62" i="1"/>
  <c r="Q189" i="1"/>
  <c r="Q950" i="1"/>
  <c r="Q894" i="1"/>
  <c r="Q830" i="1"/>
  <c r="Q678" i="1"/>
  <c r="Q997" i="1"/>
  <c r="Q909" i="1"/>
  <c r="Q813" i="1"/>
  <c r="Q814" i="1"/>
  <c r="Q638" i="1"/>
  <c r="Q462" i="1"/>
  <c r="Q406" i="1"/>
  <c r="Q358" i="1"/>
  <c r="Q190" i="1"/>
  <c r="Q965" i="1"/>
  <c r="Q514" i="1"/>
  <c r="Q731" i="1"/>
  <c r="Q459" i="1"/>
  <c r="Q411" i="1"/>
  <c r="Q307" i="1"/>
  <c r="D2" i="2"/>
  <c r="Q306" i="1"/>
  <c r="Q856" i="1"/>
  <c r="Q848" i="1"/>
  <c r="Q800" i="1"/>
  <c r="Q776" i="1"/>
  <c r="Q688" i="1"/>
  <c r="Q616" i="1"/>
  <c r="Q576" i="1"/>
  <c r="Q560" i="1"/>
  <c r="Q512" i="1"/>
  <c r="Q304" i="1"/>
  <c r="Q256" i="1"/>
  <c r="Q200" i="1"/>
  <c r="Q112" i="1"/>
  <c r="Q96" i="1"/>
  <c r="Q64" i="1"/>
  <c r="Q996" i="1"/>
  <c r="Q947" i="1"/>
  <c r="Q891" i="1"/>
  <c r="Q739" i="1"/>
  <c r="Q483" i="1"/>
  <c r="Q123" i="1"/>
  <c r="Q794" i="1"/>
  <c r="C2" i="2"/>
  <c r="Q991" i="1"/>
  <c r="Q967" i="1"/>
  <c r="Q903" i="1"/>
  <c r="Q855" i="1"/>
  <c r="Q799" i="1"/>
  <c r="Q775" i="1"/>
  <c r="Q687" i="1"/>
  <c r="Q821" i="1"/>
  <c r="Q765" i="1"/>
  <c r="Q613" i="1"/>
  <c r="Q461" i="1"/>
  <c r="Q931" i="1"/>
  <c r="Q819" i="1"/>
  <c r="Q691" i="1"/>
  <c r="Q928" i="1"/>
  <c r="Q896" i="1"/>
  <c r="Q872" i="1"/>
  <c r="Q712" i="1"/>
  <c r="Q704" i="1"/>
  <c r="Q664" i="1"/>
  <c r="Q488" i="1"/>
  <c r="Q408" i="1"/>
  <c r="Q400" i="1"/>
  <c r="Q128" i="1"/>
  <c r="Q125" i="1"/>
  <c r="Q875" i="1"/>
  <c r="Q539" i="1"/>
  <c r="Q999" i="1"/>
  <c r="Q927" i="1"/>
  <c r="Q895" i="1"/>
  <c r="Q743" i="1"/>
  <c r="Q399" i="1"/>
  <c r="Q343" i="1"/>
  <c r="Q885" i="1"/>
  <c r="Q717" i="1"/>
  <c r="Q763" i="1"/>
  <c r="Q982" i="1"/>
  <c r="Q958" i="1"/>
  <c r="Q838" i="1"/>
  <c r="Q782" i="1"/>
  <c r="Q758" i="1"/>
  <c r="Q742" i="1"/>
  <c r="Q654" i="1"/>
  <c r="Q590" i="1"/>
  <c r="Q510" i="1"/>
  <c r="Q334" i="1"/>
  <c r="Q254" i="1"/>
  <c r="Q126" i="1"/>
  <c r="Q973" i="1"/>
  <c r="Q949" i="1"/>
  <c r="Q925" i="1"/>
  <c r="Q901" i="1"/>
  <c r="Q861" i="1"/>
  <c r="Q837" i="1"/>
  <c r="Q805" i="1"/>
  <c r="Q781" i="1"/>
  <c r="Q757" i="1"/>
  <c r="Q733" i="1"/>
  <c r="Q701" i="1"/>
  <c r="Q677" i="1"/>
  <c r="Q653" i="1"/>
  <c r="Q629" i="1"/>
  <c r="Q581" i="1"/>
  <c r="Q565" i="1"/>
  <c r="Q541" i="1"/>
  <c r="Q517" i="1"/>
  <c r="Q493" i="1"/>
  <c r="Q469" i="1"/>
  <c r="Q445" i="1"/>
  <c r="Q421" i="1"/>
  <c r="Q397" i="1"/>
  <c r="Q381" i="1"/>
  <c r="Q357" i="1"/>
  <c r="Q333" i="1"/>
  <c r="Q309" i="1"/>
  <c r="Q285" i="1"/>
  <c r="Q261" i="1"/>
  <c r="Q237" i="1"/>
  <c r="Q213" i="1"/>
  <c r="Q165" i="1"/>
  <c r="Q141" i="1"/>
  <c r="Q117" i="1"/>
  <c r="Q93" i="1"/>
  <c r="Q69" i="1"/>
  <c r="Q45" i="1"/>
  <c r="Q21" i="1"/>
  <c r="Q972" i="1"/>
  <c r="Q900" i="1"/>
  <c r="Q772" i="1"/>
  <c r="Q995" i="1"/>
  <c r="Q987" i="1"/>
  <c r="Q979" i="1"/>
  <c r="Q971" i="1"/>
  <c r="Q963" i="1"/>
  <c r="Q955" i="1"/>
  <c r="Q939" i="1"/>
  <c r="Q923" i="1"/>
  <c r="Q915" i="1"/>
  <c r="Q907" i="1"/>
  <c r="Q899" i="1"/>
  <c r="Q883" i="1"/>
  <c r="Q867" i="1"/>
  <c r="Q859" i="1"/>
  <c r="Q851" i="1"/>
  <c r="Q843" i="1"/>
  <c r="Q835" i="1"/>
  <c r="Q827" i="1"/>
  <c r="Q811" i="1"/>
  <c r="Q803" i="1"/>
  <c r="Q795" i="1"/>
  <c r="Q787" i="1"/>
  <c r="Q779" i="1"/>
  <c r="Q771" i="1"/>
  <c r="Q755" i="1"/>
  <c r="Q747" i="1"/>
  <c r="Q723" i="1"/>
  <c r="Q715" i="1"/>
  <c r="Q707" i="1"/>
  <c r="Q699" i="1"/>
  <c r="Q683" i="1"/>
  <c r="Q675" i="1"/>
  <c r="Q667" i="1"/>
  <c r="Q659" i="1"/>
  <c r="Q651" i="1"/>
  <c r="Q643" i="1"/>
  <c r="Q635" i="1"/>
  <c r="Q627" i="1"/>
  <c r="Q619" i="1"/>
  <c r="Q611" i="1"/>
  <c r="Q603" i="1"/>
  <c r="Q595" i="1"/>
  <c r="Q587" i="1"/>
  <c r="Q579" i="1"/>
  <c r="Q571" i="1"/>
  <c r="Q563" i="1"/>
  <c r="Q555" i="1"/>
  <c r="Q547" i="1"/>
  <c r="Q435" i="1"/>
  <c r="Q331" i="1"/>
  <c r="Q219" i="1"/>
  <c r="Q155" i="1"/>
  <c r="Q91" i="1"/>
  <c r="Q27" i="1"/>
  <c r="Q981" i="1"/>
  <c r="Q957" i="1"/>
  <c r="Q933" i="1"/>
  <c r="Q893" i="1"/>
  <c r="Q869" i="1"/>
  <c r="Q845" i="1"/>
  <c r="Q789" i="1"/>
  <c r="Q741" i="1"/>
  <c r="Q693" i="1"/>
  <c r="Q669" i="1"/>
  <c r="Q645" i="1"/>
  <c r="Q621" i="1"/>
  <c r="Q597" i="1"/>
  <c r="Q573" i="1"/>
  <c r="Q549" i="1"/>
  <c r="Q525" i="1"/>
  <c r="Q501" i="1"/>
  <c r="Q477" i="1"/>
  <c r="Q453" i="1"/>
  <c r="Q429" i="1"/>
  <c r="Q405" i="1"/>
  <c r="Q373" i="1"/>
  <c r="Q349" i="1"/>
  <c r="Q325" i="1"/>
  <c r="Q301" i="1"/>
  <c r="Q277" i="1"/>
  <c r="Q253" i="1"/>
  <c r="Q229" i="1"/>
  <c r="Q205" i="1"/>
  <c r="Q173" i="1"/>
  <c r="Q149" i="1"/>
  <c r="Q101" i="1"/>
  <c r="Q77" i="1"/>
  <c r="Q53" i="1"/>
  <c r="Q29" i="1"/>
  <c r="Q5" i="1"/>
  <c r="Q956" i="1"/>
  <c r="Q828" i="1"/>
  <c r="Q994" i="1"/>
  <c r="Q986" i="1"/>
  <c r="Q978" i="1"/>
  <c r="Q970" i="1"/>
  <c r="Q962" i="1"/>
  <c r="Q954" i="1"/>
  <c r="Q938" i="1"/>
  <c r="Q930" i="1"/>
  <c r="Q922" i="1"/>
  <c r="Q914" i="1"/>
  <c r="Q906" i="1"/>
  <c r="Q898" i="1"/>
  <c r="Q890" i="1"/>
  <c r="Q882" i="1"/>
  <c r="Q874" i="1"/>
  <c r="Q866" i="1"/>
  <c r="Q858" i="1"/>
  <c r="Q850" i="1"/>
  <c r="Q842" i="1"/>
  <c r="Q834" i="1"/>
  <c r="Q826" i="1"/>
  <c r="Q818" i="1"/>
  <c r="Q810" i="1"/>
  <c r="Q802" i="1"/>
  <c r="Q634" i="1"/>
  <c r="Q586" i="1"/>
  <c r="Q538" i="1"/>
  <c r="Q434" i="1"/>
  <c r="Q330" i="1"/>
  <c r="Q282" i="1"/>
  <c r="Q649" i="1"/>
  <c r="Q989" i="1"/>
  <c r="Q941" i="1"/>
  <c r="Q917" i="1"/>
  <c r="Q877" i="1"/>
  <c r="Q853" i="1"/>
  <c r="Q829" i="1"/>
  <c r="Q797" i="1"/>
  <c r="Q773" i="1"/>
  <c r="Q749" i="1"/>
  <c r="Q725" i="1"/>
  <c r="Q709" i="1"/>
  <c r="Q685" i="1"/>
  <c r="Q661" i="1"/>
  <c r="Q637" i="1"/>
  <c r="Q605" i="1"/>
  <c r="Q589" i="1"/>
  <c r="Q557" i="1"/>
  <c r="Q533" i="1"/>
  <c r="Q509" i="1"/>
  <c r="Q485" i="1"/>
  <c r="Q437" i="1"/>
  <c r="Q413" i="1"/>
  <c r="Q389" i="1"/>
  <c r="Q365" i="1"/>
  <c r="Q341" i="1"/>
  <c r="Q317" i="1"/>
  <c r="Q293" i="1"/>
  <c r="Q269" i="1"/>
  <c r="Q245" i="1"/>
  <c r="Q221" i="1"/>
  <c r="Q197" i="1"/>
  <c r="Q181" i="1"/>
  <c r="Q157" i="1"/>
  <c r="Q133" i="1"/>
  <c r="Q109" i="1"/>
  <c r="Q85" i="1"/>
  <c r="Q61" i="1"/>
  <c r="Q37" i="1"/>
  <c r="Q13" i="1"/>
  <c r="Q988" i="1"/>
  <c r="Q884" i="1"/>
  <c r="Q1001" i="1"/>
  <c r="Q993" i="1"/>
  <c r="Q985" i="1"/>
  <c r="Q977" i="1"/>
  <c r="Q969" i="1"/>
  <c r="Q961" i="1"/>
  <c r="Q953" i="1"/>
  <c r="Q945" i="1"/>
  <c r="Q937" i="1"/>
  <c r="Q929" i="1"/>
  <c r="Q921" i="1"/>
  <c r="Q913" i="1"/>
  <c r="Q905" i="1"/>
  <c r="Q897" i="1"/>
  <c r="Q889" i="1"/>
  <c r="Q881" i="1"/>
  <c r="Q873" i="1"/>
  <c r="Q865" i="1"/>
  <c r="Q857" i="1"/>
  <c r="Q849" i="1"/>
  <c r="Q841" i="1"/>
  <c r="Q833" i="1"/>
  <c r="Q825" i="1"/>
  <c r="Q817" i="1"/>
  <c r="Q809" i="1"/>
  <c r="Q801" i="1"/>
  <c r="Q793" i="1"/>
  <c r="Q785" i="1"/>
  <c r="Q777" i="1"/>
  <c r="Q769" i="1"/>
  <c r="Q761" i="1"/>
  <c r="Q753" i="1"/>
  <c r="Q745" i="1"/>
  <c r="Q737" i="1"/>
  <c r="Q729" i="1"/>
  <c r="Q705" i="1"/>
  <c r="Q681" i="1"/>
  <c r="Q665" i="1"/>
  <c r="Q625" i="1"/>
  <c r="Q601" i="1"/>
  <c r="Q577" i="1"/>
  <c r="Q553" i="1"/>
  <c r="Q537" i="1"/>
  <c r="Q513" i="1"/>
  <c r="Q489" i="1"/>
  <c r="Q465" i="1"/>
  <c r="Q441" i="1"/>
  <c r="Q417" i="1"/>
  <c r="Q393" i="1"/>
  <c r="Q369" i="1"/>
  <c r="Q345" i="1"/>
  <c r="Q321" i="1"/>
  <c r="Q305" i="1"/>
  <c r="Q281" i="1"/>
  <c r="Q257" i="1"/>
  <c r="Q241" i="1"/>
  <c r="Q217" i="1"/>
  <c r="Q193" i="1"/>
  <c r="Q169" i="1"/>
  <c r="Q145" i="1"/>
  <c r="Q121" i="1"/>
  <c r="Q97" i="1"/>
  <c r="Q73" i="1"/>
  <c r="Q49" i="1"/>
  <c r="Q1000" i="1"/>
  <c r="Q976" i="1"/>
  <c r="Q952" i="1"/>
  <c r="Q904" i="1"/>
  <c r="Q824" i="1"/>
  <c r="Q744" i="1"/>
  <c r="Q720" i="1"/>
  <c r="Q680" i="1"/>
  <c r="Q672" i="1"/>
  <c r="Q648" i="1"/>
  <c r="Q640" i="1"/>
  <c r="Q632" i="1"/>
  <c r="Q624" i="1"/>
  <c r="Q608" i="1"/>
  <c r="Q600" i="1"/>
  <c r="Q592" i="1"/>
  <c r="Q568" i="1"/>
  <c r="Q552" i="1"/>
  <c r="Q544" i="1"/>
  <c r="Q536" i="1"/>
  <c r="Q528" i="1"/>
  <c r="Q520" i="1"/>
  <c r="Q504" i="1"/>
  <c r="Q496" i="1"/>
  <c r="Q480" i="1"/>
  <c r="Q472" i="1"/>
  <c r="Q464" i="1"/>
  <c r="Q456" i="1"/>
  <c r="Q448" i="1"/>
  <c r="Q440" i="1"/>
  <c r="Q432" i="1"/>
  <c r="Q424" i="1"/>
  <c r="Q416" i="1"/>
  <c r="Q392" i="1"/>
  <c r="Q384" i="1"/>
  <c r="Q376" i="1"/>
  <c r="Q368" i="1"/>
  <c r="Q352" i="1"/>
  <c r="Q344" i="1"/>
  <c r="Q336" i="1"/>
  <c r="Q328" i="1"/>
  <c r="Q320" i="1"/>
  <c r="Q312" i="1"/>
  <c r="Q296" i="1"/>
  <c r="Q288" i="1"/>
  <c r="Q280" i="1"/>
  <c r="Q272" i="1"/>
  <c r="Q264" i="1"/>
  <c r="Q248" i="1"/>
  <c r="Q240" i="1"/>
  <c r="Q232" i="1"/>
  <c r="Q208" i="1"/>
  <c r="Q176" i="1"/>
  <c r="Q144" i="1"/>
  <c r="Q80" i="1"/>
  <c r="Q48" i="1"/>
  <c r="Q16" i="1"/>
  <c r="Q721" i="1"/>
  <c r="Q697" i="1"/>
  <c r="Q673" i="1"/>
  <c r="Q641" i="1"/>
  <c r="Q617" i="1"/>
  <c r="Q593" i="1"/>
  <c r="Q569" i="1"/>
  <c r="Q545" i="1"/>
  <c r="Q521" i="1"/>
  <c r="Q497" i="1"/>
  <c r="Q473" i="1"/>
  <c r="Q449" i="1"/>
  <c r="Q425" i="1"/>
  <c r="Q401" i="1"/>
  <c r="Q377" i="1"/>
  <c r="Q353" i="1"/>
  <c r="Q329" i="1"/>
  <c r="Q297" i="1"/>
  <c r="Q273" i="1"/>
  <c r="Q249" i="1"/>
  <c r="Q225" i="1"/>
  <c r="Q201" i="1"/>
  <c r="Q177" i="1"/>
  <c r="Q153" i="1"/>
  <c r="Q129" i="1"/>
  <c r="Q105" i="1"/>
  <c r="Q81" i="1"/>
  <c r="Q57" i="1"/>
  <c r="Q992" i="1"/>
  <c r="Q968" i="1"/>
  <c r="Q944" i="1"/>
  <c r="Q920" i="1"/>
  <c r="Q888" i="1"/>
  <c r="Q864" i="1"/>
  <c r="Q840" i="1"/>
  <c r="Q816" i="1"/>
  <c r="Q792" i="1"/>
  <c r="Q752" i="1"/>
  <c r="Q736" i="1"/>
  <c r="Q728" i="1"/>
  <c r="Q696" i="1"/>
  <c r="Q584" i="1"/>
  <c r="Q959" i="1"/>
  <c r="Q951" i="1"/>
  <c r="Q943" i="1"/>
  <c r="Q935" i="1"/>
  <c r="Q919" i="1"/>
  <c r="Q887" i="1"/>
  <c r="Q879" i="1"/>
  <c r="Q871" i="1"/>
  <c r="Q863" i="1"/>
  <c r="Q847" i="1"/>
  <c r="Q831" i="1"/>
  <c r="Q823" i="1"/>
  <c r="Q815" i="1"/>
  <c r="Q807" i="1"/>
  <c r="Q791" i="1"/>
  <c r="Q767" i="1"/>
  <c r="Q759" i="1"/>
  <c r="Q751" i="1"/>
  <c r="Q735" i="1"/>
  <c r="Q727" i="1"/>
  <c r="Q719" i="1"/>
  <c r="Q711" i="1"/>
  <c r="Q703" i="1"/>
  <c r="Q695" i="1"/>
  <c r="Q679" i="1"/>
  <c r="Q671" i="1"/>
  <c r="Q655" i="1"/>
  <c r="Q647" i="1"/>
  <c r="Q639" i="1"/>
  <c r="Q631" i="1"/>
  <c r="Q623" i="1"/>
  <c r="Q615" i="1"/>
  <c r="Q607" i="1"/>
  <c r="Q599" i="1"/>
  <c r="Q591" i="1"/>
  <c r="Q583" i="1"/>
  <c r="Q575" i="1"/>
  <c r="Q567" i="1"/>
  <c r="Q559" i="1"/>
  <c r="Q551" i="1"/>
  <c r="Q543" i="1"/>
  <c r="Q535" i="1"/>
  <c r="Q527" i="1"/>
  <c r="Q519" i="1"/>
  <c r="Q511" i="1"/>
  <c r="Q503" i="1"/>
  <c r="Q495" i="1"/>
  <c r="Q487" i="1"/>
  <c r="Q479" i="1"/>
  <c r="Q471" i="1"/>
  <c r="Q463" i="1"/>
  <c r="Q455" i="1"/>
  <c r="Q447" i="1"/>
  <c r="Q439" i="1"/>
  <c r="Q431" i="1"/>
  <c r="Q423" i="1"/>
  <c r="Q415" i="1"/>
  <c r="Q407" i="1"/>
  <c r="Q391" i="1"/>
  <c r="Q383" i="1"/>
  <c r="Q375" i="1"/>
  <c r="Q367" i="1"/>
  <c r="Q359" i="1"/>
  <c r="Q351" i="1"/>
  <c r="Q335" i="1"/>
  <c r="Q327" i="1"/>
  <c r="Q319" i="1"/>
  <c r="Q311" i="1"/>
  <c r="Q303" i="1"/>
  <c r="Q295" i="1"/>
  <c r="Q287" i="1"/>
  <c r="Q279" i="1"/>
  <c r="Q271" i="1"/>
  <c r="Q263" i="1"/>
  <c r="Q255" i="1"/>
  <c r="Q247" i="1"/>
  <c r="Q239" i="1"/>
  <c r="Q231" i="1"/>
  <c r="Q223" i="1"/>
  <c r="Q215" i="1"/>
  <c r="Q207" i="1"/>
  <c r="Q191" i="1"/>
  <c r="Q183" i="1"/>
  <c r="Q175" i="1"/>
  <c r="Q167" i="1"/>
  <c r="Q159" i="1"/>
  <c r="Q151" i="1"/>
  <c r="Q143" i="1"/>
  <c r="Q135" i="1"/>
  <c r="Q119" i="1"/>
  <c r="Q111" i="1"/>
  <c r="Q103" i="1"/>
  <c r="Q95" i="1"/>
  <c r="Q87" i="1"/>
  <c r="Q79" i="1"/>
  <c r="Q71" i="1"/>
  <c r="Q63" i="1"/>
  <c r="Q55" i="1"/>
  <c r="Q47" i="1"/>
  <c r="Q39" i="1"/>
  <c r="Q31" i="1"/>
  <c r="Q23" i="1"/>
  <c r="Q15" i="1"/>
  <c r="Q7" i="1"/>
  <c r="Q713" i="1"/>
  <c r="Q689" i="1"/>
  <c r="Q657" i="1"/>
  <c r="Q633" i="1"/>
  <c r="Q609" i="1"/>
  <c r="Q585" i="1"/>
  <c r="Q561" i="1"/>
  <c r="Q529" i="1"/>
  <c r="Q505" i="1"/>
  <c r="Q481" i="1"/>
  <c r="Q457" i="1"/>
  <c r="Q433" i="1"/>
  <c r="Q409" i="1"/>
  <c r="Q385" i="1"/>
  <c r="Q361" i="1"/>
  <c r="Q337" i="1"/>
  <c r="Q313" i="1"/>
  <c r="Q289" i="1"/>
  <c r="Q265" i="1"/>
  <c r="Q233" i="1"/>
  <c r="Q209" i="1"/>
  <c r="Q185" i="1"/>
  <c r="Q161" i="1"/>
  <c r="Q137" i="1"/>
  <c r="Q113" i="1"/>
  <c r="Q89" i="1"/>
  <c r="Q65" i="1"/>
  <c r="Q984" i="1"/>
  <c r="Q960" i="1"/>
  <c r="Q936" i="1"/>
  <c r="Q880" i="1"/>
  <c r="Q832" i="1"/>
  <c r="Q808" i="1"/>
  <c r="Q768" i="1"/>
  <c r="Q656" i="1"/>
  <c r="Q990" i="1"/>
  <c r="Q974" i="1"/>
  <c r="Q942" i="1"/>
  <c r="Q934" i="1"/>
  <c r="Q926" i="1"/>
  <c r="Q918" i="1"/>
  <c r="Q902" i="1"/>
  <c r="Q886" i="1"/>
  <c r="Q878" i="1"/>
  <c r="Q870" i="1"/>
  <c r="Q862" i="1"/>
  <c r="Q846" i="1"/>
  <c r="Q822" i="1"/>
  <c r="Q806" i="1"/>
  <c r="Q798" i="1"/>
  <c r="Q790" i="1"/>
  <c r="Q774" i="1"/>
  <c r="Q766" i="1"/>
  <c r="Q750" i="1"/>
  <c r="Q734" i="1"/>
  <c r="Q726" i="1"/>
  <c r="Q710" i="1"/>
  <c r="Q702" i="1"/>
  <c r="Q694" i="1"/>
  <c r="Q686" i="1"/>
  <c r="Q670" i="1"/>
  <c r="Q662" i="1"/>
  <c r="Q646" i="1"/>
  <c r="Q630" i="1"/>
  <c r="Q622" i="1"/>
  <c r="Q606" i="1"/>
  <c r="Q598" i="1"/>
  <c r="Q582" i="1"/>
  <c r="Q574" i="1"/>
  <c r="Q566" i="1"/>
  <c r="Q558" i="1"/>
  <c r="Q550" i="1"/>
  <c r="Q542" i="1"/>
  <c r="Q534" i="1"/>
  <c r="Q526" i="1"/>
  <c r="Q518" i="1"/>
  <c r="Q502" i="1"/>
  <c r="Q494" i="1"/>
  <c r="Q486" i="1"/>
  <c r="Q478" i="1"/>
  <c r="Q470" i="1"/>
  <c r="Q454" i="1"/>
  <c r="Q446" i="1"/>
  <c r="Q438" i="1"/>
  <c r="Q430" i="1"/>
  <c r="Q422" i="1"/>
  <c r="Q414" i="1"/>
  <c r="Q398" i="1"/>
  <c r="Q390" i="1"/>
  <c r="Q382" i="1"/>
  <c r="Q374" i="1"/>
  <c r="Q366" i="1"/>
  <c r="Q350" i="1"/>
  <c r="Q342" i="1"/>
  <c r="Q326" i="1"/>
  <c r="Q318" i="1"/>
  <c r="Q310" i="1"/>
  <c r="Q302" i="1"/>
  <c r="Q294" i="1"/>
  <c r="Q286" i="1"/>
  <c r="Q278" i="1"/>
  <c r="Q270" i="1"/>
  <c r="Q262" i="1"/>
  <c r="Q246" i="1"/>
  <c r="Q238" i="1"/>
  <c r="Q230" i="1"/>
  <c r="Q222" i="1"/>
  <c r="Q214" i="1"/>
  <c r="Q206" i="1"/>
  <c r="Q198" i="1"/>
  <c r="Q182" i="1"/>
  <c r="Q174" i="1"/>
  <c r="Q166" i="1"/>
  <c r="Q158" i="1"/>
  <c r="Q150" i="1"/>
  <c r="Q142" i="1"/>
  <c r="Q134" i="1"/>
  <c r="Q118" i="1"/>
  <c r="Q110" i="1"/>
  <c r="Q102" i="1"/>
  <c r="Q94" i="1"/>
  <c r="Q86" i="1"/>
  <c r="Q78" i="1"/>
  <c r="Q70" i="1"/>
  <c r="Q54" i="1"/>
  <c r="Q46" i="1"/>
  <c r="Q38" i="1"/>
  <c r="Q30" i="1"/>
  <c r="Q22" i="1"/>
  <c r="Q14" i="1"/>
  <c r="Q6" i="1"/>
  <c r="Q932" i="1"/>
  <c r="Q924" i="1"/>
  <c r="Q916" i="1"/>
  <c r="Q908" i="1"/>
  <c r="Q868" i="1"/>
  <c r="Q860" i="1"/>
  <c r="Q852" i="1"/>
  <c r="Q844" i="1"/>
  <c r="Q804" i="1"/>
  <c r="Q796" i="1"/>
  <c r="Q788" i="1"/>
  <c r="Q780" i="1"/>
  <c r="Q756" i="1"/>
  <c r="Q748" i="1"/>
  <c r="Q740" i="1"/>
  <c r="Q732" i="1"/>
  <c r="Q724" i="1"/>
  <c r="Q716" i="1"/>
  <c r="Q708" i="1"/>
  <c r="Q700" i="1"/>
  <c r="Q692" i="1"/>
  <c r="Q684" i="1"/>
  <c r="Q676" i="1"/>
  <c r="Q668" i="1"/>
  <c r="Q660" i="1"/>
  <c r="Q652" i="1"/>
  <c r="Q644" i="1"/>
  <c r="Q636" i="1"/>
  <c r="Q628" i="1"/>
  <c r="Q620" i="1"/>
  <c r="Q612" i="1"/>
  <c r="Q604" i="1"/>
  <c r="Q596" i="1"/>
  <c r="Q588" i="1"/>
  <c r="Q580" i="1"/>
  <c r="Q572" i="1"/>
  <c r="Q564" i="1"/>
  <c r="Q556" i="1"/>
  <c r="Q548" i="1"/>
  <c r="Q540" i="1"/>
  <c r="Q532" i="1"/>
  <c r="Q524" i="1"/>
  <c r="Q516" i="1"/>
  <c r="Q508" i="1"/>
  <c r="Q500" i="1"/>
  <c r="Q492" i="1"/>
  <c r="Q484" i="1"/>
  <c r="Q476" i="1"/>
  <c r="Q468" i="1"/>
  <c r="Q460" i="1"/>
  <c r="Q452" i="1"/>
  <c r="Q444" i="1"/>
  <c r="Q436" i="1"/>
  <c r="Q428" i="1"/>
  <c r="Q420" i="1"/>
  <c r="Q412" i="1"/>
  <c r="Q404" i="1"/>
  <c r="Q396" i="1"/>
  <c r="Q388" i="1"/>
  <c r="Q380" i="1"/>
  <c r="Q372" i="1"/>
  <c r="Q364" i="1"/>
  <c r="Q356" i="1"/>
  <c r="Q348" i="1"/>
  <c r="Q340" i="1"/>
  <c r="Q332" i="1"/>
  <c r="Q324" i="1"/>
  <c r="Q316" i="1"/>
  <c r="Q308" i="1"/>
  <c r="Q300" i="1"/>
  <c r="Q292" i="1"/>
  <c r="Q284" i="1"/>
  <c r="Q276" i="1"/>
  <c r="Q268" i="1"/>
  <c r="Q260" i="1"/>
  <c r="Q252" i="1"/>
  <c r="Q244" i="1"/>
  <c r="Q236" i="1"/>
  <c r="Q228" i="1"/>
  <c r="Q220" i="1"/>
  <c r="Q212" i="1"/>
  <c r="Q204" i="1"/>
  <c r="Q196" i="1"/>
  <c r="Q188" i="1"/>
  <c r="Q180" i="1"/>
  <c r="Q172" i="1"/>
  <c r="Q164" i="1"/>
  <c r="Q156" i="1"/>
  <c r="Q148" i="1"/>
  <c r="Q140" i="1"/>
  <c r="Q132" i="1"/>
  <c r="Q124" i="1"/>
  <c r="Q116" i="1"/>
  <c r="Q108" i="1"/>
  <c r="Q100" i="1"/>
  <c r="Q92" i="1"/>
  <c r="Q84" i="1"/>
  <c r="Q76" i="1"/>
  <c r="Q68" i="1"/>
  <c r="Q60" i="1"/>
  <c r="Q52" i="1"/>
  <c r="Q44" i="1"/>
  <c r="Q36" i="1"/>
  <c r="Q28" i="1"/>
  <c r="Q20" i="1"/>
  <c r="Q12" i="1"/>
  <c r="Q4" i="1"/>
  <c r="Q72" i="1"/>
  <c r="Q531" i="1"/>
  <c r="Q523" i="1"/>
  <c r="Q515" i="1"/>
  <c r="Q507" i="1"/>
  <c r="Q499" i="1"/>
  <c r="Q491" i="1"/>
  <c r="Q475" i="1"/>
  <c r="Q467" i="1"/>
  <c r="Q451" i="1"/>
  <c r="Q443" i="1"/>
  <c r="Q427" i="1"/>
  <c r="Q419" i="1"/>
  <c r="Q403" i="1"/>
  <c r="Q395" i="1"/>
  <c r="Q387" i="1"/>
  <c r="Q379" i="1"/>
  <c r="Q371" i="1"/>
  <c r="Q363" i="1"/>
  <c r="Q347" i="1"/>
  <c r="Q339" i="1"/>
  <c r="Q323" i="1"/>
  <c r="Q315" i="1"/>
  <c r="Q299" i="1"/>
  <c r="Q291" i="1"/>
  <c r="Q275" i="1"/>
  <c r="Q267" i="1"/>
  <c r="Q259" i="1"/>
  <c r="Q243" i="1"/>
  <c r="Q235" i="1"/>
  <c r="Q227" i="1"/>
  <c r="Q211" i="1"/>
  <c r="Q203" i="1"/>
  <c r="Q195" i="1"/>
  <c r="Q179" i="1"/>
  <c r="Q171" i="1"/>
  <c r="Q163" i="1"/>
  <c r="Q147" i="1"/>
  <c r="Q139" i="1"/>
  <c r="Q131" i="1"/>
  <c r="Q115" i="1"/>
  <c r="Q107" i="1"/>
  <c r="Q99" i="1"/>
  <c r="Q83" i="1"/>
  <c r="Q75" i="1"/>
  <c r="Q67" i="1"/>
  <c r="Q51" i="1"/>
  <c r="Q43" i="1"/>
  <c r="Q35" i="1"/>
  <c r="Q19" i="1"/>
  <c r="Q11" i="1"/>
  <c r="Q3" i="1"/>
  <c r="Q786" i="1"/>
  <c r="Q778" i="1"/>
  <c r="Q770" i="1"/>
  <c r="Q762" i="1"/>
  <c r="Q754" i="1"/>
  <c r="Q746" i="1"/>
  <c r="Q738" i="1"/>
  <c r="Q730" i="1"/>
  <c r="Q722" i="1"/>
  <c r="Q714" i="1"/>
  <c r="Q706" i="1"/>
  <c r="Q698" i="1"/>
  <c r="Q690" i="1"/>
  <c r="Q682" i="1"/>
  <c r="Q674" i="1"/>
  <c r="Q666" i="1"/>
  <c r="Q658" i="1"/>
  <c r="Q650" i="1"/>
  <c r="Q642" i="1"/>
  <c r="Q626" i="1"/>
  <c r="Q618" i="1"/>
  <c r="Q610" i="1"/>
  <c r="Q602" i="1"/>
  <c r="Q594" i="1"/>
  <c r="Q578" i="1"/>
  <c r="Q570" i="1"/>
  <c r="Q554" i="1"/>
  <c r="Q546" i="1"/>
  <c r="Q530" i="1"/>
  <c r="Q522" i="1"/>
  <c r="Q506" i="1"/>
  <c r="Q498" i="1"/>
  <c r="Q490" i="1"/>
  <c r="Q482" i="1"/>
  <c r="Q474" i="1"/>
  <c r="Q466" i="1"/>
  <c r="Q450" i="1"/>
  <c r="Q442" i="1"/>
  <c r="Q426" i="1"/>
  <c r="Q418" i="1"/>
  <c r="Q402" i="1"/>
  <c r="Q394" i="1"/>
  <c r="Q378" i="1"/>
  <c r="Q370" i="1"/>
  <c r="Q362" i="1"/>
  <c r="Q354" i="1"/>
  <c r="Q346" i="1"/>
  <c r="Q338" i="1"/>
  <c r="Q322" i="1"/>
  <c r="Q314" i="1"/>
  <c r="Q298" i="1"/>
  <c r="Q290" i="1"/>
  <c r="Q274" i="1"/>
  <c r="Q266" i="1"/>
  <c r="Q258" i="1"/>
  <c r="Q250" i="1"/>
  <c r="Q242" i="1"/>
  <c r="Q234" i="1"/>
  <c r="Q226" i="1"/>
  <c r="Q218" i="1"/>
  <c r="Q210" i="1"/>
  <c r="Q202" i="1"/>
  <c r="Q194" i="1"/>
  <c r="Q186" i="1"/>
  <c r="Q178" i="1"/>
  <c r="Q170" i="1"/>
  <c r="Q162" i="1"/>
  <c r="Q154" i="1"/>
  <c r="Q56" i="1"/>
  <c r="Q146" i="1"/>
  <c r="Q138" i="1"/>
  <c r="Q130" i="1"/>
  <c r="Q122" i="1"/>
  <c r="Q114" i="1"/>
  <c r="Q106" i="1"/>
  <c r="Q98" i="1"/>
  <c r="Q90" i="1"/>
  <c r="Q82" i="1"/>
  <c r="Q74" i="1"/>
  <c r="Q66" i="1"/>
  <c r="Q58" i="1"/>
  <c r="Q50" i="1"/>
  <c r="Q42" i="1"/>
  <c r="Q34" i="1"/>
  <c r="Q26" i="1"/>
  <c r="Q18" i="1"/>
  <c r="Q10" i="1"/>
  <c r="Q2" i="1"/>
  <c r="V2" i="1" s="1"/>
  <c r="Q41" i="1"/>
  <c r="Q33" i="1"/>
  <c r="Q25" i="1"/>
  <c r="Q17" i="1"/>
  <c r="Q9" i="1"/>
  <c r="Q216" i="1"/>
  <c r="Q168" i="1"/>
  <c r="Q152" i="1"/>
  <c r="Q136" i="1"/>
  <c r="Q120" i="1"/>
  <c r="Q104" i="1"/>
  <c r="Q88" i="1"/>
  <c r="Q40" i="1"/>
  <c r="Q24" i="1"/>
  <c r="Q8" i="1"/>
  <c r="R901" i="1" l="1"/>
  <c r="V901" i="1"/>
  <c r="R469" i="1"/>
  <c r="V469" i="1"/>
  <c r="R677" i="1"/>
  <c r="V677" i="1"/>
  <c r="R763" i="1"/>
  <c r="V763" i="1"/>
  <c r="R256" i="1"/>
  <c r="V256" i="1"/>
  <c r="R104" i="1"/>
  <c r="V104" i="1"/>
  <c r="R25" i="1"/>
  <c r="V25" i="1"/>
  <c r="R42" i="1"/>
  <c r="V42" i="1"/>
  <c r="R162" i="1"/>
  <c r="V162" i="1"/>
  <c r="R226" i="1"/>
  <c r="V226" i="1"/>
  <c r="R298" i="1"/>
  <c r="V298" i="1"/>
  <c r="R378" i="1"/>
  <c r="V378" i="1"/>
  <c r="R474" i="1"/>
  <c r="V474" i="1"/>
  <c r="R554" i="1"/>
  <c r="V554" i="1"/>
  <c r="R642" i="1"/>
  <c r="V642" i="1"/>
  <c r="R706" i="1"/>
  <c r="V706" i="1"/>
  <c r="R770" i="1"/>
  <c r="V770" i="1"/>
  <c r="R51" i="1"/>
  <c r="V51" i="1"/>
  <c r="R139" i="1"/>
  <c r="V139" i="1"/>
  <c r="R227" i="1"/>
  <c r="V227" i="1"/>
  <c r="R315" i="1"/>
  <c r="V315" i="1"/>
  <c r="R395" i="1"/>
  <c r="V395" i="1"/>
  <c r="R491" i="1"/>
  <c r="V491" i="1"/>
  <c r="R12" i="1"/>
  <c r="V12" i="1"/>
  <c r="R76" i="1"/>
  <c r="V76" i="1"/>
  <c r="R140" i="1"/>
  <c r="V140" i="1"/>
  <c r="R204" i="1"/>
  <c r="V204" i="1"/>
  <c r="R268" i="1"/>
  <c r="V268" i="1"/>
  <c r="R332" i="1"/>
  <c r="V332" i="1"/>
  <c r="R396" i="1"/>
  <c r="V396" i="1"/>
  <c r="R460" i="1"/>
  <c r="V460" i="1"/>
  <c r="R524" i="1"/>
  <c r="V524" i="1"/>
  <c r="R588" i="1"/>
  <c r="V588" i="1"/>
  <c r="R652" i="1"/>
  <c r="V652" i="1"/>
  <c r="R716" i="1"/>
  <c r="V716" i="1"/>
  <c r="R796" i="1"/>
  <c r="V796" i="1"/>
  <c r="R924" i="1"/>
  <c r="V924" i="1"/>
  <c r="R54" i="1"/>
  <c r="V54" i="1"/>
  <c r="R134" i="1"/>
  <c r="V134" i="1"/>
  <c r="R206" i="1"/>
  <c r="V206" i="1"/>
  <c r="R278" i="1"/>
  <c r="V278" i="1"/>
  <c r="R350" i="1"/>
  <c r="V350" i="1"/>
  <c r="R430" i="1"/>
  <c r="V430" i="1"/>
  <c r="R502" i="1"/>
  <c r="V502" i="1"/>
  <c r="R574" i="1"/>
  <c r="V574" i="1"/>
  <c r="R670" i="1"/>
  <c r="V670" i="1"/>
  <c r="R766" i="1"/>
  <c r="V766" i="1"/>
  <c r="R870" i="1"/>
  <c r="V870" i="1"/>
  <c r="R974" i="1"/>
  <c r="V974" i="1"/>
  <c r="R960" i="1"/>
  <c r="V960" i="1"/>
  <c r="R209" i="1"/>
  <c r="V209" i="1"/>
  <c r="R409" i="1"/>
  <c r="V409" i="1"/>
  <c r="R609" i="1"/>
  <c r="V609" i="1"/>
  <c r="R31" i="1"/>
  <c r="V31" i="1"/>
  <c r="R95" i="1"/>
  <c r="V95" i="1"/>
  <c r="R167" i="1"/>
  <c r="V167" i="1"/>
  <c r="R239" i="1"/>
  <c r="V239" i="1"/>
  <c r="R303" i="1"/>
  <c r="V303" i="1"/>
  <c r="R375" i="1"/>
  <c r="V375" i="1"/>
  <c r="R447" i="1"/>
  <c r="V447" i="1"/>
  <c r="R511" i="1"/>
  <c r="V511" i="1"/>
  <c r="R575" i="1"/>
  <c r="V575" i="1"/>
  <c r="R639" i="1"/>
  <c r="V639" i="1"/>
  <c r="R719" i="1"/>
  <c r="V719" i="1"/>
  <c r="R815" i="1"/>
  <c r="V815" i="1"/>
  <c r="R919" i="1"/>
  <c r="V919" i="1"/>
  <c r="R736" i="1"/>
  <c r="V736" i="1"/>
  <c r="R944" i="1"/>
  <c r="V944" i="1"/>
  <c r="R177" i="1"/>
  <c r="V177" i="1"/>
  <c r="R377" i="1"/>
  <c r="V377" i="1"/>
  <c r="R569" i="1"/>
  <c r="V569" i="1"/>
  <c r="R48" i="1"/>
  <c r="V48" i="1"/>
  <c r="R264" i="1"/>
  <c r="V264" i="1"/>
  <c r="R336" i="1"/>
  <c r="V336" i="1"/>
  <c r="R424" i="1"/>
  <c r="V424" i="1"/>
  <c r="R496" i="1"/>
  <c r="V496" i="1"/>
  <c r="R592" i="1"/>
  <c r="V592" i="1"/>
  <c r="R680" i="1"/>
  <c r="V680" i="1"/>
  <c r="R49" i="1"/>
  <c r="V49" i="1"/>
  <c r="R241" i="1"/>
  <c r="V241" i="1"/>
  <c r="R417" i="1"/>
  <c r="V417" i="1"/>
  <c r="R601" i="1"/>
  <c r="V601" i="1"/>
  <c r="R753" i="1"/>
  <c r="V753" i="1"/>
  <c r="R817" i="1"/>
  <c r="V817" i="1"/>
  <c r="R881" i="1"/>
  <c r="V881" i="1"/>
  <c r="R945" i="1"/>
  <c r="V945" i="1"/>
  <c r="R884" i="1"/>
  <c r="V884" i="1"/>
  <c r="R157" i="1"/>
  <c r="V157" i="1"/>
  <c r="R341" i="1"/>
  <c r="V341" i="1"/>
  <c r="R557" i="1"/>
  <c r="V557" i="1"/>
  <c r="R749" i="1"/>
  <c r="V749" i="1"/>
  <c r="R989" i="1"/>
  <c r="V989" i="1"/>
  <c r="R802" i="1"/>
  <c r="V802" i="1"/>
  <c r="R866" i="1"/>
  <c r="V866" i="1"/>
  <c r="R930" i="1"/>
  <c r="V930" i="1"/>
  <c r="R828" i="1"/>
  <c r="V828" i="1"/>
  <c r="R173" i="1"/>
  <c r="V173" i="1"/>
  <c r="R373" i="1"/>
  <c r="V373" i="1"/>
  <c r="R573" i="1"/>
  <c r="V573" i="1"/>
  <c r="R845" i="1"/>
  <c r="V845" i="1"/>
  <c r="R155" i="1"/>
  <c r="V155" i="1"/>
  <c r="R579" i="1"/>
  <c r="V579" i="1"/>
  <c r="R643" i="1"/>
  <c r="V643" i="1"/>
  <c r="R715" i="1"/>
  <c r="V715" i="1"/>
  <c r="R803" i="1"/>
  <c r="V803" i="1"/>
  <c r="R883" i="1"/>
  <c r="V883" i="1"/>
  <c r="R971" i="1"/>
  <c r="V971" i="1"/>
  <c r="R45" i="1"/>
  <c r="V45" i="1"/>
  <c r="R261" i="1"/>
  <c r="V261" i="1"/>
  <c r="R445" i="1"/>
  <c r="V445" i="1"/>
  <c r="R653" i="1"/>
  <c r="V653" i="1"/>
  <c r="R861" i="1"/>
  <c r="V861" i="1"/>
  <c r="R510" i="1"/>
  <c r="V510" i="1"/>
  <c r="R982" i="1"/>
  <c r="V982" i="1"/>
  <c r="R927" i="1"/>
  <c r="V927" i="1"/>
  <c r="R488" i="1"/>
  <c r="V488" i="1"/>
  <c r="R819" i="1"/>
  <c r="V819" i="1"/>
  <c r="R799" i="1"/>
  <c r="V799" i="1"/>
  <c r="R483" i="1"/>
  <c r="V483" i="1"/>
  <c r="R200" i="1"/>
  <c r="V200" i="1"/>
  <c r="R776" i="1"/>
  <c r="V776" i="1"/>
  <c r="R459" i="1"/>
  <c r="V459" i="1"/>
  <c r="R638" i="1"/>
  <c r="V638" i="1"/>
  <c r="R950" i="1"/>
  <c r="V950" i="1"/>
  <c r="R224" i="1"/>
  <c r="V224" i="1"/>
  <c r="R983" i="1"/>
  <c r="V983" i="1"/>
  <c r="R120" i="1"/>
  <c r="V120" i="1"/>
  <c r="R50" i="1"/>
  <c r="V50" i="1"/>
  <c r="R170" i="1"/>
  <c r="V170" i="1"/>
  <c r="R234" i="1"/>
  <c r="V234" i="1"/>
  <c r="R394" i="1"/>
  <c r="V394" i="1"/>
  <c r="R570" i="1"/>
  <c r="V570" i="1"/>
  <c r="R714" i="1"/>
  <c r="V714" i="1"/>
  <c r="R67" i="1"/>
  <c r="V67" i="1"/>
  <c r="R235" i="1"/>
  <c r="V235" i="1"/>
  <c r="R403" i="1"/>
  <c r="V403" i="1"/>
  <c r="R20" i="1"/>
  <c r="V20" i="1"/>
  <c r="R148" i="1"/>
  <c r="V148" i="1"/>
  <c r="R276" i="1"/>
  <c r="V276" i="1"/>
  <c r="R404" i="1"/>
  <c r="V404" i="1"/>
  <c r="R532" i="1"/>
  <c r="V532" i="1"/>
  <c r="R660" i="1"/>
  <c r="V660" i="1"/>
  <c r="R724" i="1"/>
  <c r="V724" i="1"/>
  <c r="R932" i="1"/>
  <c r="V932" i="1"/>
  <c r="R70" i="1"/>
  <c r="V70" i="1"/>
  <c r="R214" i="1"/>
  <c r="V214" i="1"/>
  <c r="R366" i="1"/>
  <c r="V366" i="1"/>
  <c r="R518" i="1"/>
  <c r="V518" i="1"/>
  <c r="R582" i="1"/>
  <c r="V582" i="1"/>
  <c r="R774" i="1"/>
  <c r="V774" i="1"/>
  <c r="R878" i="1"/>
  <c r="V878" i="1"/>
  <c r="R984" i="1"/>
  <c r="V984" i="1"/>
  <c r="R433" i="1"/>
  <c r="V433" i="1"/>
  <c r="R39" i="1"/>
  <c r="V39" i="1"/>
  <c r="R103" i="1"/>
  <c r="V103" i="1"/>
  <c r="R247" i="1"/>
  <c r="V247" i="1"/>
  <c r="R383" i="1"/>
  <c r="V383" i="1"/>
  <c r="R519" i="1"/>
  <c r="V519" i="1"/>
  <c r="R647" i="1"/>
  <c r="V647" i="1"/>
  <c r="R823" i="1"/>
  <c r="V823" i="1"/>
  <c r="R752" i="1"/>
  <c r="V752" i="1"/>
  <c r="R201" i="1"/>
  <c r="V201" i="1"/>
  <c r="R593" i="1"/>
  <c r="V593" i="1"/>
  <c r="R272" i="1"/>
  <c r="V272" i="1"/>
  <c r="R432" i="1"/>
  <c r="V432" i="1"/>
  <c r="R720" i="1"/>
  <c r="V720" i="1"/>
  <c r="R257" i="1"/>
  <c r="V257" i="1"/>
  <c r="R625" i="1"/>
  <c r="V625" i="1"/>
  <c r="R825" i="1"/>
  <c r="V825" i="1"/>
  <c r="R953" i="1"/>
  <c r="V953" i="1"/>
  <c r="R181" i="1"/>
  <c r="V181" i="1"/>
  <c r="R589" i="1"/>
  <c r="V589" i="1"/>
  <c r="R649" i="1"/>
  <c r="V649" i="1"/>
  <c r="R874" i="1"/>
  <c r="V874" i="1"/>
  <c r="R956" i="1"/>
  <c r="V956" i="1"/>
  <c r="R597" i="1"/>
  <c r="V597" i="1"/>
  <c r="R651" i="1"/>
  <c r="V651" i="1"/>
  <c r="R979" i="1"/>
  <c r="V979" i="1"/>
  <c r="R590" i="1"/>
  <c r="V590" i="1"/>
  <c r="R106" i="1"/>
  <c r="V106" i="1"/>
  <c r="R33" i="1"/>
  <c r="V33" i="1"/>
  <c r="R114" i="1"/>
  <c r="V114" i="1"/>
  <c r="R314" i="1"/>
  <c r="V314" i="1"/>
  <c r="R482" i="1"/>
  <c r="V482" i="1"/>
  <c r="R650" i="1"/>
  <c r="V650" i="1"/>
  <c r="R778" i="1"/>
  <c r="V778" i="1"/>
  <c r="R147" i="1"/>
  <c r="V147" i="1"/>
  <c r="R323" i="1"/>
  <c r="V323" i="1"/>
  <c r="R499" i="1"/>
  <c r="V499" i="1"/>
  <c r="R84" i="1"/>
  <c r="V84" i="1"/>
  <c r="R212" i="1"/>
  <c r="V212" i="1"/>
  <c r="R340" i="1"/>
  <c r="V340" i="1"/>
  <c r="R468" i="1"/>
  <c r="V468" i="1"/>
  <c r="R596" i="1"/>
  <c r="V596" i="1"/>
  <c r="R804" i="1"/>
  <c r="V804" i="1"/>
  <c r="R142" i="1"/>
  <c r="V142" i="1"/>
  <c r="R286" i="1"/>
  <c r="V286" i="1"/>
  <c r="R438" i="1"/>
  <c r="V438" i="1"/>
  <c r="R686" i="1"/>
  <c r="V686" i="1"/>
  <c r="R990" i="1"/>
  <c r="V990" i="1"/>
  <c r="R233" i="1"/>
  <c r="V233" i="1"/>
  <c r="R633" i="1"/>
  <c r="V633" i="1"/>
  <c r="R175" i="1"/>
  <c r="V175" i="1"/>
  <c r="R311" i="1"/>
  <c r="V311" i="1"/>
  <c r="R455" i="1"/>
  <c r="V455" i="1"/>
  <c r="R583" i="1"/>
  <c r="V583" i="1"/>
  <c r="R727" i="1"/>
  <c r="V727" i="1"/>
  <c r="R935" i="1"/>
  <c r="V935" i="1"/>
  <c r="R968" i="1"/>
  <c r="V968" i="1"/>
  <c r="R401" i="1"/>
  <c r="V401" i="1"/>
  <c r="R80" i="1"/>
  <c r="V80" i="1"/>
  <c r="R344" i="1"/>
  <c r="V344" i="1"/>
  <c r="R504" i="1"/>
  <c r="V504" i="1"/>
  <c r="R600" i="1"/>
  <c r="V600" i="1"/>
  <c r="R73" i="1"/>
  <c r="V73" i="1"/>
  <c r="R441" i="1"/>
  <c r="V441" i="1"/>
  <c r="R761" i="1"/>
  <c r="V761" i="1"/>
  <c r="R889" i="1"/>
  <c r="V889" i="1"/>
  <c r="R988" i="1"/>
  <c r="V988" i="1"/>
  <c r="R365" i="1"/>
  <c r="V365" i="1"/>
  <c r="R773" i="1"/>
  <c r="V773" i="1"/>
  <c r="R810" i="1"/>
  <c r="V810" i="1"/>
  <c r="R938" i="1"/>
  <c r="V938" i="1"/>
  <c r="R205" i="1"/>
  <c r="V205" i="1"/>
  <c r="R405" i="1"/>
  <c r="V405" i="1"/>
  <c r="R869" i="1"/>
  <c r="V869" i="1"/>
  <c r="R219" i="1"/>
  <c r="V219" i="1"/>
  <c r="R587" i="1"/>
  <c r="V587" i="1"/>
  <c r="R723" i="1"/>
  <c r="V723" i="1"/>
  <c r="R811" i="1"/>
  <c r="V811" i="1"/>
  <c r="R899" i="1"/>
  <c r="V899" i="1"/>
  <c r="R69" i="1"/>
  <c r="V69" i="1"/>
  <c r="R285" i="1"/>
  <c r="V285" i="1"/>
  <c r="R999" i="1"/>
  <c r="V999" i="1"/>
  <c r="R664" i="1"/>
  <c r="V664" i="1"/>
  <c r="R739" i="1"/>
  <c r="V739" i="1"/>
  <c r="R814" i="1"/>
  <c r="V814" i="1"/>
  <c r="R122" i="1"/>
  <c r="V122" i="1"/>
  <c r="R402" i="1"/>
  <c r="V402" i="1"/>
  <c r="R722" i="1"/>
  <c r="V722" i="1"/>
  <c r="R243" i="1"/>
  <c r="V243" i="1"/>
  <c r="R156" i="1"/>
  <c r="V156" i="1"/>
  <c r="R360" i="1"/>
  <c r="V360" i="1"/>
  <c r="R58" i="1"/>
  <c r="V58" i="1"/>
  <c r="R322" i="1"/>
  <c r="V322" i="1"/>
  <c r="R658" i="1"/>
  <c r="V658" i="1"/>
  <c r="R163" i="1"/>
  <c r="V163" i="1"/>
  <c r="R507" i="1"/>
  <c r="V507" i="1"/>
  <c r="R220" i="1"/>
  <c r="V220" i="1"/>
  <c r="R476" i="1"/>
  <c r="V476" i="1"/>
  <c r="R844" i="1"/>
  <c r="V844" i="1"/>
  <c r="R694" i="1"/>
  <c r="V694" i="1"/>
  <c r="R24" i="1"/>
  <c r="V24" i="1"/>
  <c r="R216" i="1"/>
  <c r="V216" i="1"/>
  <c r="R18" i="1"/>
  <c r="V18" i="1"/>
  <c r="R82" i="1"/>
  <c r="V82" i="1"/>
  <c r="R146" i="1"/>
  <c r="V146" i="1"/>
  <c r="R202" i="1"/>
  <c r="V202" i="1"/>
  <c r="R266" i="1"/>
  <c r="V266" i="1"/>
  <c r="R354" i="1"/>
  <c r="V354" i="1"/>
  <c r="R442" i="1"/>
  <c r="V442" i="1"/>
  <c r="R522" i="1"/>
  <c r="V522" i="1"/>
  <c r="R610" i="1"/>
  <c r="V610" i="1"/>
  <c r="R682" i="1"/>
  <c r="V682" i="1"/>
  <c r="R746" i="1"/>
  <c r="V746" i="1"/>
  <c r="R19" i="1"/>
  <c r="V19" i="1"/>
  <c r="R107" i="1"/>
  <c r="V107" i="1"/>
  <c r="R195" i="1"/>
  <c r="V195" i="1"/>
  <c r="R275" i="1"/>
  <c r="V275" i="1"/>
  <c r="R371" i="1"/>
  <c r="V371" i="1"/>
  <c r="R451" i="1"/>
  <c r="V451" i="1"/>
  <c r="R531" i="1"/>
  <c r="V531" i="1"/>
  <c r="R52" i="1"/>
  <c r="V52" i="1"/>
  <c r="R116" i="1"/>
  <c r="V116" i="1"/>
  <c r="R180" i="1"/>
  <c r="V180" i="1"/>
  <c r="R244" i="1"/>
  <c r="V244" i="1"/>
  <c r="R308" i="1"/>
  <c r="V308" i="1"/>
  <c r="R372" i="1"/>
  <c r="V372" i="1"/>
  <c r="R436" i="1"/>
  <c r="V436" i="1"/>
  <c r="R500" i="1"/>
  <c r="V500" i="1"/>
  <c r="R564" i="1"/>
  <c r="V564" i="1"/>
  <c r="R628" i="1"/>
  <c r="V628" i="1"/>
  <c r="R692" i="1"/>
  <c r="V692" i="1"/>
  <c r="R756" i="1"/>
  <c r="V756" i="1"/>
  <c r="R868" i="1"/>
  <c r="V868" i="1"/>
  <c r="R30" i="1"/>
  <c r="V30" i="1"/>
  <c r="R102" i="1"/>
  <c r="V102" i="1"/>
  <c r="R174" i="1"/>
  <c r="V174" i="1"/>
  <c r="R246" i="1"/>
  <c r="V246" i="1"/>
  <c r="R318" i="1"/>
  <c r="V318" i="1"/>
  <c r="R398" i="1"/>
  <c r="V398" i="1"/>
  <c r="R478" i="1"/>
  <c r="V478" i="1"/>
  <c r="R550" i="1"/>
  <c r="V550" i="1"/>
  <c r="R630" i="1"/>
  <c r="V630" i="1"/>
  <c r="R726" i="1"/>
  <c r="V726" i="1"/>
  <c r="R822" i="1"/>
  <c r="V822" i="1"/>
  <c r="R926" i="1"/>
  <c r="V926" i="1"/>
  <c r="R832" i="1"/>
  <c r="V832" i="1"/>
  <c r="R137" i="1"/>
  <c r="V137" i="1"/>
  <c r="R337" i="1"/>
  <c r="V337" i="1"/>
  <c r="R529" i="1"/>
  <c r="V529" i="1"/>
  <c r="R7" i="1"/>
  <c r="V7" i="1"/>
  <c r="R71" i="1"/>
  <c r="V71" i="1"/>
  <c r="R143" i="1"/>
  <c r="V143" i="1"/>
  <c r="R215" i="1"/>
  <c r="V215" i="1"/>
  <c r="R279" i="1"/>
  <c r="V279" i="1"/>
  <c r="R351" i="1"/>
  <c r="V351" i="1"/>
  <c r="R423" i="1"/>
  <c r="V423" i="1"/>
  <c r="R487" i="1"/>
  <c r="V487" i="1"/>
  <c r="R551" i="1"/>
  <c r="V551" i="1"/>
  <c r="R615" i="1"/>
  <c r="V615" i="1"/>
  <c r="R695" i="1"/>
  <c r="V695" i="1"/>
  <c r="R767" i="1"/>
  <c r="V767" i="1"/>
  <c r="R871" i="1"/>
  <c r="V871" i="1"/>
  <c r="R584" i="1"/>
  <c r="V584" i="1"/>
  <c r="R864" i="1"/>
  <c r="V864" i="1"/>
  <c r="R105" i="1"/>
  <c r="V105" i="1"/>
  <c r="R297" i="1"/>
  <c r="V297" i="1"/>
  <c r="R497" i="1"/>
  <c r="V497" i="1"/>
  <c r="R697" i="1"/>
  <c r="V697" i="1"/>
  <c r="R232" i="1"/>
  <c r="V232" i="1"/>
  <c r="R312" i="1"/>
  <c r="V312" i="1"/>
  <c r="R384" i="1"/>
  <c r="V384" i="1"/>
  <c r="R464" i="1"/>
  <c r="V464" i="1"/>
  <c r="R544" i="1"/>
  <c r="V544" i="1"/>
  <c r="R640" i="1"/>
  <c r="V640" i="1"/>
  <c r="R952" i="1"/>
  <c r="V952" i="1"/>
  <c r="R169" i="1"/>
  <c r="V169" i="1"/>
  <c r="R345" i="1"/>
  <c r="V345" i="1"/>
  <c r="R537" i="1"/>
  <c r="V537" i="1"/>
  <c r="R729" i="1"/>
  <c r="V729" i="1"/>
  <c r="R793" i="1"/>
  <c r="V793" i="1"/>
  <c r="R857" i="1"/>
  <c r="V857" i="1"/>
  <c r="R921" i="1"/>
  <c r="V921" i="1"/>
  <c r="R985" i="1"/>
  <c r="V985" i="1"/>
  <c r="R85" i="1"/>
  <c r="V85" i="1"/>
  <c r="R269" i="1"/>
  <c r="V269" i="1"/>
  <c r="R485" i="1"/>
  <c r="V485" i="1"/>
  <c r="R685" i="1"/>
  <c r="V685" i="1"/>
  <c r="R877" i="1"/>
  <c r="V877" i="1"/>
  <c r="R538" i="1"/>
  <c r="V538" i="1"/>
  <c r="R842" i="1"/>
  <c r="V842" i="1"/>
  <c r="R906" i="1"/>
  <c r="V906" i="1"/>
  <c r="R978" i="1"/>
  <c r="V978" i="1"/>
  <c r="R77" i="1"/>
  <c r="V77" i="1"/>
  <c r="R301" i="1"/>
  <c r="V301" i="1"/>
  <c r="R501" i="1"/>
  <c r="V501" i="1"/>
  <c r="R693" i="1"/>
  <c r="V693" i="1"/>
  <c r="R981" i="1"/>
  <c r="V981" i="1"/>
  <c r="R555" i="1"/>
  <c r="V555" i="1"/>
  <c r="R619" i="1"/>
  <c r="V619" i="1"/>
  <c r="R683" i="1"/>
  <c r="V683" i="1"/>
  <c r="R779" i="1"/>
  <c r="V779" i="1"/>
  <c r="R851" i="1"/>
  <c r="V851" i="1"/>
  <c r="R939" i="1"/>
  <c r="V939" i="1"/>
  <c r="R900" i="1"/>
  <c r="V900" i="1"/>
  <c r="R165" i="1"/>
  <c r="V165" i="1"/>
  <c r="R381" i="1"/>
  <c r="V381" i="1"/>
  <c r="R565" i="1"/>
  <c r="V565" i="1"/>
  <c r="R781" i="1"/>
  <c r="V781" i="1"/>
  <c r="R126" i="1"/>
  <c r="V126" i="1"/>
  <c r="R782" i="1"/>
  <c r="V782" i="1"/>
  <c r="R399" i="1"/>
  <c r="V399" i="1"/>
  <c r="R128" i="1"/>
  <c r="V128" i="1"/>
  <c r="R896" i="1"/>
  <c r="V896" i="1"/>
  <c r="R821" i="1"/>
  <c r="V821" i="1"/>
  <c r="R64" i="1"/>
  <c r="V64" i="1"/>
  <c r="R576" i="1"/>
  <c r="V576" i="1"/>
  <c r="R358" i="1"/>
  <c r="V358" i="1"/>
  <c r="R678" i="1"/>
  <c r="V678" i="1"/>
  <c r="R966" i="1"/>
  <c r="V966" i="1"/>
  <c r="R912" i="1"/>
  <c r="V912" i="1"/>
  <c r="R184" i="1"/>
  <c r="V184" i="1"/>
  <c r="R931" i="1"/>
  <c r="V931" i="1"/>
  <c r="R800" i="1"/>
  <c r="V800" i="1"/>
  <c r="R189" i="1"/>
  <c r="V189" i="1"/>
  <c r="R136" i="1"/>
  <c r="V136" i="1"/>
  <c r="R178" i="1"/>
  <c r="V178" i="1"/>
  <c r="R490" i="1"/>
  <c r="V490" i="1"/>
  <c r="R75" i="1"/>
  <c r="V75" i="1"/>
  <c r="R419" i="1"/>
  <c r="V419" i="1"/>
  <c r="R92" i="1"/>
  <c r="V92" i="1"/>
  <c r="R348" i="1"/>
  <c r="V348" i="1"/>
  <c r="R540" i="1"/>
  <c r="V540" i="1"/>
  <c r="R668" i="1"/>
  <c r="V668" i="1"/>
  <c r="R6" i="1"/>
  <c r="V6" i="1"/>
  <c r="R150" i="1"/>
  <c r="V150" i="1"/>
  <c r="R294" i="1"/>
  <c r="V294" i="1"/>
  <c r="R446" i="1"/>
  <c r="V446" i="1"/>
  <c r="R598" i="1"/>
  <c r="V598" i="1"/>
  <c r="R790" i="1"/>
  <c r="V790" i="1"/>
  <c r="R656" i="1"/>
  <c r="V656" i="1"/>
  <c r="R265" i="1"/>
  <c r="V265" i="1"/>
  <c r="R657" i="1"/>
  <c r="V657" i="1"/>
  <c r="R111" i="1"/>
  <c r="V111" i="1"/>
  <c r="R255" i="1"/>
  <c r="V255" i="1"/>
  <c r="R391" i="1"/>
  <c r="V391" i="1"/>
  <c r="R527" i="1"/>
  <c r="V527" i="1"/>
  <c r="R655" i="1"/>
  <c r="V655" i="1"/>
  <c r="R831" i="1"/>
  <c r="V831" i="1"/>
  <c r="R792" i="1"/>
  <c r="V792" i="1"/>
  <c r="R225" i="1"/>
  <c r="V225" i="1"/>
  <c r="R617" i="1"/>
  <c r="V617" i="1"/>
  <c r="R352" i="1"/>
  <c r="V352" i="1"/>
  <c r="R97" i="1"/>
  <c r="V97" i="1"/>
  <c r="R229" i="1"/>
  <c r="V229" i="1"/>
  <c r="R127" i="1"/>
  <c r="V127" i="1"/>
  <c r="R130" i="1"/>
  <c r="V130" i="1"/>
  <c r="R250" i="1"/>
  <c r="V250" i="1"/>
  <c r="R418" i="1"/>
  <c r="V418" i="1"/>
  <c r="R594" i="1"/>
  <c r="V594" i="1"/>
  <c r="R730" i="1"/>
  <c r="V730" i="1"/>
  <c r="R83" i="1"/>
  <c r="V83" i="1"/>
  <c r="R259" i="1"/>
  <c r="V259" i="1"/>
  <c r="R427" i="1"/>
  <c r="V427" i="1"/>
  <c r="R36" i="1"/>
  <c r="V36" i="1"/>
  <c r="R164" i="1"/>
  <c r="V164" i="1"/>
  <c r="R292" i="1"/>
  <c r="V292" i="1"/>
  <c r="R420" i="1"/>
  <c r="V420" i="1"/>
  <c r="R548" i="1"/>
  <c r="V548" i="1"/>
  <c r="R676" i="1"/>
  <c r="V676" i="1"/>
  <c r="R852" i="1"/>
  <c r="V852" i="1"/>
  <c r="R86" i="1"/>
  <c r="V86" i="1"/>
  <c r="R230" i="1"/>
  <c r="V230" i="1"/>
  <c r="R382" i="1"/>
  <c r="V382" i="1"/>
  <c r="R534" i="1"/>
  <c r="V534" i="1"/>
  <c r="R702" i="1"/>
  <c r="V702" i="1"/>
  <c r="R902" i="1"/>
  <c r="V902" i="1"/>
  <c r="R89" i="1"/>
  <c r="V89" i="1"/>
  <c r="R481" i="1"/>
  <c r="V481" i="1"/>
  <c r="R55" i="1"/>
  <c r="V55" i="1"/>
  <c r="R191" i="1"/>
  <c r="V191" i="1"/>
  <c r="R327" i="1"/>
  <c r="V327" i="1"/>
  <c r="R471" i="1"/>
  <c r="V471" i="1"/>
  <c r="R599" i="1"/>
  <c r="V599" i="1"/>
  <c r="R751" i="1"/>
  <c r="V751" i="1"/>
  <c r="R951" i="1"/>
  <c r="V951" i="1"/>
  <c r="R57" i="1"/>
  <c r="V57" i="1"/>
  <c r="R449" i="1"/>
  <c r="V449" i="1"/>
  <c r="R176" i="1"/>
  <c r="V176" i="1"/>
  <c r="R448" i="1"/>
  <c r="V448" i="1"/>
  <c r="R624" i="1"/>
  <c r="V624" i="1"/>
  <c r="R121" i="1"/>
  <c r="V121" i="1"/>
  <c r="R489" i="1"/>
  <c r="V489" i="1"/>
  <c r="R777" i="1"/>
  <c r="V777" i="1"/>
  <c r="R905" i="1"/>
  <c r="V905" i="1"/>
  <c r="R37" i="1"/>
  <c r="V37" i="1"/>
  <c r="R413" i="1"/>
  <c r="V413" i="1"/>
  <c r="R829" i="1"/>
  <c r="V829" i="1"/>
  <c r="R826" i="1"/>
  <c r="V826" i="1"/>
  <c r="R962" i="1"/>
  <c r="V962" i="1"/>
  <c r="R253" i="1"/>
  <c r="V253" i="1"/>
  <c r="R645" i="1"/>
  <c r="V645" i="1"/>
  <c r="R435" i="1"/>
  <c r="V435" i="1"/>
  <c r="R667" i="1"/>
  <c r="V667" i="1"/>
  <c r="R835" i="1"/>
  <c r="V835" i="1"/>
  <c r="R995" i="1"/>
  <c r="V995" i="1"/>
  <c r="R333" i="1"/>
  <c r="V333" i="1"/>
  <c r="R733" i="1"/>
  <c r="V733" i="1"/>
  <c r="R742" i="1"/>
  <c r="V742" i="1"/>
  <c r="R875" i="1"/>
  <c r="V875" i="1"/>
  <c r="R613" i="1"/>
  <c r="V613" i="1"/>
  <c r="R947" i="1"/>
  <c r="V947" i="1"/>
  <c r="R856" i="1"/>
  <c r="V856" i="1"/>
  <c r="R909" i="1"/>
  <c r="V909" i="1"/>
  <c r="R839" i="1"/>
  <c r="V839" i="1"/>
  <c r="R855" i="1"/>
  <c r="V855" i="1"/>
  <c r="R731" i="1"/>
  <c r="V731" i="1"/>
  <c r="R760" i="1"/>
  <c r="V760" i="1"/>
  <c r="R41" i="1"/>
  <c r="V41" i="1"/>
  <c r="R242" i="1"/>
  <c r="V242" i="1"/>
  <c r="R578" i="1"/>
  <c r="V578" i="1"/>
  <c r="R786" i="1"/>
  <c r="V786" i="1"/>
  <c r="R339" i="1"/>
  <c r="V339" i="1"/>
  <c r="R28" i="1"/>
  <c r="V28" i="1"/>
  <c r="R284" i="1"/>
  <c r="V284" i="1"/>
  <c r="R412" i="1"/>
  <c r="V412" i="1"/>
  <c r="R604" i="1"/>
  <c r="V604" i="1"/>
  <c r="R732" i="1"/>
  <c r="V732" i="1"/>
  <c r="R78" i="1"/>
  <c r="V78" i="1"/>
  <c r="R222" i="1"/>
  <c r="V222" i="1"/>
  <c r="R374" i="1"/>
  <c r="V374" i="1"/>
  <c r="R526" i="1"/>
  <c r="V526" i="1"/>
  <c r="R886" i="1"/>
  <c r="V886" i="1"/>
  <c r="R65" i="1"/>
  <c r="V65" i="1"/>
  <c r="R457" i="1"/>
  <c r="V457" i="1"/>
  <c r="R47" i="1"/>
  <c r="V47" i="1"/>
  <c r="R183" i="1"/>
  <c r="V183" i="1"/>
  <c r="R319" i="1"/>
  <c r="V319" i="1"/>
  <c r="R463" i="1"/>
  <c r="V463" i="1"/>
  <c r="R591" i="1"/>
  <c r="V591" i="1"/>
  <c r="R735" i="1"/>
  <c r="V735" i="1"/>
  <c r="R943" i="1"/>
  <c r="V943" i="1"/>
  <c r="R992" i="1"/>
  <c r="V992" i="1"/>
  <c r="R425" i="1"/>
  <c r="V425" i="1"/>
  <c r="R144" i="1"/>
  <c r="V144" i="1"/>
  <c r="R280" i="1"/>
  <c r="V280" i="1"/>
  <c r="R440" i="1"/>
  <c r="V440" i="1"/>
  <c r="R520" i="1"/>
  <c r="V520" i="1"/>
  <c r="R608" i="1"/>
  <c r="V608" i="1"/>
  <c r="R744" i="1"/>
  <c r="V744" i="1"/>
  <c r="R281" i="1"/>
  <c r="V281" i="1"/>
  <c r="R465" i="1"/>
  <c r="V465" i="1"/>
  <c r="R665" i="1"/>
  <c r="V665" i="1"/>
  <c r="R769" i="1"/>
  <c r="V769" i="1"/>
  <c r="R833" i="1"/>
  <c r="V833" i="1"/>
  <c r="R897" i="1"/>
  <c r="V897" i="1"/>
  <c r="R961" i="1"/>
  <c r="V961" i="1"/>
  <c r="R13" i="1"/>
  <c r="V13" i="1"/>
  <c r="R197" i="1"/>
  <c r="V197" i="1"/>
  <c r="R389" i="1"/>
  <c r="V389" i="1"/>
  <c r="R605" i="1"/>
  <c r="V605" i="1"/>
  <c r="R797" i="1"/>
  <c r="V797" i="1"/>
  <c r="R282" i="1"/>
  <c r="V282" i="1"/>
  <c r="R818" i="1"/>
  <c r="V818" i="1"/>
  <c r="R882" i="1"/>
  <c r="V882" i="1"/>
  <c r="R954" i="1"/>
  <c r="V954" i="1"/>
  <c r="R5" i="1"/>
  <c r="V5" i="1"/>
  <c r="R429" i="1"/>
  <c r="V429" i="1"/>
  <c r="R621" i="1"/>
  <c r="V621" i="1"/>
  <c r="R893" i="1"/>
  <c r="V893" i="1"/>
  <c r="R331" i="1"/>
  <c r="V331" i="1"/>
  <c r="R595" i="1"/>
  <c r="V595" i="1"/>
  <c r="R659" i="1"/>
  <c r="V659" i="1"/>
  <c r="R747" i="1"/>
  <c r="V747" i="1"/>
  <c r="R827" i="1"/>
  <c r="V827" i="1"/>
  <c r="R907" i="1"/>
  <c r="V907" i="1"/>
  <c r="R987" i="1"/>
  <c r="V987" i="1"/>
  <c r="R93" i="1"/>
  <c r="V93" i="1"/>
  <c r="R309" i="1"/>
  <c r="V309" i="1"/>
  <c r="R493" i="1"/>
  <c r="V493" i="1"/>
  <c r="R701" i="1"/>
  <c r="V701" i="1"/>
  <c r="R925" i="1"/>
  <c r="V925" i="1"/>
  <c r="R654" i="1"/>
  <c r="V654" i="1"/>
  <c r="R717" i="1"/>
  <c r="V717" i="1"/>
  <c r="R539" i="1"/>
  <c r="V539" i="1"/>
  <c r="R704" i="1"/>
  <c r="V704" i="1"/>
  <c r="R461" i="1"/>
  <c r="V461" i="1"/>
  <c r="R903" i="1"/>
  <c r="V903" i="1"/>
  <c r="R891" i="1"/>
  <c r="V891" i="1"/>
  <c r="R304" i="1"/>
  <c r="V304" i="1"/>
  <c r="R848" i="1"/>
  <c r="V848" i="1"/>
  <c r="R514" i="1"/>
  <c r="V514" i="1"/>
  <c r="R813" i="1"/>
  <c r="V813" i="1"/>
  <c r="R62" i="1"/>
  <c r="V62" i="1"/>
  <c r="R199" i="1"/>
  <c r="V199" i="1"/>
  <c r="R784" i="1"/>
  <c r="V784" i="1"/>
  <c r="R152" i="1"/>
  <c r="V152" i="1"/>
  <c r="R66" i="1"/>
  <c r="V66" i="1"/>
  <c r="R186" i="1"/>
  <c r="V186" i="1"/>
  <c r="R338" i="1"/>
  <c r="V338" i="1"/>
  <c r="R498" i="1"/>
  <c r="V498" i="1"/>
  <c r="R666" i="1"/>
  <c r="V666" i="1"/>
  <c r="R3" i="1"/>
  <c r="V3" i="1"/>
  <c r="R171" i="1"/>
  <c r="V171" i="1"/>
  <c r="R347" i="1"/>
  <c r="V347" i="1"/>
  <c r="R515" i="1"/>
  <c r="V515" i="1"/>
  <c r="R100" i="1"/>
  <c r="V100" i="1"/>
  <c r="R228" i="1"/>
  <c r="V228" i="1"/>
  <c r="R356" i="1"/>
  <c r="V356" i="1"/>
  <c r="R484" i="1"/>
  <c r="V484" i="1"/>
  <c r="R612" i="1"/>
  <c r="V612" i="1"/>
  <c r="R740" i="1"/>
  <c r="V740" i="1"/>
  <c r="R14" i="1"/>
  <c r="V14" i="1"/>
  <c r="R158" i="1"/>
  <c r="V158" i="1"/>
  <c r="R302" i="1"/>
  <c r="V302" i="1"/>
  <c r="R454" i="1"/>
  <c r="V454" i="1"/>
  <c r="R606" i="1"/>
  <c r="V606" i="1"/>
  <c r="R798" i="1"/>
  <c r="V798" i="1"/>
  <c r="R768" i="1"/>
  <c r="V768" i="1"/>
  <c r="R289" i="1"/>
  <c r="V289" i="1"/>
  <c r="R689" i="1"/>
  <c r="V689" i="1"/>
  <c r="R119" i="1"/>
  <c r="V119" i="1"/>
  <c r="R263" i="1"/>
  <c r="V263" i="1"/>
  <c r="R407" i="1"/>
  <c r="V407" i="1"/>
  <c r="R535" i="1"/>
  <c r="V535" i="1"/>
  <c r="R671" i="1"/>
  <c r="V671" i="1"/>
  <c r="R847" i="1"/>
  <c r="V847" i="1"/>
  <c r="R816" i="1"/>
  <c r="V816" i="1"/>
  <c r="R249" i="1"/>
  <c r="V249" i="1"/>
  <c r="R641" i="1"/>
  <c r="V641" i="1"/>
  <c r="R288" i="1"/>
  <c r="V288" i="1"/>
  <c r="R368" i="1"/>
  <c r="V368" i="1"/>
  <c r="R528" i="1"/>
  <c r="V528" i="1"/>
  <c r="R824" i="1"/>
  <c r="V824" i="1"/>
  <c r="R305" i="1"/>
  <c r="V305" i="1"/>
  <c r="R681" i="1"/>
  <c r="V681" i="1"/>
  <c r="R841" i="1"/>
  <c r="V841" i="1"/>
  <c r="R969" i="1"/>
  <c r="V969" i="1"/>
  <c r="R221" i="1"/>
  <c r="V221" i="1"/>
  <c r="R637" i="1"/>
  <c r="V637" i="1"/>
  <c r="R330" i="1"/>
  <c r="V330" i="1"/>
  <c r="R890" i="1"/>
  <c r="V890" i="1"/>
  <c r="R29" i="1"/>
  <c r="V29" i="1"/>
  <c r="R453" i="1"/>
  <c r="V453" i="1"/>
  <c r="R933" i="1"/>
  <c r="V933" i="1"/>
  <c r="R603" i="1"/>
  <c r="V603" i="1"/>
  <c r="R755" i="1"/>
  <c r="V755" i="1"/>
  <c r="R915" i="1"/>
  <c r="V915" i="1"/>
  <c r="R117" i="1"/>
  <c r="V117" i="1"/>
  <c r="R517" i="1"/>
  <c r="V517" i="1"/>
  <c r="R949" i="1"/>
  <c r="V949" i="1"/>
  <c r="R885" i="1"/>
  <c r="V885" i="1"/>
  <c r="R712" i="1"/>
  <c r="V712" i="1"/>
  <c r="R967" i="1"/>
  <c r="V967" i="1"/>
  <c r="R512" i="1"/>
  <c r="V512" i="1"/>
  <c r="R965" i="1"/>
  <c r="V965" i="1"/>
  <c r="R718" i="1"/>
  <c r="V718" i="1"/>
  <c r="R975" i="1"/>
  <c r="V975" i="1"/>
  <c r="R8" i="1"/>
  <c r="V8" i="1"/>
  <c r="R168" i="1"/>
  <c r="V168" i="1"/>
  <c r="R10" i="1"/>
  <c r="V10" i="1"/>
  <c r="R74" i="1"/>
  <c r="V74" i="1"/>
  <c r="R138" i="1"/>
  <c r="V138" i="1"/>
  <c r="R194" i="1"/>
  <c r="V194" i="1"/>
  <c r="R258" i="1"/>
  <c r="V258" i="1"/>
  <c r="R346" i="1"/>
  <c r="V346" i="1"/>
  <c r="R426" i="1"/>
  <c r="V426" i="1"/>
  <c r="R506" i="1"/>
  <c r="V506" i="1"/>
  <c r="R602" i="1"/>
  <c r="V602" i="1"/>
  <c r="R674" i="1"/>
  <c r="V674" i="1"/>
  <c r="R738" i="1"/>
  <c r="V738" i="1"/>
  <c r="R11" i="1"/>
  <c r="V11" i="1"/>
  <c r="R99" i="1"/>
  <c r="V99" i="1"/>
  <c r="R179" i="1"/>
  <c r="V179" i="1"/>
  <c r="R267" i="1"/>
  <c r="V267" i="1"/>
  <c r="R363" i="1"/>
  <c r="V363" i="1"/>
  <c r="R443" i="1"/>
  <c r="V443" i="1"/>
  <c r="R523" i="1"/>
  <c r="V523" i="1"/>
  <c r="R44" i="1"/>
  <c r="V44" i="1"/>
  <c r="R108" i="1"/>
  <c r="V108" i="1"/>
  <c r="R172" i="1"/>
  <c r="V172" i="1"/>
  <c r="R236" i="1"/>
  <c r="V236" i="1"/>
  <c r="R300" i="1"/>
  <c r="V300" i="1"/>
  <c r="R364" i="1"/>
  <c r="V364" i="1"/>
  <c r="R428" i="1"/>
  <c r="V428" i="1"/>
  <c r="R492" i="1"/>
  <c r="V492" i="1"/>
  <c r="R556" i="1"/>
  <c r="V556" i="1"/>
  <c r="R620" i="1"/>
  <c r="V620" i="1"/>
  <c r="R684" i="1"/>
  <c r="V684" i="1"/>
  <c r="R748" i="1"/>
  <c r="V748" i="1"/>
  <c r="R860" i="1"/>
  <c r="V860" i="1"/>
  <c r="R22" i="1"/>
  <c r="V22" i="1"/>
  <c r="R94" i="1"/>
  <c r="V94" i="1"/>
  <c r="R166" i="1"/>
  <c r="V166" i="1"/>
  <c r="R238" i="1"/>
  <c r="V238" i="1"/>
  <c r="R310" i="1"/>
  <c r="V310" i="1"/>
  <c r="R390" i="1"/>
  <c r="V390" i="1"/>
  <c r="R470" i="1"/>
  <c r="V470" i="1"/>
  <c r="R542" i="1"/>
  <c r="V542" i="1"/>
  <c r="R622" i="1"/>
  <c r="V622" i="1"/>
  <c r="R710" i="1"/>
  <c r="V710" i="1"/>
  <c r="R806" i="1"/>
  <c r="V806" i="1"/>
  <c r="R918" i="1"/>
  <c r="V918" i="1"/>
  <c r="R808" i="1"/>
  <c r="V808" i="1"/>
  <c r="R113" i="1"/>
  <c r="V113" i="1"/>
  <c r="R313" i="1"/>
  <c r="V313" i="1"/>
  <c r="R505" i="1"/>
  <c r="V505" i="1"/>
  <c r="R713" i="1"/>
  <c r="V713" i="1"/>
  <c r="R63" i="1"/>
  <c r="V63" i="1"/>
  <c r="R135" i="1"/>
  <c r="V135" i="1"/>
  <c r="R207" i="1"/>
  <c r="V207" i="1"/>
  <c r="R271" i="1"/>
  <c r="V271" i="1"/>
  <c r="R335" i="1"/>
  <c r="V335" i="1"/>
  <c r="R415" i="1"/>
  <c r="V415" i="1"/>
  <c r="R479" i="1"/>
  <c r="V479" i="1"/>
  <c r="R543" i="1"/>
  <c r="V543" i="1"/>
  <c r="R607" i="1"/>
  <c r="V607" i="1"/>
  <c r="R679" i="1"/>
  <c r="V679" i="1"/>
  <c r="R759" i="1"/>
  <c r="V759" i="1"/>
  <c r="R863" i="1"/>
  <c r="V863" i="1"/>
  <c r="R959" i="1"/>
  <c r="V959" i="1"/>
  <c r="R840" i="1"/>
  <c r="V840" i="1"/>
  <c r="R81" i="1"/>
  <c r="V81" i="1"/>
  <c r="R273" i="1"/>
  <c r="V273" i="1"/>
  <c r="R473" i="1"/>
  <c r="V473" i="1"/>
  <c r="R673" i="1"/>
  <c r="V673" i="1"/>
  <c r="R208" i="1"/>
  <c r="V208" i="1"/>
  <c r="R296" i="1"/>
  <c r="V296" i="1"/>
  <c r="R376" i="1"/>
  <c r="V376" i="1"/>
  <c r="R456" i="1"/>
  <c r="V456" i="1"/>
  <c r="R536" i="1"/>
  <c r="V536" i="1"/>
  <c r="R632" i="1"/>
  <c r="V632" i="1"/>
  <c r="R904" i="1"/>
  <c r="V904" i="1"/>
  <c r="R145" i="1"/>
  <c r="V145" i="1"/>
  <c r="R321" i="1"/>
  <c r="V321" i="1"/>
  <c r="R513" i="1"/>
  <c r="V513" i="1"/>
  <c r="R705" i="1"/>
  <c r="V705" i="1"/>
  <c r="R785" i="1"/>
  <c r="V785" i="1"/>
  <c r="R849" i="1"/>
  <c r="V849" i="1"/>
  <c r="R913" i="1"/>
  <c r="V913" i="1"/>
  <c r="R977" i="1"/>
  <c r="V977" i="1"/>
  <c r="R61" i="1"/>
  <c r="V61" i="1"/>
  <c r="R245" i="1"/>
  <c r="V245" i="1"/>
  <c r="R437" i="1"/>
  <c r="V437" i="1"/>
  <c r="R661" i="1"/>
  <c r="V661" i="1"/>
  <c r="R853" i="1"/>
  <c r="V853" i="1"/>
  <c r="R434" i="1"/>
  <c r="V434" i="1"/>
  <c r="R834" i="1"/>
  <c r="V834" i="1"/>
  <c r="R898" i="1"/>
  <c r="V898" i="1"/>
  <c r="R970" i="1"/>
  <c r="V970" i="1"/>
  <c r="R53" i="1"/>
  <c r="V53" i="1"/>
  <c r="R277" i="1"/>
  <c r="V277" i="1"/>
  <c r="R477" i="1"/>
  <c r="V477" i="1"/>
  <c r="R669" i="1"/>
  <c r="V669" i="1"/>
  <c r="R957" i="1"/>
  <c r="V957" i="1"/>
  <c r="R547" i="1"/>
  <c r="V547" i="1"/>
  <c r="R611" i="1"/>
  <c r="V611" i="1"/>
  <c r="R675" i="1"/>
  <c r="V675" i="1"/>
  <c r="R771" i="1"/>
  <c r="V771" i="1"/>
  <c r="R843" i="1"/>
  <c r="V843" i="1"/>
  <c r="R923" i="1"/>
  <c r="V923" i="1"/>
  <c r="R772" i="1"/>
  <c r="V772" i="1"/>
  <c r="R141" i="1"/>
  <c r="V141" i="1"/>
  <c r="R357" i="1"/>
  <c r="V357" i="1"/>
  <c r="R541" i="1"/>
  <c r="V541" i="1"/>
  <c r="R757" i="1"/>
  <c r="V757" i="1"/>
  <c r="R973" i="1"/>
  <c r="V973" i="1"/>
  <c r="R758" i="1"/>
  <c r="V758" i="1"/>
  <c r="R343" i="1"/>
  <c r="V343" i="1"/>
  <c r="R125" i="1"/>
  <c r="V125" i="1"/>
  <c r="R872" i="1"/>
  <c r="V872" i="1"/>
  <c r="R765" i="1"/>
  <c r="V765" i="1"/>
  <c r="R991" i="1"/>
  <c r="V991" i="1"/>
  <c r="R996" i="1"/>
  <c r="V996" i="1"/>
  <c r="R560" i="1"/>
  <c r="V560" i="1"/>
  <c r="R306" i="1"/>
  <c r="V306" i="1"/>
  <c r="R190" i="1"/>
  <c r="V190" i="1"/>
  <c r="R997" i="1"/>
  <c r="V997" i="1"/>
  <c r="R854" i="1"/>
  <c r="V854" i="1"/>
  <c r="R911" i="1"/>
  <c r="V911" i="1"/>
  <c r="R192" i="1"/>
  <c r="V192" i="1"/>
  <c r="R40" i="1"/>
  <c r="V40" i="1"/>
  <c r="R9" i="1"/>
  <c r="V9" i="1"/>
  <c r="R26" i="1"/>
  <c r="V26" i="1"/>
  <c r="R90" i="1"/>
  <c r="V90" i="1"/>
  <c r="R56" i="1"/>
  <c r="V56" i="1"/>
  <c r="R210" i="1"/>
  <c r="V210" i="1"/>
  <c r="R274" i="1"/>
  <c r="V274" i="1"/>
  <c r="R362" i="1"/>
  <c r="V362" i="1"/>
  <c r="R450" i="1"/>
  <c r="V450" i="1"/>
  <c r="R530" i="1"/>
  <c r="V530" i="1"/>
  <c r="R618" i="1"/>
  <c r="V618" i="1"/>
  <c r="R690" i="1"/>
  <c r="V690" i="1"/>
  <c r="R754" i="1"/>
  <c r="V754" i="1"/>
  <c r="R35" i="1"/>
  <c r="V35" i="1"/>
  <c r="R115" i="1"/>
  <c r="V115" i="1"/>
  <c r="R203" i="1"/>
  <c r="V203" i="1"/>
  <c r="R291" i="1"/>
  <c r="V291" i="1"/>
  <c r="R379" i="1"/>
  <c r="V379" i="1"/>
  <c r="R467" i="1"/>
  <c r="V467" i="1"/>
  <c r="R72" i="1"/>
  <c r="V72" i="1"/>
  <c r="R60" i="1"/>
  <c r="V60" i="1"/>
  <c r="R124" i="1"/>
  <c r="V124" i="1"/>
  <c r="R188" i="1"/>
  <c r="V188" i="1"/>
  <c r="R252" i="1"/>
  <c r="V252" i="1"/>
  <c r="R316" i="1"/>
  <c r="V316" i="1"/>
  <c r="R380" i="1"/>
  <c r="V380" i="1"/>
  <c r="R444" i="1"/>
  <c r="V444" i="1"/>
  <c r="R508" i="1"/>
  <c r="V508" i="1"/>
  <c r="R572" i="1"/>
  <c r="V572" i="1"/>
  <c r="R636" i="1"/>
  <c r="V636" i="1"/>
  <c r="R700" i="1"/>
  <c r="V700" i="1"/>
  <c r="R780" i="1"/>
  <c r="V780" i="1"/>
  <c r="R908" i="1"/>
  <c r="V908" i="1"/>
  <c r="R38" i="1"/>
  <c r="V38" i="1"/>
  <c r="R110" i="1"/>
  <c r="V110" i="1"/>
  <c r="R182" i="1"/>
  <c r="V182" i="1"/>
  <c r="R262" i="1"/>
  <c r="V262" i="1"/>
  <c r="R326" i="1"/>
  <c r="V326" i="1"/>
  <c r="R414" i="1"/>
  <c r="V414" i="1"/>
  <c r="R486" i="1"/>
  <c r="V486" i="1"/>
  <c r="R558" i="1"/>
  <c r="V558" i="1"/>
  <c r="R646" i="1"/>
  <c r="V646" i="1"/>
  <c r="R734" i="1"/>
  <c r="V734" i="1"/>
  <c r="R846" i="1"/>
  <c r="V846" i="1"/>
  <c r="R934" i="1"/>
  <c r="V934" i="1"/>
  <c r="R880" i="1"/>
  <c r="V880" i="1"/>
  <c r="R161" i="1"/>
  <c r="V161" i="1"/>
  <c r="R361" i="1"/>
  <c r="V361" i="1"/>
  <c r="R561" i="1"/>
  <c r="V561" i="1"/>
  <c r="R15" i="1"/>
  <c r="V15" i="1"/>
  <c r="R79" i="1"/>
  <c r="V79" i="1"/>
  <c r="R151" i="1"/>
  <c r="V151" i="1"/>
  <c r="R223" i="1"/>
  <c r="V223" i="1"/>
  <c r="R287" i="1"/>
  <c r="V287" i="1"/>
  <c r="R359" i="1"/>
  <c r="V359" i="1"/>
  <c r="R431" i="1"/>
  <c r="V431" i="1"/>
  <c r="R495" i="1"/>
  <c r="V495" i="1"/>
  <c r="R559" i="1"/>
  <c r="V559" i="1"/>
  <c r="R623" i="1"/>
  <c r="V623" i="1"/>
  <c r="R703" i="1"/>
  <c r="V703" i="1"/>
  <c r="R791" i="1"/>
  <c r="V791" i="1"/>
  <c r="R879" i="1"/>
  <c r="V879" i="1"/>
  <c r="R696" i="1"/>
  <c r="V696" i="1"/>
  <c r="R888" i="1"/>
  <c r="V888" i="1"/>
  <c r="R129" i="1"/>
  <c r="V129" i="1"/>
  <c r="R329" i="1"/>
  <c r="V329" i="1"/>
  <c r="R521" i="1"/>
  <c r="V521" i="1"/>
  <c r="R721" i="1"/>
  <c r="V721" i="1"/>
  <c r="R240" i="1"/>
  <c r="V240" i="1"/>
  <c r="R320" i="1"/>
  <c r="V320" i="1"/>
  <c r="R392" i="1"/>
  <c r="V392" i="1"/>
  <c r="R472" i="1"/>
  <c r="V472" i="1"/>
  <c r="R552" i="1"/>
  <c r="V552" i="1"/>
  <c r="R648" i="1"/>
  <c r="V648" i="1"/>
  <c r="R976" i="1"/>
  <c r="V976" i="1"/>
  <c r="R193" i="1"/>
  <c r="V193" i="1"/>
  <c r="R369" i="1"/>
  <c r="V369" i="1"/>
  <c r="R553" i="1"/>
  <c r="V553" i="1"/>
  <c r="R737" i="1"/>
  <c r="V737" i="1"/>
  <c r="R801" i="1"/>
  <c r="V801" i="1"/>
  <c r="R865" i="1"/>
  <c r="V865" i="1"/>
  <c r="R929" i="1"/>
  <c r="V929" i="1"/>
  <c r="R993" i="1"/>
  <c r="V993" i="1"/>
  <c r="R109" i="1"/>
  <c r="V109" i="1"/>
  <c r="R293" i="1"/>
  <c r="V293" i="1"/>
  <c r="R509" i="1"/>
  <c r="V509" i="1"/>
  <c r="R709" i="1"/>
  <c r="V709" i="1"/>
  <c r="R917" i="1"/>
  <c r="V917" i="1"/>
  <c r="R586" i="1"/>
  <c r="V586" i="1"/>
  <c r="R850" i="1"/>
  <c r="V850" i="1"/>
  <c r="R914" i="1"/>
  <c r="V914" i="1"/>
  <c r="R986" i="1"/>
  <c r="V986" i="1"/>
  <c r="R101" i="1"/>
  <c r="V101" i="1"/>
  <c r="R325" i="1"/>
  <c r="V325" i="1"/>
  <c r="R525" i="1"/>
  <c r="V525" i="1"/>
  <c r="R741" i="1"/>
  <c r="V741" i="1"/>
  <c r="R27" i="1"/>
  <c r="V27" i="1"/>
  <c r="R563" i="1"/>
  <c r="V563" i="1"/>
  <c r="R627" i="1"/>
  <c r="V627" i="1"/>
  <c r="R699" i="1"/>
  <c r="V699" i="1"/>
  <c r="R787" i="1"/>
  <c r="V787" i="1"/>
  <c r="R859" i="1"/>
  <c r="V859" i="1"/>
  <c r="R955" i="1"/>
  <c r="V955" i="1"/>
  <c r="R972" i="1"/>
  <c r="V972" i="1"/>
  <c r="R213" i="1"/>
  <c r="V213" i="1"/>
  <c r="R397" i="1"/>
  <c r="V397" i="1"/>
  <c r="R581" i="1"/>
  <c r="V581" i="1"/>
  <c r="R805" i="1"/>
  <c r="V805" i="1"/>
  <c r="R254" i="1"/>
  <c r="V254" i="1"/>
  <c r="R838" i="1"/>
  <c r="V838" i="1"/>
  <c r="R743" i="1"/>
  <c r="V743" i="1"/>
  <c r="R400" i="1"/>
  <c r="V400" i="1"/>
  <c r="R928" i="1"/>
  <c r="V928" i="1"/>
  <c r="R687" i="1"/>
  <c r="V687" i="1"/>
  <c r="R794" i="1"/>
  <c r="V794" i="1"/>
  <c r="R96" i="1"/>
  <c r="V96" i="1"/>
  <c r="R616" i="1"/>
  <c r="V616" i="1"/>
  <c r="R307" i="1"/>
  <c r="V307" i="1"/>
  <c r="R406" i="1"/>
  <c r="V406" i="1"/>
  <c r="R830" i="1"/>
  <c r="V830" i="1"/>
  <c r="R998" i="1"/>
  <c r="V998" i="1"/>
  <c r="R663" i="1"/>
  <c r="V663" i="1"/>
  <c r="R88" i="1"/>
  <c r="V88" i="1"/>
  <c r="R17" i="1"/>
  <c r="V17" i="1"/>
  <c r="R34" i="1"/>
  <c r="V34" i="1"/>
  <c r="R98" i="1"/>
  <c r="V98" i="1"/>
  <c r="R154" i="1"/>
  <c r="V154" i="1"/>
  <c r="R218" i="1"/>
  <c r="V218" i="1"/>
  <c r="R290" i="1"/>
  <c r="V290" i="1"/>
  <c r="R370" i="1"/>
  <c r="V370" i="1"/>
  <c r="R466" i="1"/>
  <c r="V466" i="1"/>
  <c r="R546" i="1"/>
  <c r="V546" i="1"/>
  <c r="R626" i="1"/>
  <c r="V626" i="1"/>
  <c r="R698" i="1"/>
  <c r="V698" i="1"/>
  <c r="R762" i="1"/>
  <c r="V762" i="1"/>
  <c r="R43" i="1"/>
  <c r="V43" i="1"/>
  <c r="R131" i="1"/>
  <c r="V131" i="1"/>
  <c r="R211" i="1"/>
  <c r="V211" i="1"/>
  <c r="R299" i="1"/>
  <c r="V299" i="1"/>
  <c r="R387" i="1"/>
  <c r="V387" i="1"/>
  <c r="R475" i="1"/>
  <c r="V475" i="1"/>
  <c r="R4" i="1"/>
  <c r="V4" i="1"/>
  <c r="R68" i="1"/>
  <c r="V68" i="1"/>
  <c r="R132" i="1"/>
  <c r="V132" i="1"/>
  <c r="R196" i="1"/>
  <c r="V196" i="1"/>
  <c r="R260" i="1"/>
  <c r="V260" i="1"/>
  <c r="R324" i="1"/>
  <c r="V324" i="1"/>
  <c r="R388" i="1"/>
  <c r="V388" i="1"/>
  <c r="R452" i="1"/>
  <c r="V452" i="1"/>
  <c r="R516" i="1"/>
  <c r="V516" i="1"/>
  <c r="R580" i="1"/>
  <c r="V580" i="1"/>
  <c r="R644" i="1"/>
  <c r="V644" i="1"/>
  <c r="R708" i="1"/>
  <c r="V708" i="1"/>
  <c r="R788" i="1"/>
  <c r="V788" i="1"/>
  <c r="R916" i="1"/>
  <c r="V916" i="1"/>
  <c r="R46" i="1"/>
  <c r="V46" i="1"/>
  <c r="R118" i="1"/>
  <c r="V118" i="1"/>
  <c r="R198" i="1"/>
  <c r="V198" i="1"/>
  <c r="R270" i="1"/>
  <c r="V270" i="1"/>
  <c r="R342" i="1"/>
  <c r="V342" i="1"/>
  <c r="R422" i="1"/>
  <c r="V422" i="1"/>
  <c r="R494" i="1"/>
  <c r="V494" i="1"/>
  <c r="R566" i="1"/>
  <c r="V566" i="1"/>
  <c r="R662" i="1"/>
  <c r="V662" i="1"/>
  <c r="R750" i="1"/>
  <c r="V750" i="1"/>
  <c r="R862" i="1"/>
  <c r="V862" i="1"/>
  <c r="R942" i="1"/>
  <c r="V942" i="1"/>
  <c r="R936" i="1"/>
  <c r="V936" i="1"/>
  <c r="R185" i="1"/>
  <c r="V185" i="1"/>
  <c r="R385" i="1"/>
  <c r="V385" i="1"/>
  <c r="R585" i="1"/>
  <c r="V585" i="1"/>
  <c r="R23" i="1"/>
  <c r="V23" i="1"/>
  <c r="R87" i="1"/>
  <c r="V87" i="1"/>
  <c r="R159" i="1"/>
  <c r="V159" i="1"/>
  <c r="R231" i="1"/>
  <c r="V231" i="1"/>
  <c r="R295" i="1"/>
  <c r="V295" i="1"/>
  <c r="R367" i="1"/>
  <c r="V367" i="1"/>
  <c r="R439" i="1"/>
  <c r="V439" i="1"/>
  <c r="R503" i="1"/>
  <c r="V503" i="1"/>
  <c r="R567" i="1"/>
  <c r="V567" i="1"/>
  <c r="R631" i="1"/>
  <c r="V631" i="1"/>
  <c r="R711" i="1"/>
  <c r="V711" i="1"/>
  <c r="R807" i="1"/>
  <c r="V807" i="1"/>
  <c r="R887" i="1"/>
  <c r="V887" i="1"/>
  <c r="R728" i="1"/>
  <c r="V728" i="1"/>
  <c r="R920" i="1"/>
  <c r="V920" i="1"/>
  <c r="R153" i="1"/>
  <c r="V153" i="1"/>
  <c r="R353" i="1"/>
  <c r="V353" i="1"/>
  <c r="R545" i="1"/>
  <c r="V545" i="1"/>
  <c r="R16" i="1"/>
  <c r="V16" i="1"/>
  <c r="R248" i="1"/>
  <c r="V248" i="1"/>
  <c r="R328" i="1"/>
  <c r="V328" i="1"/>
  <c r="R416" i="1"/>
  <c r="V416" i="1"/>
  <c r="R480" i="1"/>
  <c r="V480" i="1"/>
  <c r="R568" i="1"/>
  <c r="V568" i="1"/>
  <c r="R672" i="1"/>
  <c r="V672" i="1"/>
  <c r="R1000" i="1"/>
  <c r="V1000" i="1"/>
  <c r="R217" i="1"/>
  <c r="V217" i="1"/>
  <c r="R393" i="1"/>
  <c r="V393" i="1"/>
  <c r="R577" i="1"/>
  <c r="V577" i="1"/>
  <c r="R745" i="1"/>
  <c r="V745" i="1"/>
  <c r="R809" i="1"/>
  <c r="V809" i="1"/>
  <c r="R873" i="1"/>
  <c r="V873" i="1"/>
  <c r="R937" i="1"/>
  <c r="V937" i="1"/>
  <c r="R1001" i="1"/>
  <c r="V1001" i="1"/>
  <c r="R133" i="1"/>
  <c r="V133" i="1"/>
  <c r="R317" i="1"/>
  <c r="V317" i="1"/>
  <c r="R533" i="1"/>
  <c r="V533" i="1"/>
  <c r="R725" i="1"/>
  <c r="V725" i="1"/>
  <c r="R941" i="1"/>
  <c r="V941" i="1"/>
  <c r="R634" i="1"/>
  <c r="V634" i="1"/>
  <c r="R858" i="1"/>
  <c r="V858" i="1"/>
  <c r="R922" i="1"/>
  <c r="V922" i="1"/>
  <c r="R994" i="1"/>
  <c r="V994" i="1"/>
  <c r="R149" i="1"/>
  <c r="V149" i="1"/>
  <c r="R349" i="1"/>
  <c r="V349" i="1"/>
  <c r="R549" i="1"/>
  <c r="V549" i="1"/>
  <c r="R789" i="1"/>
  <c r="V789" i="1"/>
  <c r="R91" i="1"/>
  <c r="V91" i="1"/>
  <c r="R571" i="1"/>
  <c r="V571" i="1"/>
  <c r="R635" i="1"/>
  <c r="V635" i="1"/>
  <c r="R707" i="1"/>
  <c r="V707" i="1"/>
  <c r="R795" i="1"/>
  <c r="V795" i="1"/>
  <c r="R867" i="1"/>
  <c r="V867" i="1"/>
  <c r="R963" i="1"/>
  <c r="V963" i="1"/>
  <c r="R21" i="1"/>
  <c r="V21" i="1"/>
  <c r="R237" i="1"/>
  <c r="V237" i="1"/>
  <c r="R421" i="1"/>
  <c r="V421" i="1"/>
  <c r="R629" i="1"/>
  <c r="V629" i="1"/>
  <c r="R837" i="1"/>
  <c r="V837" i="1"/>
  <c r="R334" i="1"/>
  <c r="V334" i="1"/>
  <c r="R958" i="1"/>
  <c r="V958" i="1"/>
  <c r="R895" i="1"/>
  <c r="V895" i="1"/>
  <c r="R408" i="1"/>
  <c r="V408" i="1"/>
  <c r="R691" i="1"/>
  <c r="V691" i="1"/>
  <c r="R775" i="1"/>
  <c r="V775" i="1"/>
  <c r="R123" i="1"/>
  <c r="V123" i="1"/>
  <c r="R112" i="1"/>
  <c r="V112" i="1"/>
  <c r="R688" i="1"/>
  <c r="V688" i="1"/>
  <c r="R411" i="1"/>
  <c r="V411" i="1"/>
  <c r="R462" i="1"/>
  <c r="V462" i="1"/>
  <c r="R894" i="1"/>
  <c r="V894" i="1"/>
  <c r="R946" i="1"/>
  <c r="V946" i="1"/>
  <c r="R783" i="1"/>
  <c r="V783" i="1"/>
  <c r="E2" i="2"/>
  <c r="F2" i="2" s="1"/>
  <c r="R2" i="1"/>
</calcChain>
</file>

<file path=xl/sharedStrings.xml><?xml version="1.0" encoding="utf-8"?>
<sst xmlns="http://schemas.openxmlformats.org/spreadsheetml/2006/main" count="7217" uniqueCount="111">
  <si>
    <t>Product_ID</t>
  </si>
  <si>
    <t>Sale_Date</t>
  </si>
  <si>
    <t>Sales_Rep</t>
  </si>
  <si>
    <t>Region</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</si>
  <si>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</si>
  <si>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</si>
  <si>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</si>
  <si>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</si>
  <si>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</si>
  <si>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</si>
  <si>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</si>
  <si>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</si>
  <si>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</si>
  <si>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</si>
  <si>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</si>
  <si>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</si>
  <si>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</si>
  <si>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</si>
  <si>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</si>
  <si>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</si>
  <si>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</si>
  <si>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</si>
  <si>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</si>
  <si>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</si>
  <si>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</si>
  <si>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</si>
  <si>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</si>
  <si>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</si>
  <si>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</si>
  <si>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</si>
  <si>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</si>
  <si>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</si>
  <si>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</si>
  <si>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</si>
  <si>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</si>
  <si>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</si>
  <si>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</si>
  <si>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</si>
  <si>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</si>
  <si>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</si>
  <si>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</si>
  <si>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</si>
  <si>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</si>
  <si>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</si>
  <si>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</si>
  <si>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</si>
  <si>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</si>
  <si>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</si>
  <si>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</si>
  <si>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</si>
  <si>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</si>
  <si>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</si>
  <si>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</si>
  <si>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Total_Cost</t>
  </si>
  <si>
    <t>Profit</t>
  </si>
  <si>
    <t>Gross_sales</t>
  </si>
  <si>
    <t>Sales_amount</t>
  </si>
  <si>
    <t>ProfitMargin</t>
  </si>
  <si>
    <t>Value</t>
  </si>
  <si>
    <t>KPI</t>
  </si>
  <si>
    <t>Total Sales</t>
  </si>
  <si>
    <t>Total Cost</t>
  </si>
  <si>
    <t>Total Profit</t>
  </si>
  <si>
    <t>Profit Margin</t>
  </si>
  <si>
    <t>Total Quantity Sold</t>
  </si>
  <si>
    <t>Total Transactions</t>
  </si>
  <si>
    <t>Average Sales</t>
  </si>
  <si>
    <t>Average Discount</t>
  </si>
  <si>
    <t>Row Labels</t>
  </si>
  <si>
    <t>Grand Total</t>
  </si>
  <si>
    <t>Sum of Sales_amount</t>
  </si>
  <si>
    <t>Sum of Profit</t>
  </si>
  <si>
    <t>Sum of Quantity_Sold</t>
  </si>
  <si>
    <t>Region Profit Margin</t>
  </si>
  <si>
    <t>Profite margin</t>
  </si>
  <si>
    <t>Unit_Margin</t>
  </si>
  <si>
    <t>Unit_Margin_Percent</t>
  </si>
  <si>
    <t>Unit_Margin_Status</t>
  </si>
  <si>
    <t>Profit_Status</t>
  </si>
  <si>
    <t>Loss</t>
  </si>
  <si>
    <t>Count of Product_ID</t>
  </si>
  <si>
    <t>profit margin</t>
  </si>
  <si>
    <t>Average of Discount</t>
  </si>
  <si>
    <t>Effective_Unit_Price</t>
  </si>
  <si>
    <t>Effective_Unit_Margin</t>
  </si>
  <si>
    <t>Effective_Margin_Status</t>
  </si>
  <si>
    <t>Loss per Unit</t>
  </si>
  <si>
    <t>Positive per Unit</t>
  </si>
  <si>
    <t>2023</t>
  </si>
  <si>
    <t>Mar</t>
  </si>
  <si>
    <t>Apr</t>
  </si>
  <si>
    <t>May</t>
  </si>
  <si>
    <t>Jun</t>
  </si>
  <si>
    <t>Jul</t>
  </si>
  <si>
    <t>Aug</t>
  </si>
  <si>
    <t>Sep</t>
  </si>
  <si>
    <t>Oct</t>
  </si>
  <si>
    <t>Nov</t>
  </si>
  <si>
    <t>Dec</t>
  </si>
  <si>
    <t>Years</t>
  </si>
  <si>
    <t>Sales Rep</t>
  </si>
  <si>
    <t xml:space="preserve">Region </t>
  </si>
  <si>
    <t>Product</t>
  </si>
  <si>
    <t>Sales</t>
  </si>
  <si>
    <t xml:space="preserve">Customer type </t>
  </si>
  <si>
    <t>Sales amonunt</t>
  </si>
  <si>
    <t>Customer type</t>
  </si>
  <si>
    <t xml:space="preserve"> Profit</t>
  </si>
  <si>
    <t xml:space="preserve">Sales channel </t>
  </si>
  <si>
    <t xml:space="preserve"> Sales</t>
  </si>
  <si>
    <t>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</si>
</sst>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applyNumberFormat="1"/>
    <xf numFmtId="10" fontId="0" fillId="0" borderId="0" xfId="0" applyNumberFormat="1"/>
    <xf numFmtId="9" fontId="0" fillId="0" borderId="0" xfId="43" applyFont="1"/>
    <xf numFmtId="44" fontId="0" fillId="0" borderId="0" xfId="42" applyFont="1"/>
    <xf numFmtId="2"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0" fontId="0" fillId="0" borderId="0" xfId="43" applyNumberFormat="1" applyFont="1"/>
    <xf numFmtId="9" fontId="0" fillId="0" borderId="0" xfId="43" applyNumberFormat="1" applyFont="1"/>
    <xf numFmtId="9" fontId="0" fillId="0" borderId="0" xfId="0" pivotButton="1" applyNumberFormat="1"/>
    <xf numFmtId="9" fontId="0" fillId="0" borderId="0" xfId="0" applyNumberFormat="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17">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'Discount Analysis'!$I$2:$I$32</c:f>
              <c:numCache>
                <c:formatCode>0%</c:formatCode>
                <c:ptCount val="3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numCache>
            </c:numRef>
          </c:xVal>
          <c:yVal>
            <c:numRef>
              <c:f>'Discount Analysis'!$J$2:$J$32</c:f>
              <c:numCache>
                <c:formatCode>General</c:formatCode>
                <c:ptCount val="31"/>
                <c:pt idx="0">
                  <c:v>941037.12999999966</c:v>
                </c:pt>
                <c:pt idx="1">
                  <c:v>3407713.6400999981</c:v>
                </c:pt>
                <c:pt idx="2">
                  <c:v>1473235.7248</c:v>
                </c:pt>
                <c:pt idx="3">
                  <c:v>2363527.3558000005</c:v>
                </c:pt>
                <c:pt idx="4">
                  <c:v>2207444.4863999984</c:v>
                </c:pt>
                <c:pt idx="5">
                  <c:v>2064901.227999999</c:v>
                </c:pt>
                <c:pt idx="6">
                  <c:v>2439073.5915999985</c:v>
                </c:pt>
                <c:pt idx="7">
                  <c:v>2503420.7138999985</c:v>
                </c:pt>
                <c:pt idx="8">
                  <c:v>2154474.3171999995</c:v>
                </c:pt>
                <c:pt idx="9">
                  <c:v>2311713.2401999994</c:v>
                </c:pt>
                <c:pt idx="10">
                  <c:v>2541672.1349999988</c:v>
                </c:pt>
                <c:pt idx="11">
                  <c:v>997909.91899999906</c:v>
                </c:pt>
                <c:pt idx="12">
                  <c:v>2199089.3671999993</c:v>
                </c:pt>
                <c:pt idx="13">
                  <c:v>1973058.2186999985</c:v>
                </c:pt>
                <c:pt idx="14">
                  <c:v>1979860.8249999988</c:v>
                </c:pt>
                <c:pt idx="15">
                  <c:v>1351263.2834999999</c:v>
                </c:pt>
                <c:pt idx="16">
                  <c:v>1321676.9915999991</c:v>
                </c:pt>
                <c:pt idx="17">
                  <c:v>2160697.3007999994</c:v>
                </c:pt>
                <c:pt idx="18">
                  <c:v>1642641.0969999991</c:v>
                </c:pt>
                <c:pt idx="19">
                  <c:v>1884128.2344000004</c:v>
                </c:pt>
                <c:pt idx="20">
                  <c:v>1860254.0239999995</c:v>
                </c:pt>
                <c:pt idx="21">
                  <c:v>2038421.7845999983</c:v>
                </c:pt>
                <c:pt idx="22">
                  <c:v>2022074.4725999997</c:v>
                </c:pt>
                <c:pt idx="23">
                  <c:v>1451595.6762999997</c:v>
                </c:pt>
                <c:pt idx="24">
                  <c:v>2383445.4087999989</c:v>
                </c:pt>
                <c:pt idx="25">
                  <c:v>2486133.0300000003</c:v>
                </c:pt>
                <c:pt idx="26">
                  <c:v>1716555.0452000003</c:v>
                </c:pt>
                <c:pt idx="27">
                  <c:v>1935100.0453999988</c:v>
                </c:pt>
                <c:pt idx="28">
                  <c:v>1275694.8047999998</c:v>
                </c:pt>
                <c:pt idx="29">
                  <c:v>1657714.7308</c:v>
                </c:pt>
                <c:pt idx="30">
                  <c:v>940645.46099999989</c:v>
                </c:pt>
              </c:numCache>
            </c:numRef>
          </c:yVal>
          <c:smooth val="0"/>
          <c:extLst>
            <c:ext xmlns:c16="http://schemas.microsoft.com/office/drawing/2014/chart" uri="{C3380CC4-5D6E-409C-BE32-E72D297353CC}">
              <c16:uniqueId val="{00000000-47AB-4261-A522-3BEA1E06E992}"/>
            </c:ext>
          </c:extLst>
        </c:ser>
        <c:dLbls>
          <c:showLegendKey val="0"/>
          <c:showVal val="0"/>
          <c:showCatName val="0"/>
          <c:showSerName val="0"/>
          <c:showPercent val="0"/>
          <c:showBubbleSize val="0"/>
        </c:dLbls>
        <c:axId val="1518326128"/>
        <c:axId val="1518323632"/>
      </c:scatterChart>
      <c:valAx>
        <c:axId val="15183261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23632"/>
        <c:crosses val="autoZero"/>
        <c:crossBetween val="midCat"/>
      </c:valAx>
      <c:valAx>
        <c:axId val="151832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261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Dscount vs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'Discount Analysis'!$M$1</c:f>
              <c:strCache>
                <c:ptCount val="1"/>
                <c:pt idx="0">
                  <c:v>Profit</c:v>
                </c:pt>
              </c:strCache>
            </c:strRef>
          </c:tx>
          <c:spPr>
            <a:ln w="95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cap="rnd">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trendline>
            <c:spPr>
              <a:ln w="19050" cap="rnd">
                <a:solidFill>
                  <a:schemeClr val="accent1"/>
                </a:solidFill>
              </a:ln>
              <a:effectLst/>
            </c:spPr>
            <c:trendlineType val="linear"/>
            <c:dispRSqr val="0"/>
            <c:dispEq val="0"/>
          </c:trendline>
          <c:xVal>
            <c:numRef>
              <c:f>'Discount Analysis'!$L$2:$L$32</c:f>
              <c:numCache>
                <c:formatCode>0%</c:formatCode>
                <c:ptCount val="3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numCache>
            </c:numRef>
          </c:xVal>
          <c:yVal>
            <c:numRef>
              <c:f>'Discount Analysis'!$M$2:$M$32</c:f>
              <c:numCache>
                <c:formatCode>General</c:formatCode>
                <c:ptCount val="31"/>
                <c:pt idx="0">
                  <c:v>100845.27999999962</c:v>
                </c:pt>
                <c:pt idx="1">
                  <c:v>266120.90009999846</c:v>
                </c:pt>
                <c:pt idx="2">
                  <c:v>93066.994799999768</c:v>
                </c:pt>
                <c:pt idx="3">
                  <c:v>134915.43579999966</c:v>
                </c:pt>
                <c:pt idx="4">
                  <c:v>175063.14639999869</c:v>
                </c:pt>
                <c:pt idx="5">
                  <c:v>100161.8879999991</c:v>
                </c:pt>
                <c:pt idx="6">
                  <c:v>60655.041599998964</c:v>
                </c:pt>
                <c:pt idx="7">
                  <c:v>7067.7038999989454</c:v>
                </c:pt>
                <c:pt idx="8">
                  <c:v>42461.19719999934</c:v>
                </c:pt>
                <c:pt idx="9">
                  <c:v>9182.1101999994971</c:v>
                </c:pt>
                <c:pt idx="10">
                  <c:v>-7462.9450000013385</c:v>
                </c:pt>
                <c:pt idx="11">
                  <c:v>14972.818999999179</c:v>
                </c:pt>
                <c:pt idx="12">
                  <c:v>-59600.912800000755</c:v>
                </c:pt>
                <c:pt idx="13">
                  <c:v>-55514.321300001277</c:v>
                </c:pt>
                <c:pt idx="14">
                  <c:v>-103647.15500000126</c:v>
                </c:pt>
                <c:pt idx="15">
                  <c:v>-76344.40650000023</c:v>
                </c:pt>
                <c:pt idx="16">
                  <c:v>-136985.13840000061</c:v>
                </c:pt>
                <c:pt idx="17">
                  <c:v>-208410.41920000088</c:v>
                </c:pt>
                <c:pt idx="18">
                  <c:v>-141236.46300000069</c:v>
                </c:pt>
                <c:pt idx="19">
                  <c:v>-266281.72559999989</c:v>
                </c:pt>
                <c:pt idx="20">
                  <c:v>-271860.20600000059</c:v>
                </c:pt>
                <c:pt idx="21">
                  <c:v>-338558.41540000122</c:v>
                </c:pt>
                <c:pt idx="22">
                  <c:v>-307470.01740000042</c:v>
                </c:pt>
                <c:pt idx="23">
                  <c:v>-262908.35370000062</c:v>
                </c:pt>
                <c:pt idx="24">
                  <c:v>-455539.261200001</c:v>
                </c:pt>
                <c:pt idx="25">
                  <c:v>-563796.92000000051</c:v>
                </c:pt>
                <c:pt idx="26">
                  <c:v>-378562.89480000013</c:v>
                </c:pt>
                <c:pt idx="27">
                  <c:v>-483550.19460000109</c:v>
                </c:pt>
                <c:pt idx="28">
                  <c:v>-325705.55520000012</c:v>
                </c:pt>
                <c:pt idx="29">
                  <c:v>-439978.30920000037</c:v>
                </c:pt>
                <c:pt idx="30">
                  <c:v>-277019.25900000002</c:v>
                </c:pt>
              </c:numCache>
            </c:numRef>
          </c:yVal>
          <c:smooth val="0"/>
          <c:extLst>
            <c:ext xmlns:c16="http://schemas.microsoft.com/office/drawing/2014/chart" uri="{C3380CC4-5D6E-409C-BE32-E72D297353CC}">
              <c16:uniqueId val="{00000000-6323-4917-9066-1EF4E0D8F69F}"/>
            </c:ext>
          </c:extLst>
        </c:ser>
        <c:dLbls>
          <c:showLegendKey val="0"/>
          <c:showVal val="0"/>
          <c:showCatName val="0"/>
          <c:showSerName val="0"/>
          <c:showPercent val="0"/>
          <c:showBubbleSize val="0"/>
        </c:dLbls>
        <c:axId val="2088975568"/>
        <c:axId val="2088983888"/>
      </c:scatterChart>
      <c:valAx>
        <c:axId val="20889755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983888"/>
        <c:crosses val="autoZero"/>
        <c:crossBetween val="midCat"/>
      </c:valAx>
      <c:valAx>
        <c:axId val="208898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975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 vs 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79989664682696"/>
          <c:y val="0.12134438694883694"/>
          <c:w val="0.8612001033531731"/>
          <c:h val="0.82710814395466592"/>
        </c:manualLayout>
      </c:layout>
      <c:barChart>
        <c:barDir val="col"/>
        <c:grouping val="clustered"/>
        <c:varyColors val="0"/>
        <c:ser>
          <c:idx val="0"/>
          <c:order val="0"/>
          <c:tx>
            <c:strRef>
              <c:f>'Region Analysis'!$H$1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Analysis'!$G$2:$G$5</c:f>
              <c:strCache>
                <c:ptCount val="4"/>
                <c:pt idx="0">
                  <c:v>East</c:v>
                </c:pt>
                <c:pt idx="1">
                  <c:v>North</c:v>
                </c:pt>
                <c:pt idx="2">
                  <c:v>South</c:v>
                </c:pt>
                <c:pt idx="3">
                  <c:v>West</c:v>
                </c:pt>
              </c:strCache>
            </c:strRef>
          </c:cat>
          <c:val>
            <c:numRef>
              <c:f>'Region Analysis'!$H$2:$H$5</c:f>
              <c:numCache>
                <c:formatCode>General</c:formatCode>
                <c:ptCount val="4"/>
                <c:pt idx="0">
                  <c:v>15202282.224600006</c:v>
                </c:pt>
                <c:pt idx="1">
                  <c:v>15570342.181999987</c:v>
                </c:pt>
                <c:pt idx="2">
                  <c:v>13894660.279499998</c:v>
                </c:pt>
                <c:pt idx="3">
                  <c:v>15018888.5976</c:v>
                </c:pt>
              </c:numCache>
            </c:numRef>
          </c:val>
          <c:extLst>
            <c:ext xmlns:c16="http://schemas.microsoft.com/office/drawing/2014/chart" uri="{C3380CC4-5D6E-409C-BE32-E72D297353CC}">
              <c16:uniqueId val="{00000000-A25E-4110-A251-379A04E16880}"/>
            </c:ext>
          </c:extLst>
        </c:ser>
        <c:dLbls>
          <c:dLblPos val="outEnd"/>
          <c:showLegendKey val="0"/>
          <c:showVal val="1"/>
          <c:showCatName val="0"/>
          <c:showSerName val="0"/>
          <c:showPercent val="0"/>
          <c:showBubbleSize val="0"/>
        </c:dLbls>
        <c:gapWidth val="219"/>
        <c:overlap val="-27"/>
        <c:axId val="826091648"/>
        <c:axId val="826082080"/>
      </c:barChart>
      <c:catAx>
        <c:axId val="82609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82080"/>
        <c:crosses val="autoZero"/>
        <c:auto val="1"/>
        <c:lblAlgn val="ctr"/>
        <c:lblOffset val="100"/>
        <c:noMultiLvlLbl val="0"/>
      </c:catAx>
      <c:valAx>
        <c:axId val="826082080"/>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916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 Analysis'!$J$2</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Analysis'!$K$1</c:f>
              <c:strCache>
                <c:ptCount val="1"/>
                <c:pt idx="0">
                  <c:v>Profit</c:v>
                </c:pt>
              </c:strCache>
            </c:strRef>
          </c:cat>
          <c:val>
            <c:numRef>
              <c:f>'Region Analysis'!$K$2</c:f>
              <c:numCache>
                <c:formatCode>General</c:formatCode>
                <c:ptCount val="1"/>
                <c:pt idx="0">
                  <c:v>-1224561.6254000051</c:v>
                </c:pt>
              </c:numCache>
            </c:numRef>
          </c:val>
          <c:extLst>
            <c:ext xmlns:c16="http://schemas.microsoft.com/office/drawing/2014/chart" uri="{C3380CC4-5D6E-409C-BE32-E72D297353CC}">
              <c16:uniqueId val="{00000000-B429-4290-AEA3-A232E8514405}"/>
            </c:ext>
          </c:extLst>
        </c:ser>
        <c:ser>
          <c:idx val="1"/>
          <c:order val="1"/>
          <c:tx>
            <c:strRef>
              <c:f>'Region Analysis'!$J$3</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Analysis'!$K$1</c:f>
              <c:strCache>
                <c:ptCount val="1"/>
                <c:pt idx="0">
                  <c:v>Profit</c:v>
                </c:pt>
              </c:strCache>
            </c:strRef>
          </c:cat>
          <c:val>
            <c:numRef>
              <c:f>'Region Analysis'!$K$3</c:f>
              <c:numCache>
                <c:formatCode>General</c:formatCode>
                <c:ptCount val="1"/>
                <c:pt idx="0">
                  <c:v>-976600.46800000616</c:v>
                </c:pt>
              </c:numCache>
            </c:numRef>
          </c:val>
          <c:extLst>
            <c:ext xmlns:c16="http://schemas.microsoft.com/office/drawing/2014/chart" uri="{C3380CC4-5D6E-409C-BE32-E72D297353CC}">
              <c16:uniqueId val="{00000001-B429-4290-AEA3-A232E8514405}"/>
            </c:ext>
          </c:extLst>
        </c:ser>
        <c:ser>
          <c:idx val="2"/>
          <c:order val="2"/>
          <c:tx>
            <c:strRef>
              <c:f>'Region Analysis'!$J$4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Analysis'!$K$1</c:f>
              <c:strCache>
                <c:ptCount val="1"/>
                <c:pt idx="0">
                  <c:v>Profit</c:v>
                </c:pt>
              </c:strCache>
            </c:strRef>
          </c:cat>
          <c:val>
            <c:numRef>
              <c:f>'Region Analysis'!$K$4</c:f>
              <c:numCache>
                <c:formatCode>General</c:formatCode>
                <c:ptCount val="1"/>
                <c:pt idx="0">
                  <c:v>-868169.98050000612</c:v>
                </c:pt>
              </c:numCache>
            </c:numRef>
          </c:val>
          <c:extLst>
            <c:ext xmlns:c16="http://schemas.microsoft.com/office/drawing/2014/chart" uri="{C3380CC4-5D6E-409C-BE32-E72D297353CC}">
              <c16:uniqueId val="{00000002-B429-4290-AEA3-A232E8514405}"/>
            </c:ext>
          </c:extLst>
        </c:ser>
        <c:ser>
          <c:idx val="3"/>
          <c:order val="3"/>
          <c:tx>
            <c:strRef>
              <c:f>'Region Analysis'!$J$5</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Analysis'!$K$1</c:f>
              <c:strCache>
                <c:ptCount val="1"/>
                <c:pt idx="0">
                  <c:v>Profit</c:v>
                </c:pt>
              </c:strCache>
            </c:strRef>
          </c:cat>
          <c:val>
            <c:numRef>
              <c:f>'Region Analysis'!$K$5</c:f>
              <c:numCache>
                <c:formatCode>General</c:formatCode>
                <c:ptCount val="1"/>
                <c:pt idx="0">
                  <c:v>-1086588.2824000041</c:v>
                </c:pt>
              </c:numCache>
            </c:numRef>
          </c:val>
          <c:extLst>
            <c:ext xmlns:c16="http://schemas.microsoft.com/office/drawing/2014/chart" uri="{C3380CC4-5D6E-409C-BE32-E72D297353CC}">
              <c16:uniqueId val="{00000003-B429-4290-AEA3-A232E8514405}"/>
            </c:ext>
          </c:extLst>
        </c:ser>
        <c:dLbls>
          <c:dLblPos val="outEnd"/>
          <c:showLegendKey val="0"/>
          <c:showVal val="1"/>
          <c:showCatName val="0"/>
          <c:showSerName val="0"/>
          <c:showPercent val="0"/>
          <c:showBubbleSize val="0"/>
        </c:dLbls>
        <c:gapWidth val="219"/>
        <c:overlap val="-27"/>
        <c:axId val="1530564224"/>
        <c:axId val="1530551328"/>
      </c:barChart>
      <c:catAx>
        <c:axId val="1530564224"/>
        <c:scaling>
          <c:orientation val="minMax"/>
        </c:scaling>
        <c:delete val="1"/>
        <c:axPos val="b"/>
        <c:numFmt formatCode="General" sourceLinked="1"/>
        <c:majorTickMark val="none"/>
        <c:minorTickMark val="none"/>
        <c:tickLblPos val="nextTo"/>
        <c:crossAx val="1530551328"/>
        <c:crosses val="autoZero"/>
        <c:auto val="1"/>
        <c:lblAlgn val="ctr"/>
        <c:lblOffset val="100"/>
        <c:noMultiLvlLbl val="0"/>
      </c:catAx>
      <c:valAx>
        <c:axId val="1530551328"/>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64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Rep vs </a:t>
            </a:r>
            <a:r>
              <a:rPr lang="en-US"/>
              <a:t>Total Sales </a:t>
            </a:r>
          </a:p>
        </c:rich>
      </c:tx>
      <c:layout>
        <c:manualLayout>
          <c:xMode val="edge"/>
          <c:yMode val="edge"/>
          <c:x val="0.30480550190660127"/>
          <c:y val="4.4861620470500845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Rep Analysis'!$H$1</c:f>
              <c:strCache>
                <c:ptCount val="1"/>
                <c:pt idx="0">
                  <c:v>Total Sales</c:v>
                </c:pt>
              </c:strCache>
            </c:strRef>
          </c:tx>
          <c:spPr>
            <a:solidFill>
              <a:schemeClr val="accent1"/>
            </a:solidFill>
            <a:ln>
              <a:noFill/>
            </a:ln>
            <a:effectLst/>
          </c:spPr>
          <c:invertIfNegative val="0"/>
          <c:dLbls>
            <c:dLbl>
              <c:idx val="0"/>
              <c:layout>
                <c:manualLayout>
                  <c:x val="3.3840947546531302E-3"/>
                  <c:y val="-0.10014306151645212"/>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19-4320-9CA9-343D28473C67}"/>
                </c:ext>
              </c:extLst>
            </c:dLbl>
            <c:dLbl>
              <c:idx val="3"/>
              <c:layout>
                <c:manualLayout>
                  <c:x val="-6.4297800338409469E-2"/>
                  <c:y val="0"/>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19-4320-9CA9-343D28473C6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 Rep Analysis'!$G$2:$G$6</c:f>
              <c:strCache>
                <c:ptCount val="5"/>
                <c:pt idx="0">
                  <c:v>Alice</c:v>
                </c:pt>
                <c:pt idx="1">
                  <c:v>Bob</c:v>
                </c:pt>
                <c:pt idx="2">
                  <c:v>Charlie</c:v>
                </c:pt>
                <c:pt idx="3">
                  <c:v>David</c:v>
                </c:pt>
                <c:pt idx="4">
                  <c:v>Eve</c:v>
                </c:pt>
              </c:strCache>
            </c:strRef>
          </c:cat>
          <c:val>
            <c:numRef>
              <c:f>'Sales Rep Analysis'!$H$2:$H$6</c:f>
              <c:numCache>
                <c:formatCode>General</c:formatCode>
                <c:ptCount val="5"/>
                <c:pt idx="0">
                  <c:v>11476645.563299995</c:v>
                </c:pt>
                <c:pt idx="1">
                  <c:v>11768703.708699994</c:v>
                </c:pt>
                <c:pt idx="2">
                  <c:v>9827690.8506999984</c:v>
                </c:pt>
                <c:pt idx="3">
                  <c:v>13674409.201900005</c:v>
                </c:pt>
                <c:pt idx="4">
                  <c:v>12938723.959099999</c:v>
                </c:pt>
              </c:numCache>
            </c:numRef>
          </c:val>
          <c:extLst>
            <c:ext xmlns:c16="http://schemas.microsoft.com/office/drawing/2014/chart" uri="{C3380CC4-5D6E-409C-BE32-E72D297353CC}">
              <c16:uniqueId val="{00000002-BA19-4320-9CA9-343D28473C67}"/>
            </c:ext>
          </c:extLst>
        </c:ser>
        <c:dLbls>
          <c:showLegendKey val="0"/>
          <c:showVal val="0"/>
          <c:showCatName val="0"/>
          <c:showSerName val="0"/>
          <c:showPercent val="0"/>
          <c:showBubbleSize val="0"/>
        </c:dLbls>
        <c:gapWidth val="219"/>
        <c:overlap val="-27"/>
        <c:axId val="1408863472"/>
        <c:axId val="1408864720"/>
      </c:barChart>
      <c:catAx>
        <c:axId val="1408863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Rep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64720"/>
        <c:crosses val="autoZero"/>
        <c:auto val="1"/>
        <c:lblAlgn val="ctr"/>
        <c:lblOffset val="100"/>
        <c:noMultiLvlLbl val="0"/>
      </c:catAx>
      <c:valAx>
        <c:axId val="1408864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63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repvs</a:t>
            </a:r>
            <a:r>
              <a:rPr lang="en-US" baseline="0"/>
              <a:t> </a:t>
            </a:r>
            <a:r>
              <a:rPr lang="en-US"/>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 Rep Analysis'!$K$1</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AA-4759-87DD-6ED72BA5E9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AA-4759-87DD-6ED72BA5E9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AA-4759-87DD-6ED72BA5E9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AA-4759-87DD-6ED72BA5E9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AA-4759-87DD-6ED72BA5E9C7}"/>
              </c:ext>
            </c:extLst>
          </c:dPt>
          <c:dLbls>
            <c:dLbl>
              <c:idx val="0"/>
              <c:layout>
                <c:manualLayout>
                  <c:x val="-2.0124015748031496E-2"/>
                  <c:y val="2.58705161854768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AA-4759-87DD-6ED72BA5E9C7}"/>
                </c:ext>
              </c:extLst>
            </c:dLbl>
            <c:dLbl>
              <c:idx val="3"/>
              <c:layout>
                <c:manualLayout>
                  <c:x val="-1.2632327209098862E-3"/>
                  <c:y val="-4.547134733158355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AA-4759-87DD-6ED72BA5E9C7}"/>
                </c:ext>
              </c:extLst>
            </c:dLbl>
            <c:dLbl>
              <c:idx val="4"/>
              <c:layout>
                <c:manualLayout>
                  <c:x val="3.3108486439195103E-2"/>
                  <c:y val="1.99256342957130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AA-4759-87DD-6ED72BA5E9C7}"/>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Rep Analysis'!$J$2:$J$6</c:f>
              <c:strCache>
                <c:ptCount val="5"/>
                <c:pt idx="0">
                  <c:v>Alice</c:v>
                </c:pt>
                <c:pt idx="1">
                  <c:v>Bob</c:v>
                </c:pt>
                <c:pt idx="2">
                  <c:v>Charlie</c:v>
                </c:pt>
                <c:pt idx="3">
                  <c:v>David</c:v>
                </c:pt>
                <c:pt idx="4">
                  <c:v>Eve</c:v>
                </c:pt>
              </c:strCache>
            </c:strRef>
          </c:cat>
          <c:val>
            <c:numRef>
              <c:f>'Sales Rep Analysis'!$K$2:$K$6</c:f>
              <c:numCache>
                <c:formatCode>General</c:formatCode>
                <c:ptCount val="5"/>
                <c:pt idx="0">
                  <c:v>-626262.51670000318</c:v>
                </c:pt>
                <c:pt idx="1">
                  <c:v>-773124.23130000685</c:v>
                </c:pt>
                <c:pt idx="2">
                  <c:v>-653165.03930000216</c:v>
                </c:pt>
                <c:pt idx="3">
                  <c:v>-1219424.9881000053</c:v>
                </c:pt>
                <c:pt idx="4">
                  <c:v>-883943.58090000367</c:v>
                </c:pt>
              </c:numCache>
            </c:numRef>
          </c:val>
          <c:extLst>
            <c:ext xmlns:c16="http://schemas.microsoft.com/office/drawing/2014/chart" uri="{C3380CC4-5D6E-409C-BE32-E72D297353CC}">
              <c16:uniqueId val="{0000000A-10AA-4759-87DD-6ED72BA5E9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vs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'Product Category Analysis'!$H$1</c:f>
              <c:strCache>
                <c:ptCount val="1"/>
                <c:pt idx="0">
                  <c:v>Sales</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 Category Analysis'!$G$2:$G$5</c:f>
              <c:strCache>
                <c:ptCount val="4"/>
                <c:pt idx="0">
                  <c:v>Clothing</c:v>
                </c:pt>
                <c:pt idx="1">
                  <c:v>Electronics</c:v>
                </c:pt>
                <c:pt idx="2">
                  <c:v>Food</c:v>
                </c:pt>
                <c:pt idx="3">
                  <c:v>Furniture</c:v>
                </c:pt>
              </c:strCache>
            </c:strRef>
          </c:cat>
          <c:val>
            <c:numRef>
              <c:f>'Product Category Analysis'!$H$2:$H$5</c:f>
              <c:numCache>
                <c:formatCode>General</c:formatCode>
                <c:ptCount val="4"/>
                <c:pt idx="0">
                  <c:v>16360844.624699995</c:v>
                </c:pt>
                <c:pt idx="1">
                  <c:v>15153225.285399998</c:v>
                </c:pt>
                <c:pt idx="2">
                  <c:v>12808326.230800005</c:v>
                </c:pt>
                <c:pt idx="3">
                  <c:v>15363777.142799998</c:v>
                </c:pt>
              </c:numCache>
            </c:numRef>
          </c:val>
          <c:extLst>
            <c:ext xmlns:c16="http://schemas.microsoft.com/office/drawing/2014/chart" uri="{C3380CC4-5D6E-409C-BE32-E72D297353CC}">
              <c16:uniqueId val="{00000000-756A-4BD3-BC1C-7BF802E37D7C}"/>
            </c:ext>
          </c:extLst>
        </c:ser>
        <c:dLbls>
          <c:dLblPos val="outEnd"/>
          <c:showLegendKey val="0"/>
          <c:showVal val="1"/>
          <c:showCatName val="0"/>
          <c:showSerName val="0"/>
          <c:showPercent val="0"/>
          <c:showBubbleSize val="0"/>
        </c:dLbls>
        <c:gapWidth val="100"/>
        <c:overlap val="-24"/>
        <c:axId val="1530535936"/>
        <c:axId val="1530528864"/>
      </c:barChart>
      <c:catAx>
        <c:axId val="15305359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0528864"/>
        <c:crosses val="autoZero"/>
        <c:auto val="1"/>
        <c:lblAlgn val="ctr"/>
        <c:lblOffset val="100"/>
        <c:noMultiLvlLbl val="0"/>
      </c:catAx>
      <c:valAx>
        <c:axId val="1530528864"/>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05359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Category Analysis'!$K$1</c:f>
              <c:strCache>
                <c:ptCount val="1"/>
                <c:pt idx="0">
                  <c:v>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Category Analysis'!$J$2:$J$5</c:f>
              <c:strCache>
                <c:ptCount val="4"/>
                <c:pt idx="0">
                  <c:v>Clothing</c:v>
                </c:pt>
                <c:pt idx="1">
                  <c:v>Electronics</c:v>
                </c:pt>
                <c:pt idx="2">
                  <c:v>Food</c:v>
                </c:pt>
                <c:pt idx="3">
                  <c:v>Furniture</c:v>
                </c:pt>
              </c:strCache>
            </c:strRef>
          </c:cat>
          <c:val>
            <c:numRef>
              <c:f>'Product Category Analysis'!$K$2:$K$5</c:f>
              <c:numCache>
                <c:formatCode>General</c:formatCode>
                <c:ptCount val="4"/>
                <c:pt idx="0">
                  <c:v>-1212931.5053000061</c:v>
                </c:pt>
                <c:pt idx="1">
                  <c:v>-843495.22460000566</c:v>
                </c:pt>
                <c:pt idx="2">
                  <c:v>-912451.36920000473</c:v>
                </c:pt>
                <c:pt idx="3">
                  <c:v>-1187042.2572000045</c:v>
                </c:pt>
              </c:numCache>
            </c:numRef>
          </c:val>
          <c:extLst>
            <c:ext xmlns:c16="http://schemas.microsoft.com/office/drawing/2014/chart" uri="{C3380CC4-5D6E-409C-BE32-E72D297353CC}">
              <c16:uniqueId val="{00000000-2A1A-4B36-8B0A-37D8B98FFA6D}"/>
            </c:ext>
          </c:extLst>
        </c:ser>
        <c:dLbls>
          <c:dLblPos val="outEnd"/>
          <c:showLegendKey val="0"/>
          <c:showVal val="1"/>
          <c:showCatName val="0"/>
          <c:showSerName val="0"/>
          <c:showPercent val="0"/>
          <c:showBubbleSize val="0"/>
        </c:dLbls>
        <c:gapWidth val="219"/>
        <c:overlap val="-27"/>
        <c:axId val="1408860144"/>
        <c:axId val="1408860560"/>
      </c:barChart>
      <c:catAx>
        <c:axId val="140886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60560"/>
        <c:crosses val="autoZero"/>
        <c:auto val="1"/>
        <c:lblAlgn val="ctr"/>
        <c:lblOffset val="100"/>
        <c:noMultiLvlLbl val="0"/>
      </c:catAx>
      <c:valAx>
        <c:axId val="1408860560"/>
        <c:scaling>
          <c:orientation val="minMax"/>
        </c:scaling>
        <c:delete val="0"/>
        <c:axPos val="l"/>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601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types vs Sales amonunt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'Customer type analysis'!$H$1</c:f>
              <c:strCache>
                <c:ptCount val="1"/>
                <c:pt idx="0">
                  <c:v>Sales amonunt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type analysis'!$G$2:$G$3</c:f>
              <c:strCache>
                <c:ptCount val="2"/>
                <c:pt idx="0">
                  <c:v>New</c:v>
                </c:pt>
                <c:pt idx="1">
                  <c:v>Returning</c:v>
                </c:pt>
              </c:strCache>
            </c:strRef>
          </c:cat>
          <c:val>
            <c:numRef>
              <c:f>'Customer type analysis'!$H$2:$H$3</c:f>
              <c:numCache>
                <c:formatCode>General</c:formatCode>
                <c:ptCount val="2"/>
                <c:pt idx="0">
                  <c:v>31164860.84310003</c:v>
                </c:pt>
                <c:pt idx="1">
                  <c:v>28521312.440599971</c:v>
                </c:pt>
              </c:numCache>
            </c:numRef>
          </c:val>
          <c:extLst>
            <c:ext xmlns:c16="http://schemas.microsoft.com/office/drawing/2014/chart" uri="{C3380CC4-5D6E-409C-BE32-E72D297353CC}">
              <c16:uniqueId val="{00000000-DD9F-44FC-8C5A-80AC67F7C7C9}"/>
            </c:ext>
          </c:extLst>
        </c:ser>
        <c:dLbls>
          <c:dLblPos val="outEnd"/>
          <c:showLegendKey val="0"/>
          <c:showVal val="1"/>
          <c:showCatName val="0"/>
          <c:showSerName val="0"/>
          <c:showPercent val="0"/>
          <c:showBubbleSize val="0"/>
        </c:dLbls>
        <c:gapWidth val="219"/>
        <c:overlap val="-27"/>
        <c:axId val="1530528032"/>
        <c:axId val="1530545088"/>
      </c:barChart>
      <c:catAx>
        <c:axId val="153052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45088"/>
        <c:crosses val="autoZero"/>
        <c:auto val="1"/>
        <c:lblAlgn val="ctr"/>
        <c:lblOffset val="100"/>
        <c:noMultiLvlLbl val="0"/>
      </c:catAx>
      <c:valAx>
        <c:axId val="1530545088"/>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28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 type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'Customer type analysis'!$K$1</c:f>
              <c:strCache>
                <c:ptCount val="1"/>
                <c:pt idx="0">
                  <c:v>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type analysis'!$J$2:$J$3</c:f>
              <c:strCache>
                <c:ptCount val="2"/>
                <c:pt idx="0">
                  <c:v>New</c:v>
                </c:pt>
                <c:pt idx="1">
                  <c:v>Returning</c:v>
                </c:pt>
              </c:strCache>
            </c:strRef>
          </c:cat>
          <c:val>
            <c:numRef>
              <c:f>'Customer type analysis'!$K$2:$K$3</c:f>
              <c:numCache>
                <c:formatCode>General</c:formatCode>
                <c:ptCount val="2"/>
                <c:pt idx="0">
                  <c:v>-1933120.4069000129</c:v>
                </c:pt>
                <c:pt idx="1">
                  <c:v>-2222799.9494000096</c:v>
                </c:pt>
              </c:numCache>
            </c:numRef>
          </c:val>
          <c:extLst>
            <c:ext xmlns:c16="http://schemas.microsoft.com/office/drawing/2014/chart" uri="{C3380CC4-5D6E-409C-BE32-E72D297353CC}">
              <c16:uniqueId val="{00000000-6CAF-4862-916F-56E414BB90F3}"/>
            </c:ext>
          </c:extLst>
        </c:ser>
        <c:dLbls>
          <c:dLblPos val="outEnd"/>
          <c:showLegendKey val="0"/>
          <c:showVal val="1"/>
          <c:showCatName val="0"/>
          <c:showSerName val="0"/>
          <c:showPercent val="0"/>
          <c:showBubbleSize val="0"/>
        </c:dLbls>
        <c:gapWidth val="219"/>
        <c:overlap val="-27"/>
        <c:axId val="1257495744"/>
        <c:axId val="1257484096"/>
      </c:barChart>
      <c:catAx>
        <c:axId val="125749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84096"/>
        <c:crosses val="autoZero"/>
        <c:auto val="1"/>
        <c:lblAlgn val="ctr"/>
        <c:lblOffset val="100"/>
        <c:noMultiLvlLbl val="0"/>
      </c:catAx>
      <c:valAx>
        <c:axId val="1257484096"/>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95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channel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Channel Analysis'!$H$1</c:f>
              <c:strCache>
                <c:ptCount val="1"/>
                <c:pt idx="0">
                  <c:v>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Analysis'!$G$2:$G$3</c:f>
              <c:strCache>
                <c:ptCount val="2"/>
                <c:pt idx="0">
                  <c:v>Online</c:v>
                </c:pt>
                <c:pt idx="1">
                  <c:v>Retail</c:v>
                </c:pt>
              </c:strCache>
            </c:strRef>
          </c:cat>
          <c:val>
            <c:numRef>
              <c:f>'Sales Channel Analysis'!$H$2:$H$3</c:f>
              <c:numCache>
                <c:formatCode>General</c:formatCode>
                <c:ptCount val="2"/>
                <c:pt idx="0">
                  <c:v>30296019.585400026</c:v>
                </c:pt>
                <c:pt idx="1">
                  <c:v>29390153.69829997</c:v>
                </c:pt>
              </c:numCache>
            </c:numRef>
          </c:val>
          <c:extLst>
            <c:ext xmlns:c16="http://schemas.microsoft.com/office/drawing/2014/chart" uri="{C3380CC4-5D6E-409C-BE32-E72D297353CC}">
              <c16:uniqueId val="{00000000-476B-40E9-B19A-6E91451E71C4}"/>
            </c:ext>
          </c:extLst>
        </c:ser>
        <c:dLbls>
          <c:dLblPos val="outEnd"/>
          <c:showLegendKey val="0"/>
          <c:showVal val="1"/>
          <c:showCatName val="0"/>
          <c:showSerName val="0"/>
          <c:showPercent val="0"/>
          <c:showBubbleSize val="0"/>
        </c:dLbls>
        <c:gapWidth val="219"/>
        <c:overlap val="-27"/>
        <c:axId val="1257485344"/>
        <c:axId val="1257496576"/>
      </c:barChart>
      <c:catAx>
        <c:axId val="125748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96576"/>
        <c:crosses val="autoZero"/>
        <c:auto val="1"/>
        <c:lblAlgn val="ctr"/>
        <c:lblOffset val="100"/>
        <c:noMultiLvlLbl val="0"/>
      </c:catAx>
      <c:valAx>
        <c:axId val="1257496576"/>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85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Channel Analysis'!$K$1</c:f>
              <c:strCache>
                <c:ptCount val="1"/>
                <c:pt idx="0">
                  <c:v>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Analysis'!$J$2:$J$3</c:f>
              <c:strCache>
                <c:ptCount val="2"/>
                <c:pt idx="0">
                  <c:v>Online</c:v>
                </c:pt>
                <c:pt idx="1">
                  <c:v>Retail</c:v>
                </c:pt>
              </c:strCache>
            </c:strRef>
          </c:cat>
          <c:val>
            <c:numRef>
              <c:f>'Sales Channel Analysis'!$K$2:$K$3</c:f>
              <c:numCache>
                <c:formatCode>General</c:formatCode>
                <c:ptCount val="2"/>
                <c:pt idx="0">
                  <c:v>-2164672.5346000129</c:v>
                </c:pt>
                <c:pt idx="1">
                  <c:v>-1991247.8217000109</c:v>
                </c:pt>
              </c:numCache>
            </c:numRef>
          </c:val>
          <c:extLst>
            <c:ext xmlns:c16="http://schemas.microsoft.com/office/drawing/2014/chart" uri="{C3380CC4-5D6E-409C-BE32-E72D297353CC}">
              <c16:uniqueId val="{00000000-45F3-4727-9147-7C1FAE7DDAC2}"/>
            </c:ext>
          </c:extLst>
        </c:ser>
        <c:dLbls>
          <c:dLblPos val="outEnd"/>
          <c:showLegendKey val="0"/>
          <c:showVal val="1"/>
          <c:showCatName val="0"/>
          <c:showSerName val="0"/>
          <c:showPercent val="0"/>
          <c:showBubbleSize val="0"/>
        </c:dLbls>
        <c:gapWidth val="219"/>
        <c:overlap val="-27"/>
        <c:axId val="1257497408"/>
        <c:axId val="1257486176"/>
      </c:barChart>
      <c:catAx>
        <c:axId val="125749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86176"/>
        <c:crosses val="autoZero"/>
        <c:auto val="1"/>
        <c:lblAlgn val="ctr"/>
        <c:lblOffset val="100"/>
        <c:noMultiLvlLbl val="0"/>
      </c:catAx>
      <c:valAx>
        <c:axId val="1257486176"/>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97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a:t>
            </a:r>
            <a:r>
              <a:rPr lang="en-US"/>
              <a:t>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'Discount Analysis'!$G$1</c:f>
              <c:strCache>
                <c:ptCount val="1"/>
                <c:pt idx="0">
                  <c:v>Profit Margin</c:v>
                </c:pt>
              </c:strCache>
            </c:strRef>
          </c:tx>
          <c:spPr>
            <a:ln w="28575" cap="rnd">
              <a:solidFill>
                <a:schemeClr val="accent1"/>
              </a:solidFill>
              <a:round/>
            </a:ln>
            <a:effectLst/>
          </c:spPr>
          <c:marker>
            <c:symbol val="none"/>
          </c:marker>
          <c:cat>
            <c:numRef>
              <c:f>'Discount Analysis'!$F$2:$F$32</c:f>
              <c:numCache>
                <c:formatCode>0.00%</c:formatCode>
                <c:ptCount val="3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numCache>
            </c:numRef>
          </c:cat>
          <c:val>
            <c:numRef>
              <c:f>'Discount Analysis'!$G$2:$G$32</c:f>
              <c:numCache>
                <c:formatCode>0.00%</c:formatCode>
                <c:ptCount val="31"/>
                <c:pt idx="0">
                  <c:v>0.10716397555960375</c:v>
                </c:pt>
                <c:pt idx="1">
                  <c:v>7.8093680457313672E-2</c:v>
                </c:pt>
                <c:pt idx="2">
                  <c:v>6.3171828671636468E-2</c:v>
                </c:pt>
                <c:pt idx="3">
                  <c:v>5.7082240012548462E-2</c:v>
                </c:pt>
                <c:pt idx="4">
                  <c:v>7.9305797939000347E-2</c:v>
                </c:pt>
                <c:pt idx="5">
                  <c:v>4.8506866402037489E-2</c:v>
                </c:pt>
                <c:pt idx="6">
                  <c:v>2.4868065403557627E-2</c:v>
                </c:pt>
                <c:pt idx="7">
                  <c:v>2.823218590769107E-3</c:v>
                </c:pt>
                <c:pt idx="8">
                  <c:v>1.9708379376358876E-2</c:v>
                </c:pt>
                <c:pt idx="9">
                  <c:v>3.971993602115244E-3</c:v>
                </c:pt>
                <c:pt idx="10">
                  <c:v>-2.936234338502256E-3</c:v>
                </c:pt>
                <c:pt idx="11">
                  <c:v>1.5004178949341812E-2</c:v>
                </c:pt>
                <c:pt idx="12">
                  <c:v>-2.7102542392757733E-2</c:v>
                </c:pt>
                <c:pt idx="13">
                  <c:v>-2.8136180054827958E-2</c:v>
                </c:pt>
                <c:pt idx="14">
                  <c:v>-5.2350727733602852E-2</c:v>
                </c:pt>
                <c:pt idx="15">
                  <c:v>-5.649854283190122E-2</c:v>
                </c:pt>
                <c:pt idx="16">
                  <c:v>-0.10364494446874556</c:v>
                </c:pt>
                <c:pt idx="17">
                  <c:v>-9.645516709945294E-2</c:v>
                </c:pt>
                <c:pt idx="18">
                  <c:v>-8.5981328031999649E-2</c:v>
                </c:pt>
                <c:pt idx="19">
                  <c:v>-0.14132887599595745</c:v>
                </c:pt>
                <c:pt idx="20">
                  <c:v>-0.14614144223993392</c:v>
                </c:pt>
                <c:pt idx="21">
                  <c:v>-0.16608849942527321</c:v>
                </c:pt>
                <c:pt idx="22">
                  <c:v>-0.15205672272033235</c:v>
                </c:pt>
                <c:pt idx="23">
                  <c:v>-0.18111679305227252</c:v>
                </c:pt>
                <c:pt idx="24">
                  <c:v>-0.19112636669507477</c:v>
                </c:pt>
                <c:pt idx="25">
                  <c:v>-0.22677665000090541</c:v>
                </c:pt>
                <c:pt idx="26">
                  <c:v>-0.22053641440661914</c:v>
                </c:pt>
                <c:pt idx="27">
                  <c:v>-0.24988382163985112</c:v>
                </c:pt>
                <c:pt idx="28">
                  <c:v>-0.2553162041379195</c:v>
                </c:pt>
                <c:pt idx="29">
                  <c:v>-0.26541255924514245</c:v>
                </c:pt>
                <c:pt idx="30">
                  <c:v>-0.29449911840907722</c:v>
                </c:pt>
              </c:numCache>
            </c:numRef>
          </c:val>
          <c:smooth val="0"/>
          <c:extLst>
            <c:ext xmlns:c16="http://schemas.microsoft.com/office/drawing/2014/chart" uri="{C3380CC4-5D6E-409C-BE32-E72D297353CC}">
              <c16:uniqueId val="{00000000-C3E0-45B2-9340-10D95FDDF2B5}"/>
            </c:ext>
          </c:extLst>
        </c:ser>
        <c:dLbls>
          <c:showLegendKey val="0"/>
          <c:showVal val="0"/>
          <c:showCatName val="0"/>
          <c:showSerName val="0"/>
          <c:showPercent val="0"/>
          <c:showBubbleSize val="0"/>
        </c:dLbls>
        <c:smooth val="0"/>
        <c:axId val="826065024"/>
        <c:axId val="826069184"/>
      </c:lineChart>
      <c:catAx>
        <c:axId val="826065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69184"/>
        <c:crosses val="autoZero"/>
        <c:auto val="1"/>
        <c:lblAlgn val="ctr"/>
        <c:lblOffset val="100"/>
        <c:noMultiLvlLbl val="0"/>
      </c:catAx>
      <c:valAx>
        <c:axId val="826069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650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[Excel_Sales_Performance_Dashboard.xlsx]Discount Analysis!PivotTable7</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27904103794778E-2"/>
          <c:y val="0.14182546518324474"/>
          <c:w val="0.79074616567366018"/>
          <c:h val="0.75748395875910368"/>
        </c:manualLayout>
      </c:layout>
      <c:lineChart>
        <c:grouping val="percentStacked"/>
        <c:varyColors val="0"/>
        <c:ser>
          <c:idx val="0"/>
          <c:order val="0"/>
          <c:tx>
            <c:strRef>
              <c:f>'Discount Analysis'!$B$1</c:f>
              <c:strCache>
                <c:ptCount val="1"/>
                <c:pt idx="0">
                  <c:v>Sum of Sales_amount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'Discount Analysis'!$A$2:$A$33</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'Discount Analysis'!$B$2:$B$33</c:f>
              <c:numCache>
                <c:formatCode>General</c:formatCode>
                <c:ptCount val="31"/>
                <c:pt idx="0">
                  <c:v>941037.12999999966</c:v>
                </c:pt>
                <c:pt idx="1">
                  <c:v>3407713.6400999981</c:v>
                </c:pt>
                <c:pt idx="2">
                  <c:v>1473235.7248</c:v>
                </c:pt>
                <c:pt idx="3">
                  <c:v>2363527.3558000005</c:v>
                </c:pt>
                <c:pt idx="4">
                  <c:v>2207444.4863999984</c:v>
                </c:pt>
                <c:pt idx="5">
                  <c:v>2064901.227999999</c:v>
                </c:pt>
                <c:pt idx="6">
                  <c:v>2439073.5915999985</c:v>
                </c:pt>
                <c:pt idx="7">
                  <c:v>2503420.7138999985</c:v>
                </c:pt>
                <c:pt idx="8">
                  <c:v>2154474.3171999995</c:v>
                </c:pt>
                <c:pt idx="9">
                  <c:v>2311713.2401999994</c:v>
                </c:pt>
                <c:pt idx="10">
                  <c:v>2541672.1349999988</c:v>
                </c:pt>
                <c:pt idx="11">
                  <c:v>997909.91899999906</c:v>
                </c:pt>
                <c:pt idx="12">
                  <c:v>2199089.3671999993</c:v>
                </c:pt>
                <c:pt idx="13">
                  <c:v>1973058.2186999985</c:v>
                </c:pt>
                <c:pt idx="14">
                  <c:v>1979860.8249999988</c:v>
                </c:pt>
                <c:pt idx="15">
                  <c:v>1351263.2834999999</c:v>
                </c:pt>
                <c:pt idx="16">
                  <c:v>1321676.9915999991</c:v>
                </c:pt>
                <c:pt idx="17">
                  <c:v>2160697.3007999994</c:v>
                </c:pt>
                <c:pt idx="18">
                  <c:v>1642641.0969999991</c:v>
                </c:pt>
                <c:pt idx="19">
                  <c:v>1884128.2344000004</c:v>
                </c:pt>
                <c:pt idx="20">
                  <c:v>1860254.0239999995</c:v>
                </c:pt>
                <c:pt idx="21">
                  <c:v>2038421.7845999983</c:v>
                </c:pt>
                <c:pt idx="22">
                  <c:v>2022074.4725999997</c:v>
                </c:pt>
                <c:pt idx="23">
                  <c:v>1451595.6762999997</c:v>
                </c:pt>
                <c:pt idx="24">
                  <c:v>2383445.4087999989</c:v>
                </c:pt>
                <c:pt idx="25">
                  <c:v>2486133.0300000003</c:v>
                </c:pt>
                <c:pt idx="26">
                  <c:v>1716555.0452000003</c:v>
                </c:pt>
                <c:pt idx="27">
                  <c:v>1935100.0453999988</c:v>
                </c:pt>
                <c:pt idx="28">
                  <c:v>1275694.8047999998</c:v>
                </c:pt>
                <c:pt idx="29">
                  <c:v>1657714.7308</c:v>
                </c:pt>
                <c:pt idx="30">
                  <c:v>940645.46099999989</c:v>
                </c:pt>
              </c:numCache>
            </c:numRef>
          </c:val>
          <c:smooth val="0"/>
          <c:extLst>
            <c:ext xmlns:c16="http://schemas.microsoft.com/office/drawing/2014/chart" uri="{C3380CC4-5D6E-409C-BE32-E72D297353CC}">
              <c16:uniqueId val="{00000000-B83B-4A40-B8EF-80CEE7240062}"/>
            </c:ext>
          </c:extLst>
        </c:ser>
        <c:ser>
          <c:idx val="1"/>
          <c:order val="1"/>
          <c:tx>
            <c:strRef>
              <c:f>'Discount Analysis'!$C$1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'Discount Analysis'!$A$2:$A$33</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'Discount Analysis'!$C$2:$C$33</c:f>
              <c:numCache>
                <c:formatCode>General</c:formatCode>
                <c:ptCount val="31"/>
                <c:pt idx="0">
                  <c:v>100845.27999999962</c:v>
                </c:pt>
                <c:pt idx="1">
                  <c:v>266120.90009999846</c:v>
                </c:pt>
                <c:pt idx="2">
                  <c:v>93066.994799999768</c:v>
                </c:pt>
                <c:pt idx="3">
                  <c:v>134915.43579999966</c:v>
                </c:pt>
                <c:pt idx="4">
                  <c:v>175063.14639999869</c:v>
                </c:pt>
                <c:pt idx="5">
                  <c:v>100161.8879999991</c:v>
                </c:pt>
                <c:pt idx="6">
                  <c:v>60655.041599998964</c:v>
                </c:pt>
                <c:pt idx="7">
                  <c:v>7067.7038999989454</c:v>
                </c:pt>
                <c:pt idx="8">
                  <c:v>42461.19719999934</c:v>
                </c:pt>
                <c:pt idx="9">
                  <c:v>9182.1101999994971</c:v>
                </c:pt>
                <c:pt idx="10">
                  <c:v>-7462.9450000013385</c:v>
                </c:pt>
                <c:pt idx="11">
                  <c:v>14972.818999999179</c:v>
                </c:pt>
                <c:pt idx="12">
                  <c:v>-59600.912800000755</c:v>
                </c:pt>
                <c:pt idx="13">
                  <c:v>-55514.321300001277</c:v>
                </c:pt>
                <c:pt idx="14">
                  <c:v>-103647.15500000126</c:v>
                </c:pt>
                <c:pt idx="15">
                  <c:v>-76344.40650000023</c:v>
                </c:pt>
                <c:pt idx="16">
                  <c:v>-136985.13840000061</c:v>
                </c:pt>
                <c:pt idx="17">
                  <c:v>-208410.41920000088</c:v>
                </c:pt>
                <c:pt idx="18">
                  <c:v>-141236.46300000069</c:v>
                </c:pt>
                <c:pt idx="19">
                  <c:v>-266281.72559999989</c:v>
                </c:pt>
                <c:pt idx="20">
                  <c:v>-271860.20600000059</c:v>
                </c:pt>
                <c:pt idx="21">
                  <c:v>-338558.41540000122</c:v>
                </c:pt>
                <c:pt idx="22">
                  <c:v>-307470.01740000042</c:v>
                </c:pt>
                <c:pt idx="23">
                  <c:v>-262908.35370000062</c:v>
                </c:pt>
                <c:pt idx="24">
                  <c:v>-455539.261200001</c:v>
                </c:pt>
                <c:pt idx="25">
                  <c:v>-563796.92000000051</c:v>
                </c:pt>
                <c:pt idx="26">
                  <c:v>-378562.89480000013</c:v>
                </c:pt>
                <c:pt idx="27">
                  <c:v>-483550.19460000109</c:v>
                </c:pt>
                <c:pt idx="28">
                  <c:v>-325705.55520000012</c:v>
                </c:pt>
                <c:pt idx="29">
                  <c:v>-439978.30920000037</c:v>
                </c:pt>
                <c:pt idx="30">
                  <c:v>-277019.25900000002</c:v>
                </c:pt>
              </c:numCache>
            </c:numRef>
          </c:val>
          <c:smooth val="0"/>
          <c:extLst>
            <c:ext xmlns:c16="http://schemas.microsoft.com/office/drawing/2014/chart" uri="{C3380CC4-5D6E-409C-BE32-E72D297353CC}">
              <c16:uniqueId val="{00000001-B83B-4A40-B8EF-80CEE7240062}"/>
            </c:ext>
          </c:extLst>
        </c:ser>
        <c:dLbls>
          <c:showLegendKey val="0"/>
          <c:showVal val="0"/>
          <c:showCatName val="0"/>
          <c:showSerName val="0"/>
          <c:showPercent val="0"/>
          <c:showBubbleSize val="0"/>
        </c:dLbls>
        <c:marker val="1"/>
        <c:smooth val="0"/>
        <c:axId val="2089000528"/>
        <c:axId val="2089001360"/>
      </c:lineChart>
      <c:catAx>
        <c:axId val="208900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profit and sales</a:t>
                </a:r>
              </a:p>
            </c:rich>
          </c:tx>
          <c:layout>
            <c:manualLayout>
              <c:xMode val="edge"/>
              <c:yMode val="edge"/>
              <c:x val="0.46217891513560805"/>
              <c:y val="3.710848643919514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01360"/>
        <c:crosses val="autoZero"/>
        <c:auto val="1"/>
        <c:lblAlgn val="ctr"/>
        <c:lblOffset val="100"/>
        <c:noMultiLvlLbl val="0"/>
      </c:catAx>
      <c:valAx>
        <c:axId val="2089001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0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[Excel_Sales_Performance_Dashboard.xlsx]profit status vs discount!PivotTable12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status vs lossProfit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status vs discount'!$B$3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status vs discount'!$A$4:$A$6</c:f>
              <c:strCache>
                <c:ptCount val="2"/>
                <c:pt idx="0">
                  <c:v>Loss</c:v>
                </c:pt>
                <c:pt idx="1">
                  <c:v>Profit</c:v>
                </c:pt>
              </c:strCache>
            </c:strRef>
          </c:cat>
          <c:val>
            <c:numRef>
              <c:f>'profit status vs discount'!$B$4:$B$6</c:f>
              <c:numCache>
                <c:formatCode>General</c:formatCode>
                <c:ptCount val="2"/>
                <c:pt idx="0">
                  <c:v>0.18831125827814563</c:v>
                </c:pt>
                <c:pt idx="1">
                  <c:v>9.7601010101010202E-2</c:v>
                </c:pt>
              </c:numCache>
            </c:numRef>
          </c:val>
          <c:extLst>
            <c:ext xmlns:c16="http://schemas.microsoft.com/office/drawing/2014/chart" uri="{C3380CC4-5D6E-409C-BE32-E72D297353CC}">
              <c16:uniqueId val="{00000000-D174-42D0-942D-763E91C6DD1C}"/>
            </c:ext>
          </c:extLst>
        </c:ser>
        <c:dLbls>
          <c:dLblPos val="outEnd"/>
          <c:showLegendKey val="0"/>
          <c:showVal val="1"/>
          <c:showCatName val="0"/>
          <c:showSerName val="0"/>
          <c:showPercent val="0"/>
          <c:showBubbleSize val="0"/>
        </c:dLbls>
        <c:gapWidth val="219"/>
        <c:overlap val="-27"/>
        <c:axId val="826072096"/>
        <c:axId val="826079168"/>
      </c:barChart>
      <c:catAx>
        <c:axId val="82607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79168"/>
        <c:crosses val="autoZero"/>
        <c:auto val="1"/>
        <c:lblAlgn val="ctr"/>
        <c:lblOffset val="100"/>
        <c:noMultiLvlLbl val="0"/>
      </c:catAx>
      <c:valAx>
        <c:axId val="82607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720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[Excel_Sales_Performance_Dashboard.xlsx]Trend!PivotTable15</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Trend!$C$1</c:f>
              <c:strCache>
                <c:ptCount val="1"/>
                <c:pt idx="0">
                  <c:v>Sum of Sales_amount</c:v>
                </c:pt>
              </c:strCache>
            </c:strRef>
          </c:tx>
          <c:spPr>
            <a:ln w="28575" cap="rnd">
              <a:solidFill>
                <a:schemeClr val="accent1"/>
              </a:solidFill>
              <a:round/>
            </a:ln>
            <a:effectLst/>
          </c:spPr>
          <c:marker>
            <c:symbol val="none"/>
          </c:marker>
          <c:cat>
            <c:multiLvlStrRef>
              <c:f>Trend!$A$2:$B$12</c:f>
              <c:multiLvlStrCache>
                <c:ptCount val="10"/>
                <c:lvl>
                  <c:pt idx="0">
                    <c:v>Mar</c:v>
                  </c:pt>
                  <c:pt idx="1">
                    <c:v>Apr</c:v>
                  </c:pt>
                  <c:pt idx="2">
                    <c:v>May</c:v>
                  </c:pt>
                  <c:pt idx="3">
                    <c:v>Jun</c:v>
                  </c:pt>
                  <c:pt idx="4">
                    <c:v>Jul</c:v>
                  </c:pt>
                  <c:pt idx="5">
                    <c:v>Aug</c:v>
                  </c:pt>
                  <c:pt idx="6">
                    <c:v>Sep</c:v>
                  </c:pt>
                  <c:pt idx="7">
                    <c:v>Oct</c:v>
                  </c:pt>
                  <c:pt idx="8">
                    <c:v>Nov</c:v>
                  </c:pt>
                  <c:pt idx="9">
                    <c:v>Dec</c:v>
                  </c:pt>
                </c:lvl>
                <c:lvl>
                  <c:pt idx="0">
                    <c:v>2023</c:v>
                  </c:pt>
                </c:lvl>
              </c:multiLvlStrCache>
            </c:multiLvlStrRef>
          </c:cat>
          <c:val>
            <c:numRef>
              <c:f>Trend!$C$2:$C$12</c:f>
              <c:numCache>
                <c:formatCode>General</c:formatCode>
                <c:ptCount val="10"/>
                <c:pt idx="0">
                  <c:v>5111669.9625999946</c:v>
                </c:pt>
                <c:pt idx="1">
                  <c:v>4518199.6369999992</c:v>
                </c:pt>
                <c:pt idx="2">
                  <c:v>4878261.7866999982</c:v>
                </c:pt>
                <c:pt idx="3">
                  <c:v>5296111.9988999991</c:v>
                </c:pt>
                <c:pt idx="4">
                  <c:v>4003580.3107999968</c:v>
                </c:pt>
                <c:pt idx="5">
                  <c:v>5724989.7415000005</c:v>
                </c:pt>
                <c:pt idx="6">
                  <c:v>3835193.0909999977</c:v>
                </c:pt>
                <c:pt idx="7">
                  <c:v>5678169.6189999972</c:v>
                </c:pt>
                <c:pt idx="8">
                  <c:v>4157584.6568999961</c:v>
                </c:pt>
                <c:pt idx="9">
                  <c:v>5398212.0220000017</c:v>
                </c:pt>
              </c:numCache>
            </c:numRef>
          </c:val>
          <c:smooth val="0"/>
          <c:extLst>
            <c:ext xmlns:c16="http://schemas.microsoft.com/office/drawing/2014/chart" uri="{C3380CC4-5D6E-409C-BE32-E72D297353CC}">
              <c16:uniqueId val="{00000000-D245-4EEA-A467-1647B741A862}"/>
            </c:ext>
          </c:extLst>
        </c:ser>
        <c:dLbls>
          <c:showLegendKey val="0"/>
          <c:showVal val="0"/>
          <c:showCatName val="0"/>
          <c:showSerName val="0"/>
          <c:showPercent val="0"/>
          <c:showBubbleSize val="0"/>
        </c:dLbls>
        <c:marker val="1"/>
        <c:smooth val="0"/>
        <c:axId val="1518334032"/>
        <c:axId val="1518334448"/>
      </c:lineChart>
      <c:lineChart>
        <c:grouping val="standard"/>
        <c:varyColors val="0"/>
        <c:ser>
          <c:idx val="1"/>
          <c:order val="1"/>
          <c:tx>
            <c:strRef>
              <c:f>Trend!$D$1</c:f>
              <c:strCache>
                <c:ptCount val="1"/>
                <c:pt idx="0">
                  <c:v>Sum of Profit</c:v>
                </c:pt>
              </c:strCache>
            </c:strRef>
          </c:tx>
          <c:spPr>
            <a:ln w="28575" cap="rnd">
              <a:solidFill>
                <a:schemeClr val="accent2"/>
              </a:solidFill>
              <a:round/>
            </a:ln>
            <a:effectLst/>
          </c:spPr>
          <c:marker>
            <c:symbol val="none"/>
          </c:marker>
          <c:cat>
            <c:multiLvlStrRef>
              <c:f>Trend!$A$2:$B$12</c:f>
              <c:multiLvlStrCache>
                <c:ptCount val="10"/>
                <c:lvl>
                  <c:pt idx="0">
                    <c:v>Mar</c:v>
                  </c:pt>
                  <c:pt idx="1">
                    <c:v>Apr</c:v>
                  </c:pt>
                  <c:pt idx="2">
                    <c:v>May</c:v>
                  </c:pt>
                  <c:pt idx="3">
                    <c:v>Jun</c:v>
                  </c:pt>
                  <c:pt idx="4">
                    <c:v>Jul</c:v>
                  </c:pt>
                  <c:pt idx="5">
                    <c:v>Aug</c:v>
                  </c:pt>
                  <c:pt idx="6">
                    <c:v>Sep</c:v>
                  </c:pt>
                  <c:pt idx="7">
                    <c:v>Oct</c:v>
                  </c:pt>
                  <c:pt idx="8">
                    <c:v>Nov</c:v>
                  </c:pt>
                  <c:pt idx="9">
                    <c:v>Dec</c:v>
                  </c:pt>
                </c:lvl>
                <c:lvl>
                  <c:pt idx="0">
                    <c:v>2023</c:v>
                  </c:pt>
                </c:lvl>
              </c:multiLvlStrCache>
            </c:multiLvlStrRef>
          </c:cat>
          <c:val>
            <c:numRef>
              <c:f>Trend!$D$2:$D$12</c:f>
              <c:numCache>
                <c:formatCode>General</c:formatCode>
                <c:ptCount val="10"/>
                <c:pt idx="0">
                  <c:v>-367957.63740000298</c:v>
                </c:pt>
                <c:pt idx="1">
                  <c:v>-454291.16300000116</c:v>
                </c:pt>
                <c:pt idx="2">
                  <c:v>-432892.57330000179</c:v>
                </c:pt>
                <c:pt idx="3">
                  <c:v>-240457.03110000223</c:v>
                </c:pt>
                <c:pt idx="4">
                  <c:v>-300173.34920000163</c:v>
                </c:pt>
                <c:pt idx="5">
                  <c:v>-432783.17850000091</c:v>
                </c:pt>
                <c:pt idx="6">
                  <c:v>-248881.9690000019</c:v>
                </c:pt>
                <c:pt idx="7">
                  <c:v>-297756.94100000168</c:v>
                </c:pt>
                <c:pt idx="8">
                  <c:v>-243533.47310000204</c:v>
                </c:pt>
                <c:pt idx="9">
                  <c:v>-261633.21800000226</c:v>
                </c:pt>
              </c:numCache>
            </c:numRef>
          </c:val>
          <c:smooth val="0"/>
          <c:extLst>
            <c:ext xmlns:c16="http://schemas.microsoft.com/office/drawing/2014/chart" uri="{C3380CC4-5D6E-409C-BE32-E72D297353CC}">
              <c16:uniqueId val="{00000001-D245-4EEA-A467-1647B741A862}"/>
            </c:ext>
          </c:extLst>
        </c:ser>
        <c:dLbls>
          <c:showLegendKey val="0"/>
          <c:showVal val="0"/>
          <c:showCatName val="0"/>
          <c:showSerName val="0"/>
          <c:showPercent val="0"/>
          <c:showBubbleSize val="0"/>
        </c:dLbls>
        <c:marker val="1"/>
        <c:smooth val="0"/>
        <c:axId val="1263468560"/>
        <c:axId val="1263480208"/>
      </c:lineChart>
      <c:catAx>
        <c:axId val="1518334032"/>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Month wose tren</a:t>
                </a:r>
              </a:p>
            </c:rich>
          </c:tx>
          <c:layout>
            <c:manualLayout>
              <c:xMode val="edge"/>
              <c:yMode val="edge"/>
              <c:x val="0.43472457991376845"/>
              <c:y val="3.2004808823145069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34448"/>
        <c:crosses val="autoZero"/>
        <c:auto val="1"/>
        <c:lblAlgn val="ctr"/>
        <c:lblOffset val="100"/>
        <c:noMultiLvlLbl val="0"/>
      </c:catAx>
      <c:valAx>
        <c:axId val="151833444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34032"/>
        <c:crosses val="autoZero"/>
        <c:crossBetween val="between"/>
      </c:valAx>
      <c:valAx>
        <c:axId val="1263480208"/>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68560"/>
        <c:crosses val="max"/>
        <c:crossBetween val="between"/>
      </c:valAx>
      <c:catAx>
        <c:axId val="1263468560"/>
        <c:scaling>
          <c:orientation val="minMax"/>
        </c:scaling>
        <c:delete val="1"/>
        <c:axPos val="b"/>
        <c:numFmt formatCode="General" sourceLinked="1"/>
        <c:majorTickMark val="out"/>
        <c:minorTickMark val="none"/>
        <c:tickLblPos val="nextTo"/>
        <c:crossAx val="12634802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7</xdr:col>
      <xdr:colOff>76200</xdr:colOff>
      <xdr:row>5</xdr:row>
      <xdr:rowOff>152400</xdr:rowOff>
    </xdr:from>
    <xdr:to>
      <xdr:col>12</xdr:col>
      <xdr:colOff>365760</xdr:colOff>
      <xdr:row>18</xdr:row>
      <xdr:rowOff>76200</xdr:rowOff>
    </xdr:to>
    <xdr:graphicFrame macro="">
      <xdr:nvGraphicFramePr>
        <xdr:cNvPr id="4" name="Chart 3">
          <a:extLst>
            <a:ext uri="{FF2B5EF4-FFF2-40B4-BE49-F238E27FC236}">
              <a16:creationId xmlns:a16="http://schemas.microsoft.com/office/drawing/2014/main" id="{37B9A340-59AC-40FE-8558-37B316C3F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510540</xdr:colOff>
      <xdr:row>5</xdr:row>
      <xdr:rowOff>152400</xdr:rowOff>
    </xdr:from>
    <xdr:to>
      <xdr:col>7</xdr:col>
      <xdr:colOff>243840</xdr:colOff>
      <xdr:row>16</xdr:row>
      <xdr:rowOff>91440</xdr:rowOff>
    </xdr:to>
    <xdr:graphicFrame macro="">
      <xdr:nvGraphicFramePr>
        <xdr:cNvPr id="5" name="Chart 4">
          <a:extLst>
            <a:ext uri="{FF2B5EF4-FFF2-40B4-BE49-F238E27FC236}">
              <a16:creationId xmlns:a16="http://schemas.microsoft.com/office/drawing/2014/main" id="{83C25935-E651-4683-BDD4-4008A7852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487680</xdr:colOff>
      <xdr:row>29</xdr:row>
      <xdr:rowOff>83820</xdr:rowOff>
    </xdr:from>
    <xdr:to>
      <xdr:col>8</xdr:col>
      <xdr:colOff>297180</xdr:colOff>
      <xdr:row>42</xdr:row>
      <xdr:rowOff>173355</xdr:rowOff>
    </xdr:to>
    <mc:AlternateContent xmlns:mc="http://schemas.openxmlformats.org/markup-compatibility/2006">
      <mc:Choice xmlns:a14="http://schemas.microsoft.com/office/drawing/2010/main" Requires="a14">
        <xdr:graphicFrame macro="">
          <xdr:nvGraphicFramePr>
            <xdr:cNvPr id="14" name="Sales_amount">
              <a:extLst>
                <a:ext uri="{FF2B5EF4-FFF2-40B4-BE49-F238E27FC236}">
                  <a16:creationId xmlns:a16="http://schemas.microsoft.com/office/drawing/2014/main" id="{F3109FEA-7FC7-4F66-A7B5-B1F14E0E9915}"/>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dr:sp macro="" textlink="">
          <xdr:nvSpPr>
            <xdr:cNvPr id="0" name=""/>
            <xdr:cNvSpPr>
              <a:spLocks noTextEdit="1"/>
            </xdr:cNvSpPr>
          </xdr:nvSpPr>
          <xdr:spPr>
            <a:xfrm>
              <a:off x="5699760" y="5387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167640</xdr:colOff>
      <xdr:row>32</xdr:row>
      <xdr:rowOff>15240</xdr:rowOff>
    </xdr:from>
    <xdr:to>
      <xdr:col>9</xdr:col>
      <xdr:colOff>167640</xdr:colOff>
      <xdr:row>45</xdr:row>
      <xdr:rowOff>104775</xdr:rowOff>
    </xdr:to>
    <mc:AlternateContent xmlns:mc="http://schemas.openxmlformats.org/markup-compatibility/2006">
      <mc:Choice xmlns:a14="http://schemas.microsoft.com/office/drawing/2010/main" Requires="a14">
        <xdr:graphicFrame macro="">
          <xdr:nvGraphicFramePr>
            <xdr:cNvPr id="15" name="Profit">
              <a:extLst>
                <a:ext uri="{FF2B5EF4-FFF2-40B4-BE49-F238E27FC236}">
                  <a16:creationId xmlns:a16="http://schemas.microsoft.com/office/drawing/2014/main" id="{D861A1EB-3AFD-46DE-BD3C-29CC4BD03E87}"/>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6179820" y="5867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34</xdr:row>
      <xdr:rowOff>129540</xdr:rowOff>
    </xdr:from>
    <xdr:to>
      <xdr:col>10</xdr:col>
      <xdr:colOff>38100</xdr:colOff>
      <xdr:row>48</xdr:row>
      <xdr:rowOff>36195</xdr:rowOff>
    </xdr:to>
    <mc:AlternateContent xmlns:mc="http://schemas.openxmlformats.org/markup-compatibility/2006">
      <mc:Choice xmlns:a14="http://schemas.microsoft.com/office/drawing/2010/main" Requires="a14">
        <xdr:graphicFrame macro="">
          <xdr:nvGraphicFramePr>
            <xdr:cNvPr id="16" name="Profit_Status">
              <a:extLst>
                <a:ext uri="{FF2B5EF4-FFF2-40B4-BE49-F238E27FC236}">
                  <a16:creationId xmlns:a16="http://schemas.microsoft.com/office/drawing/2014/main" id="{68C80A8A-13C0-4DA2-8CBD-902ACDB9CE71}"/>
                </a:ext>
              </a:extLst>
            </xdr:cNvPr>
            <xdr:cNvGraphicFramePr/>
          </xdr:nvGraphicFramePr>
          <xdr:xfrm>
            <a:off x="0" y="0"/>
            <a:ext cx="0" cy="0"/>
          </xdr:xfrm>
          <a:graphic>
            <a:graphicData uri="http://schemas.microsoft.com/office/drawing/2010/slicer">
              <sle:slicer xmlns:sle="http://schemas.microsoft.com/office/drawing/2010/slicer" name="Profit_Status"/>
            </a:graphicData>
          </a:graphic>
        </xdr:graphicFrame>
      </mc:Choice>
      <mc:Fallback>
        <xdr:sp macro="" textlink="">
          <xdr:nvSpPr>
            <xdr:cNvPr id="0" name=""/>
            <xdr:cNvSpPr>
              <a:spLocks noTextEdit="1"/>
            </xdr:cNvSpPr>
          </xdr:nvSpPr>
          <xdr:spPr>
            <a:xfrm>
              <a:off x="6659880" y="6347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518160</xdr:colOff>
      <xdr:row>37</xdr:row>
      <xdr:rowOff>60960</xdr:rowOff>
    </xdr:from>
    <xdr:to>
      <xdr:col>10</xdr:col>
      <xdr:colOff>518160</xdr:colOff>
      <xdr:row>50</xdr:row>
      <xdr:rowOff>150495</xdr:rowOff>
    </xdr:to>
    <mc:AlternateContent xmlns:mc="http://schemas.openxmlformats.org/markup-compatibility/2006">
      <mc:Choice xmlns:a14="http://schemas.microsoft.com/office/drawing/2010/main" Requires="a14">
        <xdr:graphicFrame macro="">
          <xdr:nvGraphicFramePr>
            <xdr:cNvPr id="17" name="Years">
              <a:extLst>
                <a:ext uri="{FF2B5EF4-FFF2-40B4-BE49-F238E27FC236}">
                  <a16:creationId xmlns:a16="http://schemas.microsoft.com/office/drawing/2014/main" id="{A523CEC4-0D8C-4829-80B8-A994E3741DD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139940" y="6827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90</xdr:col>
      <xdr:colOff>496957</xdr:colOff>
      <xdr:row>95</xdr:row>
      <xdr:rowOff>96981</xdr:rowOff>
    </xdr:to>
    <xdr:sp macro="" textlink="">
      <xdr:nvSpPr>
        <xdr:cNvPr id="38" name="Rectangle 37">
          <a:extLst>
            <a:ext uri="{FF2B5EF4-FFF2-40B4-BE49-F238E27FC236}">
              <a16:creationId xmlns:a16="http://schemas.microsoft.com/office/drawing/2014/main" id="{6679589B-061B-4D47-A65C-2B793E105F59}"/>
            </a:ext>
          </a:extLst>
        </xdr:cNvPr>
        <xdr:cNvSpPr/>
      </xdr:nvSpPr>
      <xdr:spPr>
        <a:xfrm>
          <a:off x="0" y="0"/>
          <a:ext cx="54168261" cy="18981329"/>
        </a:xfrm>
        <a:prstGeom prst="rect">
          <a:avLst/>
        </a:prstGeom>
        <a:solidFill>
          <a:schemeClr val="accent4">
            <a:lumMod val="20000"/>
            <a:lumOff val="80000"/>
          </a:schemeClr>
        </a:solidFill>
        <a:ln>
          <a:noFill/>
        </a:ln>
        <a:effectLst>
          <a:outerShdw blurRad="107950" dist="12700" dir="5400000" algn="ctr">
            <a:srgbClr val="000000"/>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213360</xdr:colOff>
      <xdr:row>13</xdr:row>
      <xdr:rowOff>137850</xdr:rowOff>
    </xdr:from>
    <xdr:to>
      <xdr:col>18</xdr:col>
      <xdr:colOff>368531</xdr:colOff>
      <xdr:row>38</xdr:row>
      <xdr:rowOff>121919</xdr:rowOff>
    </xdr:to>
    <xdr:graphicFrame macro="">
      <xdr:nvGraphicFramePr>
        <xdr:cNvPr id="2" name="Chart 1">
          <a:extLst>
            <a:ext uri="{FF2B5EF4-FFF2-40B4-BE49-F238E27FC236}">
              <a16:creationId xmlns:a16="http://schemas.microsoft.com/office/drawing/2014/main" id="{6F6D173F-5BED-4C3E-972A-9BBF7027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243840</xdr:colOff>
      <xdr:row>13</xdr:row>
      <xdr:rowOff>33250</xdr:rowOff>
    </xdr:from>
    <xdr:to>
      <xdr:col>36</xdr:col>
      <xdr:colOff>418407</xdr:colOff>
      <xdr:row>37</xdr:row>
      <xdr:rowOff>91440</xdr:rowOff>
    </xdr:to>
    <xdr:graphicFrame macro="">
      <xdr:nvGraphicFramePr>
        <xdr:cNvPr id="3" name="Chart 2">
          <a:extLst>
            <a:ext uri="{FF2B5EF4-FFF2-40B4-BE49-F238E27FC236}">
              <a16:creationId xmlns:a16="http://schemas.microsoft.com/office/drawing/2014/main" id="{3CEB161D-3760-4066-A3EC-B58FDB043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487680</xdr:colOff>
      <xdr:row>1</xdr:row>
      <xdr:rowOff>182880</xdr:rowOff>
    </xdr:from>
    <xdr:to>
      <xdr:col>61</xdr:col>
      <xdr:colOff>365760</xdr:colOff>
      <xdr:row>9</xdr:row>
      <xdr:rowOff>60960</xdr:rowOff>
    </xdr:to>
    <xdr:sp macro="" textlink="">
      <xdr:nvSpPr>
        <xdr:cNvPr id="4" name="TextBox 3">
          <a:extLst>
            <a:ext uri="{FF2B5EF4-FFF2-40B4-BE49-F238E27FC236}">
              <a16:creationId xmlns:a16="http://schemas.microsoft.com/office/drawing/2014/main" id="{FD263AD3-C07A-41FF-AFB6-DCC2C8AF12D3}"/>
            </a:ext>
          </a:extLst>
        </xdr:cNvPr>
        <xdr:cNvSpPr txBox="1"/>
      </xdr:nvSpPr>
      <xdr:spPr>
        <a:xfrm>
          <a:off x="19385280" y="426720"/>
          <a:ext cx="18166080" cy="182880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i="1">
              <a:solidFill>
                <a:schemeClr val="bg1"/>
              </a:solidFill>
            </a:rPr>
            <a:t>Dashboard</a:t>
          </a:r>
          <a:r>
            <a:rPr lang="en-US" sz="5400" b="1" i="1" baseline="0">
              <a:solidFill>
                <a:schemeClr val="bg1"/>
              </a:solidFill>
            </a:rPr>
            <a:t> for a retails shop to analysis the sales and profit</a:t>
          </a:r>
          <a:endParaRPr lang="en-US" sz="5400" b="1" i="1">
            <a:solidFill>
              <a:schemeClr val="bg1"/>
            </a:solidFill>
          </a:endParaRPr>
        </a:p>
      </xdr:txBody>
    </xdr:sp>
    <xdr:clientData/>
  </xdr:twoCellAnchor>
  <xdr:twoCellAnchor>
    <xdr:from>
      <xdr:col>40</xdr:col>
      <xdr:colOff>426720</xdr:colOff>
      <xdr:row>11</xdr:row>
      <xdr:rowOff>185650</xdr:rowOff>
    </xdr:from>
    <xdr:to>
      <xdr:col>51</xdr:col>
      <xdr:colOff>222793</xdr:colOff>
      <xdr:row>38</xdr:row>
      <xdr:rowOff>60960</xdr:rowOff>
    </xdr:to>
    <xdr:graphicFrame macro="">
      <xdr:nvGraphicFramePr>
        <xdr:cNvPr id="5" name="Chart 4">
          <a:extLst>
            <a:ext uri="{FF2B5EF4-FFF2-40B4-BE49-F238E27FC236}">
              <a16:creationId xmlns:a16="http://schemas.microsoft.com/office/drawing/2014/main" id="{FAF7B527-3069-4180-B7E8-4CAE1A56E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51</xdr:col>
      <xdr:colOff>396240</xdr:colOff>
      <xdr:row>10</xdr:row>
      <xdr:rowOff>180372</xdr:rowOff>
    </xdr:from>
    <xdr:to>
      <xdr:col>62</xdr:col>
      <xdr:colOff>570808</xdr:colOff>
      <xdr:row>39</xdr:row>
      <xdr:rowOff>60959</xdr:rowOff>
    </xdr:to>
    <xdr:graphicFrame macro="">
      <xdr:nvGraphicFramePr>
        <xdr:cNvPr id="6" name="Chart 5">
          <a:extLst>
            <a:ext uri="{FF2B5EF4-FFF2-40B4-BE49-F238E27FC236}">
              <a16:creationId xmlns:a16="http://schemas.microsoft.com/office/drawing/2014/main" id="{55F38A79-0E1B-47A7-84D5-29E6D2E9F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152400</xdr:colOff>
      <xdr:row>42</xdr:row>
      <xdr:rowOff>84248</xdr:rowOff>
    </xdr:from>
    <xdr:to>
      <xdr:col>22</xdr:col>
      <xdr:colOff>58189</xdr:colOff>
      <xdr:row>63</xdr:row>
      <xdr:rowOff>213360</xdr:rowOff>
    </xdr:to>
    <xdr:graphicFrame macro="">
      <xdr:nvGraphicFramePr>
        <xdr:cNvPr id="7" name="Chart 6">
          <a:extLst>
            <a:ext uri="{FF2B5EF4-FFF2-40B4-BE49-F238E27FC236}">
              <a16:creationId xmlns:a16="http://schemas.microsoft.com/office/drawing/2014/main" id="{BA71A659-AE8E-44D2-97F8-532C9EB8E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304801</xdr:colOff>
      <xdr:row>41</xdr:row>
      <xdr:rowOff>174566</xdr:rowOff>
    </xdr:from>
    <xdr:to>
      <xdr:col>38</xdr:col>
      <xdr:colOff>454429</xdr:colOff>
      <xdr:row>67</xdr:row>
      <xdr:rowOff>213359</xdr:rowOff>
    </xdr:to>
    <xdr:graphicFrame macro="">
      <xdr:nvGraphicFramePr>
        <xdr:cNvPr id="8" name="Chart 7">
          <a:extLst>
            <a:ext uri="{FF2B5EF4-FFF2-40B4-BE49-F238E27FC236}">
              <a16:creationId xmlns:a16="http://schemas.microsoft.com/office/drawing/2014/main" id="{07F7A095-B4A0-4B6C-AC82-7672B1F69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304800</xdr:colOff>
      <xdr:row>45</xdr:row>
      <xdr:rowOff>3504</xdr:rowOff>
    </xdr:from>
    <xdr:to>
      <xdr:col>51</xdr:col>
      <xdr:colOff>495993</xdr:colOff>
      <xdr:row>68</xdr:row>
      <xdr:rowOff>0</xdr:rowOff>
    </xdr:to>
    <xdr:graphicFrame macro="">
      <xdr:nvGraphicFramePr>
        <xdr:cNvPr id="9" name="Chart 8">
          <a:extLst>
            <a:ext uri="{FF2B5EF4-FFF2-40B4-BE49-F238E27FC236}">
              <a16:creationId xmlns:a16="http://schemas.microsoft.com/office/drawing/2014/main" id="{C0C5FC0F-EDDD-45E6-AE15-1B209AFEE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30480</xdr:colOff>
      <xdr:row>44</xdr:row>
      <xdr:rowOff>70738</xdr:rowOff>
    </xdr:from>
    <xdr:to>
      <xdr:col>64</xdr:col>
      <xdr:colOff>559722</xdr:colOff>
      <xdr:row>68</xdr:row>
      <xdr:rowOff>182880</xdr:rowOff>
    </xdr:to>
    <xdr:graphicFrame macro="">
      <xdr:nvGraphicFramePr>
        <xdr:cNvPr id="10" name="Chart 9">
          <a:extLst>
            <a:ext uri="{FF2B5EF4-FFF2-40B4-BE49-F238E27FC236}">
              <a16:creationId xmlns:a16="http://schemas.microsoft.com/office/drawing/2014/main" id="{0116875D-F90B-4033-A460-1F251C525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396240</xdr:colOff>
      <xdr:row>70</xdr:row>
      <xdr:rowOff>196734</xdr:rowOff>
    </xdr:from>
    <xdr:to>
      <xdr:col>31</xdr:col>
      <xdr:colOff>437804</xdr:colOff>
      <xdr:row>91</xdr:row>
      <xdr:rowOff>182880</xdr:rowOff>
    </xdr:to>
    <xdr:graphicFrame macro="">
      <xdr:nvGraphicFramePr>
        <xdr:cNvPr id="11" name="Chart 10">
          <a:extLst>
            <a:ext uri="{FF2B5EF4-FFF2-40B4-BE49-F238E27FC236}">
              <a16:creationId xmlns:a16="http://schemas.microsoft.com/office/drawing/2014/main" id="{40680D71-5A7C-408C-B661-7DBD9EE6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518161</xdr:colOff>
      <xdr:row>71</xdr:row>
      <xdr:rowOff>48144</xdr:rowOff>
    </xdr:from>
    <xdr:to>
      <xdr:col>50</xdr:col>
      <xdr:colOff>318655</xdr:colOff>
      <xdr:row>93</xdr:row>
      <xdr:rowOff>152399</xdr:rowOff>
    </xdr:to>
    <xdr:graphicFrame macro="">
      <xdr:nvGraphicFramePr>
        <xdr:cNvPr id="12" name="Chart 11">
          <a:extLst>
            <a:ext uri="{FF2B5EF4-FFF2-40B4-BE49-F238E27FC236}">
              <a16:creationId xmlns:a16="http://schemas.microsoft.com/office/drawing/2014/main" id="{316FACDB-22C4-43C4-96F3-83B49144F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65</xdr:col>
      <xdr:colOff>91440</xdr:colOff>
      <xdr:row>41</xdr:row>
      <xdr:rowOff>229985</xdr:rowOff>
    </xdr:from>
    <xdr:to>
      <xdr:col>82</xdr:col>
      <xdr:colOff>362989</xdr:colOff>
      <xdr:row>70</xdr:row>
      <xdr:rowOff>152400</xdr:rowOff>
    </xdr:to>
    <xdr:graphicFrame macro="">
      <xdr:nvGraphicFramePr>
        <xdr:cNvPr id="13" name="Chart 12">
          <a:extLst>
            <a:ext uri="{FF2B5EF4-FFF2-40B4-BE49-F238E27FC236}">
              <a16:creationId xmlns:a16="http://schemas.microsoft.com/office/drawing/2014/main" id="{E6554ECE-E9FA-46CD-9B1A-F4CB92230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64</xdr:col>
      <xdr:colOff>396241</xdr:colOff>
      <xdr:row>9</xdr:row>
      <xdr:rowOff>96165</xdr:rowOff>
    </xdr:from>
    <xdr:to>
      <xdr:col>83</xdr:col>
      <xdr:colOff>15533</xdr:colOff>
      <xdr:row>38</xdr:row>
      <xdr:rowOff>152400</xdr:rowOff>
    </xdr:to>
    <xdr:graphicFrame macro="">
      <xdr:nvGraphicFramePr>
        <xdr:cNvPr id="14" name="Chart 13">
          <a:extLst>
            <a:ext uri="{FF2B5EF4-FFF2-40B4-BE49-F238E27FC236}">
              <a16:creationId xmlns:a16="http://schemas.microsoft.com/office/drawing/2014/main" id="{F605BE99-B293-42DB-B7B5-5E9066E1E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65</xdr:col>
      <xdr:colOff>379614</xdr:colOff>
      <xdr:row>72</xdr:row>
      <xdr:rowOff>119150</xdr:rowOff>
    </xdr:from>
    <xdr:to>
      <xdr:col>79</xdr:col>
      <xdr:colOff>426719</xdr:colOff>
      <xdr:row>91</xdr:row>
      <xdr:rowOff>60960</xdr:rowOff>
    </xdr:to>
    <xdr:graphicFrame macro="">
      <xdr:nvGraphicFramePr>
        <xdr:cNvPr id="15" name="Chart 14">
          <a:extLst>
            <a:ext uri="{FF2B5EF4-FFF2-40B4-BE49-F238E27FC236}">
              <a16:creationId xmlns:a16="http://schemas.microsoft.com/office/drawing/2014/main" id="{90364225-798B-4E59-81B4-AC0D89602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50</xdr:col>
      <xdr:colOff>404553</xdr:colOff>
      <xdr:row>70</xdr:row>
      <xdr:rowOff>170329</xdr:rowOff>
    </xdr:from>
    <xdr:to>
      <xdr:col>65</xdr:col>
      <xdr:colOff>0</xdr:colOff>
      <xdr:row>94</xdr:row>
      <xdr:rowOff>182880</xdr:rowOff>
    </xdr:to>
    <xdr:graphicFrame macro="">
      <xdr:nvGraphicFramePr>
        <xdr:cNvPr id="16" name="Chart 15">
          <a:extLst>
            <a:ext uri="{FF2B5EF4-FFF2-40B4-BE49-F238E27FC236}">
              <a16:creationId xmlns:a16="http://schemas.microsoft.com/office/drawing/2014/main" id="{B90A78F3-3A59-4724-AE85-17C9E5EDB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83</xdr:col>
      <xdr:colOff>545271</xdr:colOff>
      <xdr:row>10</xdr:row>
      <xdr:rowOff>57753</xdr:rowOff>
    </xdr:from>
    <xdr:to>
      <xdr:col>88</xdr:col>
      <xdr:colOff>270873</xdr:colOff>
      <xdr:row>22</xdr:row>
      <xdr:rowOff>9686</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9406032B-04DE-4582-A2DF-9A9F450C65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042141" y="2045579"/>
              <a:ext cx="2707341" cy="233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84</xdr:col>
      <xdr:colOff>171328</xdr:colOff>
      <xdr:row>32</xdr:row>
      <xdr:rowOff>61215</xdr:rowOff>
    </xdr:from>
    <xdr:to>
      <xdr:col>88</xdr:col>
      <xdr:colOff>488704</xdr:colOff>
      <xdr:row>46</xdr:row>
      <xdr:rowOff>108929</xdr:rowOff>
    </xdr:to>
    <mc:AlternateContent xmlns:mc="http://schemas.openxmlformats.org/markup-compatibility/2006">
      <mc:Choice xmlns:a14="http://schemas.microsoft.com/office/drawing/2010/main" Requires="a14">
        <xdr:graphicFrame macro="">
          <xdr:nvGraphicFramePr>
            <xdr:cNvPr id="27" name="Sales_Rep">
              <a:extLst>
                <a:ext uri="{FF2B5EF4-FFF2-40B4-BE49-F238E27FC236}">
                  <a16:creationId xmlns:a16="http://schemas.microsoft.com/office/drawing/2014/main" id="{8FAE0C29-2FCC-4963-A02A-C2869725AAE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50264545" y="6422258"/>
              <a:ext cx="2702768" cy="2830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84</xdr:col>
      <xdr:colOff>328653</xdr:colOff>
      <xdr:row>79</xdr:row>
      <xdr:rowOff>157370</xdr:rowOff>
    </xdr:from>
    <xdr:to>
      <xdr:col>89</xdr:col>
      <xdr:colOff>129238</xdr:colOff>
      <xdr:row>90</xdr:row>
      <xdr:rowOff>129871</xdr:rowOff>
    </xdr:to>
    <mc:AlternateContent xmlns:mc="http://schemas.openxmlformats.org/markup-compatibility/2006">
      <mc:Choice xmlns:a14="http://schemas.microsoft.com/office/drawing/2010/main" Requires="a14">
        <xdr:graphicFrame macro="">
          <xdr:nvGraphicFramePr>
            <xdr:cNvPr id="30" name="Product_Category">
              <a:extLst>
                <a:ext uri="{FF2B5EF4-FFF2-40B4-BE49-F238E27FC236}">
                  <a16:creationId xmlns:a16="http://schemas.microsoft.com/office/drawing/2014/main" id="{5F32DB35-466B-4A24-AF8C-8EE57AC82E1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50421870" y="15861196"/>
              <a:ext cx="2782325" cy="2159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84</xdr:col>
      <xdr:colOff>187691</xdr:colOff>
      <xdr:row>65</xdr:row>
      <xdr:rowOff>188421</xdr:rowOff>
    </xdr:from>
    <xdr:to>
      <xdr:col>88</xdr:col>
      <xdr:colOff>574016</xdr:colOff>
      <xdr:row>74</xdr:row>
      <xdr:rowOff>131993</xdr:rowOff>
    </xdr:to>
    <mc:AlternateContent xmlns:mc="http://schemas.openxmlformats.org/markup-compatibility/2006">
      <mc:Choice xmlns:a14="http://schemas.microsoft.com/office/drawing/2010/main" Requires="a14">
        <xdr:graphicFrame macro="">
          <xdr:nvGraphicFramePr>
            <xdr:cNvPr id="31" name="Customer_Type">
              <a:extLst>
                <a:ext uri="{FF2B5EF4-FFF2-40B4-BE49-F238E27FC236}">
                  <a16:creationId xmlns:a16="http://schemas.microsoft.com/office/drawing/2014/main" id="{CBC840AB-80F1-4B3F-ABC2-6CF561139A4B}"/>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50280908" y="13101671"/>
              <a:ext cx="2771717" cy="1740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84</xdr:col>
      <xdr:colOff>169629</xdr:colOff>
      <xdr:row>50</xdr:row>
      <xdr:rowOff>138878</xdr:rowOff>
    </xdr:from>
    <xdr:to>
      <xdr:col>88</xdr:col>
      <xdr:colOff>559934</xdr:colOff>
      <xdr:row>60</xdr:row>
      <xdr:rowOff>12413</xdr:rowOff>
    </xdr:to>
    <mc:AlternateContent xmlns:mc="http://schemas.openxmlformats.org/markup-compatibility/2006">
      <mc:Choice xmlns:a14="http://schemas.microsoft.com/office/drawing/2010/main" Requires="a14">
        <xdr:graphicFrame macro="">
          <xdr:nvGraphicFramePr>
            <xdr:cNvPr id="33" name="Payment_Method">
              <a:extLst>
                <a:ext uri="{FF2B5EF4-FFF2-40B4-BE49-F238E27FC236}">
                  <a16:creationId xmlns:a16="http://schemas.microsoft.com/office/drawing/2014/main" id="{5DE5B099-4EA2-4778-9AD0-FB3ED8F92E1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50262846" y="10078008"/>
              <a:ext cx="2775697" cy="1861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r Sarker" refreshedDate="46244.097710648151" createdVersion="7" refreshedVersion="7" minRefreshableVersion="3" recordCount="1000" xr:uid="{A4E8BAFB-FDAF-473D-882B-BD6E886F4D81}">
  <cacheSource type="worksheet">
    <worksheetSource name="SalesData"/>
  </cacheSource>
  <cacheFields count="27">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26" base="1">
        <rangePr groupBy="months" startDate="2023-01-01T00:00:00" endDate="2024-01-02T00:00:00"/>
        <groupItems count="14">
          <s v="&lt;1/1/2023"/>
          <s v="Jan"/>
          <s v="Feb"/>
          <s v="Mar"/>
          <s v="Apr"/>
          <s v="May"/>
          <s v="Jun"/>
          <s v="Jul"/>
          <s v="Aug"/>
          <s v="Sep"/>
          <s v="Oct"/>
          <s v="Nov"/>
          <s v="Dec"/>
          <s v="&gt;1/2/2024"/>
        </groupItems>
      </fieldGroup>
    </cacheField>
    <cacheField name="Sales_Rep" numFmtId="0">
      <sharedItems count="5">
        <s v="Bob"/>
        <s v="David"/>
        <s v="Charlie"/>
        <s v="Eve"/>
        <s v="Alice"/>
      </sharedItems>
    </cacheField>
    <cacheField name="Region" numFmtId="0">
      <sharedItems count="4">
        <s v="North"/>
        <s v="West"/>
        <s v="South"/>
        <s v="East"/>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ount="998">
        <n v="152.75"/>
        <n v="3816.39"/>
        <n v="261.56"/>
        <n v="4330.03"/>
        <n v="637.37"/>
        <n v="900.79"/>
        <n v="2408.81"/>
        <n v="3702.51"/>
        <n v="738.06"/>
        <n v="2228.35"/>
        <n v="2440.11"/>
        <n v="1100.81"/>
        <n v="622.01"/>
        <n v="4190.28"/>
        <n v="2537.1999999999998"/>
        <n v="121.19"/>
        <n v="4024.76"/>
        <n v="4904.93"/>
        <n v="3049.33"/>
        <n v="2543.36"/>
        <n v="4398.16"/>
        <n v="4764.96"/>
        <n v="3784.96"/>
        <n v="2254.9899999999998"/>
        <n v="2981.5"/>
        <n v="3519.63"/>
        <n v="1011.65"/>
        <n v="2263.65"/>
        <n v="4157.62"/>
        <n v="3290.89"/>
        <n v="2085.46"/>
        <n v="3333.64"/>
        <n v="635.20000000000005"/>
        <n v="2037.41"/>
        <n v="3975.99"/>
        <n v="1141.52"/>
        <n v="970.51"/>
        <n v="4756.55"/>
        <n v="1088.99"/>
        <n v="1341.55"/>
        <n v="4849.6000000000004"/>
        <n v="3686.81"/>
        <n v="3513"/>
        <n v="4271.99"/>
        <n v="623.32000000000005"/>
        <n v="3544.48"/>
        <n v="2543.2600000000002"/>
        <n v="4154.3"/>
        <n v="2565.3000000000002"/>
        <n v="3120.19"/>
        <n v="2414.8200000000002"/>
        <n v="2416.89"/>
        <n v="3851.45"/>
        <n v="3161.4"/>
        <n v="3184.65"/>
        <n v="2278.9"/>
        <n v="2678.99"/>
        <n v="3741.3"/>
        <n v="4138.41"/>
        <n v="3497.98"/>
        <n v="4624.16"/>
        <n v="4110.6000000000004"/>
        <n v="2831.23"/>
        <n v="3373.46"/>
        <n v="4635.2299999999996"/>
        <n v="3114.88"/>
        <n v="4132.79"/>
        <n v="3459.61"/>
        <n v="2782.08"/>
        <n v="1247.0999999999999"/>
        <n v="2158.69"/>
        <n v="4840.33"/>
        <n v="3305.94"/>
        <n v="2843.76"/>
        <n v="4668.1400000000003"/>
        <n v="2953.23"/>
        <n v="2654.11"/>
        <n v="3808.59"/>
        <n v="3577.69"/>
        <n v="1006.14"/>
        <n v="2382.98"/>
        <n v="2388.9499999999998"/>
        <n v="1922.21"/>
        <n v="2610.6"/>
        <n v="2094.88"/>
        <n v="1036.76"/>
        <n v="2091.21"/>
        <n v="407.77"/>
        <n v="2900.14"/>
        <n v="4275.59"/>
        <n v="3640.17"/>
        <n v="1833.95"/>
        <n v="481"/>
        <n v="1050.6400000000001"/>
        <n v="2750.18"/>
        <n v="1074.93"/>
        <n v="2742.67"/>
        <n v="1196.42"/>
        <n v="4252.17"/>
        <n v="2016.49"/>
        <n v="1265.48"/>
        <n v="4071.01"/>
        <n v="1747.05"/>
        <n v="601.86"/>
        <n v="2873.53"/>
        <n v="2928.74"/>
        <n v="3587.74"/>
        <n v="1239.0899999999999"/>
        <n v="2246.67"/>
        <n v="1447.72"/>
        <n v="450.72"/>
        <n v="4389.24"/>
        <n v="3657.91"/>
        <n v="1542.24"/>
        <n v="3016.9"/>
        <n v="1046.26"/>
        <n v="4456.67"/>
        <n v="618.79"/>
        <n v="68.989999999999995"/>
        <n v="2534.94"/>
        <n v="2936.48"/>
        <n v="2915.88"/>
        <n v="319.83"/>
        <n v="1604.52"/>
        <n v="2521.0300000000002"/>
        <n v="1122.07"/>
        <n v="4369.5"/>
        <n v="481.19"/>
        <n v="2462.5500000000002"/>
        <n v="3472.51"/>
        <n v="1345.67"/>
        <n v="3139.99"/>
        <n v="4155.46"/>
        <n v="992.17"/>
        <n v="4590.24"/>
        <n v="2790.11"/>
        <n v="1531.2"/>
        <n v="2182.75"/>
        <n v="1595.35"/>
        <n v="3639.3"/>
        <n v="3991.69"/>
        <n v="4173.04"/>
        <n v="4929.55"/>
        <n v="3966.86"/>
        <n v="3026.85"/>
        <n v="1729.14"/>
        <n v="2745.75"/>
        <n v="253.29"/>
        <n v="3736.88"/>
        <n v="2257.48"/>
        <n v="149.11000000000001"/>
        <n v="359.41"/>
        <n v="1967.96"/>
        <n v="2937.94"/>
        <n v="2347.81"/>
        <n v="3115.06"/>
        <n v="2427.46"/>
        <n v="3325.43"/>
        <n v="1134.67"/>
        <n v="608.57000000000005"/>
        <n v="3002.35"/>
        <n v="2449.21"/>
        <n v="182.99"/>
        <n v="1933.39"/>
        <n v="575.32000000000005"/>
        <n v="2680.22"/>
        <n v="2009.1"/>
        <n v="3085.1"/>
        <n v="4037.73"/>
        <n v="1533.36"/>
        <n v="4812.41"/>
        <n v="2701.39"/>
        <n v="3110.54"/>
        <n v="3419.33"/>
        <n v="3350.32"/>
        <n v="2579.31"/>
        <n v="2172.38"/>
        <n v="316.22000000000003"/>
        <n v="159.32"/>
        <n v="1821.91"/>
        <n v="1701.62"/>
        <n v="1969.09"/>
        <n v="734.92"/>
        <n v="3703.93"/>
        <n v="4291.97"/>
        <n v="4696.6400000000003"/>
        <n v="2487.19"/>
        <n v="3519.29"/>
        <n v="4284.9799999999996"/>
        <n v="2120.54"/>
        <n v="1581.59"/>
        <n v="4686.79"/>
        <n v="2602.6"/>
        <n v="2511.41"/>
        <n v="933.16"/>
        <n v="585.37"/>
        <n v="4218.43"/>
        <n v="3089.96"/>
        <n v="1662.83"/>
        <n v="999.09"/>
        <n v="2799.71"/>
        <n v="2940.4"/>
        <n v="1074.6199999999999"/>
        <n v="4264.46"/>
        <n v="467.11"/>
        <n v="1812.66"/>
        <n v="3417.9"/>
        <n v="1406.9"/>
        <n v="4146.99"/>
        <n v="3712.35"/>
        <n v="3955.66"/>
        <n v="639.58000000000004"/>
        <n v="745.71"/>
        <n v="1468.05"/>
        <n v="2614.48"/>
        <n v="3752.68"/>
        <n v="4190.83"/>
        <n v="3536.46"/>
        <n v="4646.55"/>
        <n v="3706.78"/>
        <n v="1566.03"/>
        <n v="1362.15"/>
        <n v="3496.15"/>
        <n v="1004.71"/>
        <n v="508.94"/>
        <n v="2684.5"/>
        <n v="4117.13"/>
        <n v="551.83000000000004"/>
        <n v="3969.86"/>
        <n v="4067.28"/>
        <n v="2437.2600000000002"/>
        <n v="333.69"/>
        <n v="914.22"/>
        <n v="3551.76"/>
        <n v="3573.3"/>
        <n v="4496.8599999999997"/>
        <n v="2934.3"/>
        <n v="664.33"/>
        <n v="651"/>
        <n v="3619.61"/>
        <n v="959.73"/>
        <n v="1675.51"/>
        <n v="2461.6999999999998"/>
        <n v="172.59"/>
        <n v="1281.6500000000001"/>
        <n v="2069.0500000000002"/>
        <n v="1434.2"/>
        <n v="725.03"/>
        <n v="3653.66"/>
        <n v="4075.08"/>
        <n v="1324.52"/>
        <n v="3883.38"/>
        <n v="1958.49"/>
        <n v="2558.09"/>
        <n v="4287.21"/>
        <n v="3762.27"/>
        <n v="4035.33"/>
        <n v="727.38"/>
        <n v="395.11"/>
        <n v="4472.3500000000004"/>
        <n v="1969.78"/>
        <n v="1475"/>
        <n v="3637.25"/>
        <n v="4190.26"/>
        <n v="4319.32"/>
        <n v="1614.19"/>
        <n v="4268.45"/>
        <n v="252.62"/>
        <n v="295.82"/>
        <n v="3136.42"/>
        <n v="362.38"/>
        <n v="1656.82"/>
        <n v="3380.14"/>
        <n v="1719.47"/>
        <n v="939.02"/>
        <n v="1442.69"/>
        <n v="2315"/>
        <n v="2403.16"/>
        <n v="3925.85"/>
        <n v="3763.26"/>
        <n v="2311.25"/>
        <n v="4236.05"/>
        <n v="615.47"/>
        <n v="1314"/>
        <n v="4148.4799999999996"/>
        <n v="1921.07"/>
        <n v="4906.8500000000004"/>
        <n v="2357.9499999999998"/>
        <n v="3970.08"/>
        <n v="2041.42"/>
        <n v="2153.52"/>
        <n v="1945.27"/>
        <n v="3609.42"/>
        <n v="2760.21"/>
        <n v="4721.7"/>
        <n v="1291.9100000000001"/>
        <n v="547.79"/>
        <n v="1996.64"/>
        <n v="3102.73"/>
        <n v="4310.95"/>
        <n v="1763.67"/>
        <n v="3286.24"/>
        <n v="1783.48"/>
        <n v="3105.24"/>
        <n v="4429.8"/>
        <n v="1195.22"/>
        <n v="2051"/>
        <n v="4966.66"/>
        <n v="4349.3599999999997"/>
        <n v="2844.97"/>
        <n v="2607.31"/>
        <n v="1458.77"/>
        <n v="2610.19"/>
        <n v="4248.5"/>
        <n v="3441.61"/>
        <n v="1485.72"/>
        <n v="1047.25"/>
        <n v="1362.78"/>
        <n v="890.31"/>
        <n v="523.41999999999996"/>
        <n v="2124.7199999999998"/>
        <n v="610.83000000000004"/>
        <n v="900.97"/>
        <n v="2759.26"/>
        <n v="864.77"/>
        <n v="366.2"/>
        <n v="1621.07"/>
        <n v="1140.58"/>
        <n v="2600.7600000000002"/>
        <n v="556.72"/>
        <n v="3771.27"/>
        <n v="4535.8599999999997"/>
        <n v="3730"/>
        <n v="2687.49"/>
        <n v="4310.3100000000004"/>
        <n v="3489.85"/>
        <n v="102.23"/>
        <n v="2000.75"/>
        <n v="4262.21"/>
        <n v="1762"/>
        <n v="224.32"/>
        <n v="3743.59"/>
        <n v="4020.09"/>
        <n v="844.94"/>
        <n v="2709.84"/>
        <n v="1000.18"/>
        <n v="3610.21"/>
        <n v="1394.17"/>
        <n v="1615.26"/>
        <n v="4232.6099999999997"/>
        <n v="2407.8000000000002"/>
        <n v="3365.28"/>
        <n v="2041.75"/>
        <n v="1525.13"/>
        <n v="3146.12"/>
        <n v="816.54"/>
        <n v="1896.35"/>
        <n v="1084.73"/>
        <n v="3494.19"/>
        <n v="4723.83"/>
        <n v="4977.78"/>
        <n v="2278.87"/>
        <n v="1300.03"/>
        <n v="2242.0100000000002"/>
        <n v="4243.9799999999996"/>
        <n v="1069.73"/>
        <n v="4762.87"/>
        <n v="1742.24"/>
        <n v="4929.7299999999996"/>
        <n v="4201.1099999999997"/>
        <n v="4052.42"/>
        <n v="1623.63"/>
        <n v="93.45"/>
        <n v="1941.56"/>
        <n v="1543.96"/>
        <n v="235.12"/>
        <n v="2551.56"/>
        <n v="2045"/>
        <n v="3191.05"/>
        <n v="3124.87"/>
        <n v="647.70000000000005"/>
        <n v="4885.9799999999996"/>
        <n v="975.31"/>
        <n v="2254.11"/>
        <n v="2466.1799999999998"/>
        <n v="4074.66"/>
        <n v="541.19000000000005"/>
        <n v="2171.79"/>
        <n v="3161.09"/>
        <n v="1115.02"/>
        <n v="3155.97"/>
        <n v="4622.1400000000003"/>
        <n v="4987.71"/>
        <n v="210.63"/>
        <n v="1216.1600000000001"/>
        <n v="1586.02"/>
        <n v="2025.67"/>
        <n v="1249.17"/>
        <n v="1057.27"/>
        <n v="4775.04"/>
        <n v="4596.68"/>
        <n v="282.61"/>
        <n v="1727.12"/>
        <n v="2055.4899999999998"/>
        <n v="1233.1199999999999"/>
        <n v="3162.92"/>
        <n v="3219.88"/>
        <n v="4260"/>
        <n v="3717.3"/>
        <n v="2735.74"/>
        <n v="3285.25"/>
        <n v="1406.24"/>
        <n v="2985.63"/>
        <n v="2471.67"/>
        <n v="710.06"/>
        <n v="1250.5899999999999"/>
        <n v="1493.88"/>
        <n v="4625.33"/>
        <n v="1190.4100000000001"/>
        <n v="1481.76"/>
        <n v="1878.3"/>
        <n v="3335.53"/>
        <n v="635.28"/>
        <n v="4772.03"/>
        <n v="4334.58"/>
        <n v="2907.22"/>
        <n v="3386.49"/>
        <n v="132.47"/>
        <n v="1727.78"/>
        <n v="3988.52"/>
        <n v="433.54"/>
        <n v="1447.45"/>
        <n v="2947.22"/>
        <n v="1319.24"/>
        <n v="4673.1899999999996"/>
        <n v="698.74"/>
        <n v="3997.1"/>
        <n v="2564.35"/>
        <n v="3764.14"/>
        <n v="1588.04"/>
        <n v="2596.7199999999998"/>
        <n v="4291.33"/>
        <n v="2361.0500000000002"/>
        <n v="1830.61"/>
        <n v="2703.97"/>
        <n v="3600.95"/>
        <n v="2245.64"/>
        <n v="4697.4399999999996"/>
        <n v="1509.98"/>
        <n v="2403.54"/>
        <n v="3796.79"/>
        <n v="3461.15"/>
        <n v="4325.0200000000004"/>
        <n v="4984.21"/>
        <n v="2162.9499999999998"/>
        <n v="600.20000000000005"/>
        <n v="200.56"/>
        <n v="3648.04"/>
        <n v="4376.37"/>
        <n v="1142.53"/>
        <n v="834.32"/>
        <n v="357.92"/>
        <n v="4122.38"/>
        <n v="1591.34"/>
        <n v="2038.4"/>
        <n v="2538.61"/>
        <n v="4205.29"/>
        <n v="3271.62"/>
        <n v="3094.57"/>
        <n v="919.58"/>
        <n v="2590.29"/>
        <n v="3591.14"/>
        <n v="4867.6400000000003"/>
        <n v="1046.96"/>
        <n v="97.24"/>
        <n v="422.74"/>
        <n v="1910.47"/>
        <n v="4111.7"/>
        <n v="85.35"/>
        <n v="2310.8200000000002"/>
        <n v="1679.69"/>
        <n v="309.77999999999997"/>
        <n v="2278.67"/>
        <n v="1311.01"/>
        <n v="1791.83"/>
        <n v="3542.8"/>
        <n v="2631.68"/>
        <n v="667"/>
        <n v="4809"/>
        <n v="3197.76"/>
        <n v="3841.05"/>
        <n v="442.11"/>
        <n v="282.94"/>
        <n v="146.27000000000001"/>
        <n v="984.53"/>
        <n v="2101.3200000000002"/>
        <n v="4682.34"/>
        <n v="2312.4499999999998"/>
        <n v="1486.76"/>
        <n v="2831.58"/>
        <n v="604.08000000000004"/>
        <n v="3067.05"/>
        <n v="2863.74"/>
        <n v="3970.37"/>
        <n v="4934.1000000000004"/>
        <n v="1291.82"/>
        <n v="2572.8000000000002"/>
        <n v="4548.88"/>
        <n v="3936.69"/>
        <n v="2462.66"/>
        <n v="4729.59"/>
        <n v="333.32"/>
        <n v="4658.4399999999996"/>
        <n v="300.01"/>
        <n v="2759.16"/>
        <n v="4457.68"/>
        <n v="1350.47"/>
        <n v="2387.63"/>
        <n v="1655.43"/>
        <n v="4763.1099999999997"/>
        <n v="4127.05"/>
        <n v="3559.56"/>
        <n v="2958.75"/>
        <n v="4111.93"/>
        <n v="1991.72"/>
        <n v="2265.38"/>
        <n v="3663.51"/>
        <n v="1820.89"/>
        <n v="366.31"/>
        <n v="417.96"/>
        <n v="621.04999999999995"/>
        <n v="4354.92"/>
        <n v="2387.52"/>
        <n v="3578.77"/>
        <n v="1994.9"/>
        <n v="1330.62"/>
        <n v="1768.6"/>
        <n v="3981.2"/>
        <n v="3144.82"/>
        <n v="4691.32"/>
        <n v="3414.54"/>
        <n v="2872.4"/>
        <n v="3070.47"/>
        <n v="4714.74"/>
        <n v="3951.59"/>
        <n v="169"/>
        <n v="2693.99"/>
        <n v="3457.28"/>
        <n v="3756.06"/>
        <n v="1105.05"/>
        <n v="4342.53"/>
        <n v="4781.42"/>
        <n v="1221.74"/>
        <n v="4418.95"/>
        <n v="530.04"/>
        <n v="325.75"/>
        <n v="689.66"/>
        <n v="335.82"/>
        <n v="4232.8100000000004"/>
        <n v="342.3"/>
        <n v="1394.74"/>
        <n v="563.59"/>
        <n v="1512.34"/>
        <n v="498.27"/>
        <n v="3356.62"/>
        <n v="709.97"/>
        <n v="4266.6400000000003"/>
        <n v="4095.1"/>
        <n v="117.63"/>
        <n v="4483.8500000000004"/>
        <n v="193.27"/>
        <n v="1236.25"/>
        <n v="210.33"/>
        <n v="1712.43"/>
        <n v="2593.64"/>
        <n v="3993.39"/>
        <n v="1723.01"/>
        <n v="3542.18"/>
        <n v="978.15"/>
        <n v="3765.46"/>
        <n v="1218.18"/>
        <n v="760.55"/>
        <n v="967.77"/>
        <n v="951.21"/>
        <n v="2588.67"/>
        <n v="4231.75"/>
        <n v="444.05"/>
        <n v="3549.43"/>
        <n v="3289.01"/>
        <n v="4368.97"/>
        <n v="1258.53"/>
        <n v="2278.04"/>
        <n v="4632.8500000000004"/>
        <n v="3316.97"/>
        <n v="1974.4"/>
        <n v="700.49"/>
        <n v="1349.3"/>
        <n v="2927.02"/>
        <n v="3604.93"/>
        <n v="665.89"/>
        <n v="3018.01"/>
        <n v="2774.24"/>
        <n v="2594.08"/>
        <n v="3466.11"/>
        <n v="4195.38"/>
        <n v="1648.8"/>
        <n v="4450.6099999999997"/>
        <n v="845.14"/>
        <n v="906.47"/>
        <n v="1370.52"/>
        <n v="641.67999999999995"/>
        <n v="1190.08"/>
        <n v="576.74"/>
        <n v="4117.67"/>
        <n v="737.9"/>
        <n v="3749.12"/>
        <n v="287.17"/>
        <n v="4745.18"/>
        <n v="3570.24"/>
        <n v="83.64"/>
        <n v="3831.09"/>
        <n v="2594.71"/>
        <n v="3907.86"/>
        <n v="2636.36"/>
        <n v="3223.07"/>
        <n v="3942.34"/>
        <n v="2055.2800000000002"/>
        <n v="63.41"/>
        <n v="4257.24"/>
        <n v="1935.41"/>
        <n v="2505.41"/>
        <n v="88.44"/>
        <n v="2485.86"/>
        <n v="4933.1099999999997"/>
        <n v="1427.42"/>
        <n v="2007.32"/>
        <n v="3451.59"/>
        <n v="4083.23"/>
        <n v="2116.09"/>
        <n v="1582.86"/>
        <n v="4692.24"/>
        <n v="3401.87"/>
        <n v="639.16"/>
        <n v="391.19"/>
        <n v="2443.5700000000002"/>
        <n v="1139.45"/>
        <n v="1307.22"/>
        <n v="4394.58"/>
        <n v="493.35"/>
        <n v="3591.05"/>
        <n v="1392.15"/>
        <n v="3813.62"/>
        <n v="3625.94"/>
        <n v="86.59"/>
        <n v="2570.2199999999998"/>
        <n v="739.63"/>
        <n v="4337.82"/>
        <n v="4364.3500000000004"/>
        <n v="2120.81"/>
        <n v="2249.7600000000002"/>
        <n v="1551.25"/>
        <n v="3597.2"/>
        <n v="1825.37"/>
        <n v="1375.57"/>
        <n v="2189.54"/>
        <n v="502.86"/>
        <n v="3745.69"/>
        <n v="112.35"/>
        <n v="3240.2"/>
        <n v="955.18"/>
        <n v="1200.4000000000001"/>
        <n v="3196.38"/>
        <n v="4965.07"/>
        <n v="3899.7"/>
        <n v="1167.9100000000001"/>
        <n v="921.32"/>
        <n v="4337.8500000000004"/>
        <n v="2248.71"/>
        <n v="728.41"/>
        <n v="4317.95"/>
        <n v="4089.66"/>
        <n v="4920.34"/>
        <n v="4553.2299999999996"/>
        <n v="4266.3599999999997"/>
        <n v="310.24"/>
        <n v="566.86"/>
        <n v="2866.47"/>
        <n v="2680.82"/>
        <n v="2316.92"/>
        <n v="2014.11"/>
        <n v="2184.4899999999998"/>
        <n v="2868.02"/>
        <n v="60.28"/>
        <n v="1340.51"/>
        <n v="2615.48"/>
        <n v="3624.97"/>
        <n v="912.08"/>
        <n v="2757.06"/>
        <n v="3586.58"/>
        <n v="2250.91"/>
        <n v="184.05"/>
        <n v="2273.88"/>
        <n v="1517.4"/>
        <n v="4651.7700000000004"/>
        <n v="666.84"/>
        <n v="3279.76"/>
        <n v="310.95999999999998"/>
        <n v="2258.54"/>
        <n v="2792.2"/>
        <n v="1524.88"/>
        <n v="2302.62"/>
        <n v="859.59"/>
        <n v="1555.41"/>
        <n v="3124.48"/>
        <n v="1543.91"/>
        <n v="4503.7299999999996"/>
        <n v="3160.61"/>
        <n v="2221.31"/>
        <n v="241.85"/>
        <n v="2522.7600000000002"/>
        <n v="3835.64"/>
        <n v="1364.51"/>
        <n v="4043.53"/>
        <n v="1296.44"/>
        <n v="4127.54"/>
        <n v="472.08"/>
        <n v="4337.6099999999997"/>
        <n v="2520.9699999999998"/>
        <n v="1517.86"/>
        <n v="1362.31"/>
        <n v="2188.4499999999998"/>
        <n v="4995.3"/>
        <n v="1140.6199999999999"/>
        <n v="560.91999999999996"/>
        <n v="2945.92"/>
        <n v="2468.29"/>
        <n v="2644.77"/>
        <n v="3351.33"/>
        <n v="1372.36"/>
        <n v="4557.79"/>
        <n v="2206.58"/>
        <n v="688.98"/>
        <n v="3724.38"/>
        <n v="3233.37"/>
        <n v="1612.93"/>
        <n v="3126.52"/>
        <n v="1138.32"/>
        <n v="2251.9499999999998"/>
        <n v="4502.09"/>
        <n v="710.99"/>
        <n v="1964.15"/>
        <n v="4114.66"/>
        <n v="4848.9799999999996"/>
        <n v="2296.9299999999998"/>
        <n v="2559.65"/>
        <n v="2882.25"/>
        <n v="4665.12"/>
        <n v="4298.12"/>
        <n v="894.48"/>
        <n v="2211.9499999999998"/>
        <n v="2346.8000000000002"/>
        <n v="3956.03"/>
        <n v="3034.32"/>
        <n v="3288.39"/>
        <n v="4991.09"/>
        <n v="421.05"/>
        <n v="1153.9000000000001"/>
        <n v="2069.08"/>
        <n v="1771.52"/>
        <n v="157.15"/>
        <n v="504.3"/>
        <n v="3420.72"/>
        <n v="4402.66"/>
        <n v="2595.42"/>
        <n v="2719"/>
        <n v="1312.71"/>
        <n v="3850.99"/>
        <n v="3771.38"/>
        <n v="2962.41"/>
        <n v="1102.69"/>
        <n v="530.24"/>
        <n v="367.98"/>
        <n v="2983.85"/>
        <n v="4133.92"/>
        <n v="4298.74"/>
        <n v="2344.9299999999998"/>
        <n v="3932.14"/>
        <n v="4737.0600000000004"/>
        <n v="1412.09"/>
        <n v="2019.9"/>
        <n v="4660.82"/>
        <n v="1724.24"/>
        <n v="4573.6899999999996"/>
        <n v="4906.17"/>
        <n v="3325.96"/>
        <n v="4093.61"/>
        <n v="3760.25"/>
        <n v="3512.69"/>
        <n v="1569.31"/>
        <n v="332.62"/>
        <n v="1748.11"/>
        <n v="557.52"/>
        <n v="108.99"/>
        <n v="741.48"/>
        <n v="3592.89"/>
        <n v="4865.33"/>
        <n v="4916.17"/>
        <n v="2495.1999999999998"/>
        <n v="4353.29"/>
        <n v="3697.29"/>
        <n v="2530.15"/>
        <n v="2885.16"/>
        <n v="729.27"/>
        <n v="4691.42"/>
        <n v="1792.05"/>
        <n v="2258.44"/>
        <n v="3374.72"/>
        <n v="1702.82"/>
        <n v="1308.58"/>
        <n v="3173.69"/>
        <n v="173.67"/>
        <n v="3617.59"/>
        <n v="2594.42"/>
        <n v="3048.48"/>
        <n v="3177.81"/>
        <n v="2658.9"/>
        <n v="2933.54"/>
        <n v="3434.75"/>
        <n v="3777.94"/>
        <n v="3650.89"/>
        <n v="4354.6000000000004"/>
        <n v="987.74"/>
        <n v="2035.68"/>
        <n v="4741.59"/>
        <n v="2013.12"/>
        <n v="668.11"/>
        <n v="2650.95"/>
        <n v="591.98"/>
        <n v="1054.1199999999999"/>
        <n v="4991.68"/>
        <n v="2729.75"/>
        <n v="1456.09"/>
        <n v="4974.1400000000003"/>
        <n v="4834.47"/>
        <n v="2231.66"/>
        <n v="1339"/>
        <n v="4200.08"/>
        <n v="3592.32"/>
        <n v="3450.36"/>
        <n v="4470.91"/>
        <n v="3462.61"/>
        <n v="1454.8"/>
        <n v="3484.62"/>
        <n v="1563.78"/>
        <n v="3808.23"/>
        <n v="3117.75"/>
        <n v="433.19"/>
        <n v="2588.54"/>
        <n v="1749.34"/>
        <n v="1676.42"/>
        <n v="3031.17"/>
        <n v="1645.51"/>
        <n v="3895.62"/>
        <n v="400.42"/>
        <n v="3318.92"/>
        <n v="4055.51"/>
        <n v="3380.52"/>
        <n v="2511.2800000000002"/>
        <n v="4754.0200000000004"/>
        <n v="1534.7"/>
        <n v="144.88"/>
        <n v="2188.35"/>
        <n v="213.41"/>
        <n v="4771.99"/>
        <n v="1089.0899999999999"/>
        <n v="3955.19"/>
        <n v="3884.13"/>
        <n v="1127.76"/>
        <n v="3125.07"/>
        <n v="287.99"/>
        <n v="2443.69"/>
        <n v="122.5"/>
        <n v="4609.66"/>
        <n v="4881.63"/>
        <n v="1150.3"/>
        <n v="1080.1199999999999"/>
        <n v="3780.91"/>
        <n v="1304.23"/>
        <n v="4480.63"/>
        <n v="2890.95"/>
        <n v="1786.35"/>
        <n v="4171.83"/>
        <n v="2492.36"/>
        <n v="4562.58"/>
        <n v="4643.67"/>
        <n v="868.83"/>
        <n v="61.5"/>
        <n v="4920.46"/>
        <n v="4535.38"/>
        <n v="324.45"/>
        <n v="4173.5200000000004"/>
        <n v="2316.13"/>
        <n v="1331.86"/>
        <n v="4399.8"/>
        <n v="1023.5"/>
        <n v="4739.13"/>
        <n v="1067.83"/>
        <n v="3087.73"/>
        <n v="1154.28"/>
        <n v="2751.06"/>
        <n v="3435.68"/>
        <n v="991.63"/>
        <n v="2628.38"/>
        <n v="2371.85"/>
        <n v="401.64"/>
        <n v="4100.62"/>
        <n v="1711.63"/>
        <n v="2894.18"/>
        <n v="2598.1799999999998"/>
        <n v="2590.64"/>
        <n v="580.75"/>
        <n v="2146.2399999999998"/>
        <n v="2289.2199999999998"/>
        <n v="3681.53"/>
        <n v="4208.09"/>
        <n v="2747.66"/>
        <n v="479.58"/>
        <n v="1222.4000000000001"/>
        <n v="866.42"/>
        <n v="1861.2"/>
        <n v="1185.5"/>
        <n v="1130.5999999999999"/>
        <n v="320.73"/>
        <n v="137.47"/>
        <n v="558.70000000000005"/>
        <n v="902.38"/>
        <n v="2183.37"/>
        <n v="2577.08"/>
        <n v="745.93"/>
        <n v="2152.6799999999998"/>
        <n v="1741.66"/>
        <n v="957.95"/>
        <n v="83.86"/>
        <n v="2361.7399999999998"/>
        <n v="3443.98"/>
        <n v="1170.07"/>
        <n v="702.44"/>
        <n v="4440.8599999999997"/>
        <n v="1411.37"/>
        <n v="1156.8800000000001"/>
        <n v="4292.63"/>
        <n v="4094.68"/>
        <n v="2269.3200000000002"/>
        <n v="2471.73"/>
        <n v="1127.8599999999999"/>
        <n v="437.59"/>
        <n v="2888.49"/>
        <n v="536.80999999999995"/>
        <n v="2273.91"/>
        <n v="4705.46"/>
        <n v="4766.53"/>
        <n v="1234.69"/>
        <n v="3139.36"/>
        <n v="2396.6799999999998"/>
        <n v="4384.6400000000003"/>
        <n v="1393.58"/>
        <n v="68.33"/>
        <n v="854.68"/>
        <n v="1780.14"/>
        <n v="1612.82"/>
        <n v="3967.25"/>
        <n v="3418.78"/>
        <n v="1532.8"/>
        <n v="2315.83"/>
        <n v="523.02"/>
        <n v="4495.82"/>
        <n v="4680.3500000000004"/>
        <n v="4900.03"/>
        <n v="4349.34"/>
        <n v="911.11"/>
        <n v="278.67"/>
        <n v="2919"/>
        <n v="4567.3900000000003"/>
        <n v="927.89"/>
        <n v="84.86"/>
        <n v="4037.21"/>
        <n v="430.14"/>
        <n v="2097.84"/>
        <n v="3410.49"/>
        <n v="1222.1500000000001"/>
        <n v="465.61"/>
        <n v="3861.61"/>
        <n v="3169.37"/>
        <n v="4943.03"/>
        <n v="1754.32"/>
        <n v="355.72"/>
        <n v="3685.03"/>
        <n v="2632.58"/>
      </sharedItems>
    </cacheField>
    <cacheField name="Unit_Price" numFmtId="0">
      <sharedItems containsSemiMixedTypes="0" containsString="0" containsNumber="1" minValue="167.12" maxValue="5442.15" count="1000">
        <n v="267.22000000000003"/>
        <n v="4209.4399999999996"/>
        <n v="371.4"/>
        <n v="4467.75"/>
        <n v="692.71"/>
        <n v="1106.51"/>
        <n v="2624.09"/>
        <n v="3964.65"/>
        <n v="1095.44999999999"/>
        <n v="2682.34"/>
        <n v="2517.6"/>
        <n v="1137.44"/>
        <n v="641.09"/>
        <n v="4270.6499999999996"/>
        <n v="2869.6"/>
        <n v="487.65"/>
        <n v="4420.1499999999996"/>
        <n v="5034.3500000000004"/>
        <n v="3209.22"/>
        <n v="2790.1"/>
        <n v="4439.12"/>
        <n v="5074.42"/>
        <n v="4276.99"/>
        <n v="2441.79"/>
        <n v="3360.4"/>
        <n v="3774.65"/>
        <n v="1084.28"/>
        <n v="2558.9499999999998"/>
        <n v="4314.5599999999904"/>
        <n v="3317.75"/>
        <n v="2406.58"/>
        <n v="3764.52"/>
        <n v="814.14"/>
        <n v="2238.65"/>
        <n v="4422.59"/>
        <n v="1550.19"/>
        <n v="1330.84"/>
        <n v="4888.46"/>
        <n v="1545"/>
        <n v="1427.21"/>
        <n v="5166.72"/>
        <n v="3710.92"/>
        <n v="3838.42"/>
        <n v="4417.79"/>
        <n v="853.66"/>
        <n v="3723.66"/>
        <n v="2637.91"/>
        <n v="4469.07"/>
        <n v="3007.47"/>
        <n v="3600.14"/>
        <n v="2519.0700000000002"/>
        <n v="2778.3999999999901"/>
        <n v="4186.9799999999996"/>
        <n v="3339.66"/>
        <n v="3204.01"/>
        <n v="2626.9"/>
        <n v="3152.2799999999902"/>
        <n v="4061.04"/>
        <n v="4361.7"/>
        <n v="3765.31"/>
        <n v="4731.9799999999996"/>
        <n v="4488.37"/>
        <n v="3206.98"/>
        <n v="3454.76"/>
        <n v="5075.4399999999996"/>
        <n v="3256.78"/>
        <n v="4624.1000000000004"/>
        <n v="3657.23"/>
        <n v="2879.24"/>
        <n v="1429.4399999999901"/>
        <n v="2384.38"/>
        <n v="4884.29"/>
        <n v="3599.27"/>
        <n v="3146.6"/>
        <n v="5040.22"/>
        <n v="2977.52"/>
        <n v="2929.32"/>
        <n v="3844.51"/>
        <n v="3931.25"/>
        <n v="1043.45"/>
        <n v="2839.73"/>
        <n v="2742.97"/>
        <n v="2180.83"/>
        <n v="2836.94"/>
        <n v="2168.91"/>
        <n v="1189.3499999999999"/>
        <n v="2527"/>
        <n v="860.95"/>
        <n v="2910.5099999999902"/>
        <n v="4576.72"/>
        <n v="4002.63"/>
        <n v="2147.14"/>
        <n v="531.02"/>
        <n v="1167.33"/>
        <n v="2882.85"/>
        <n v="1492.48"/>
        <n v="2979.64"/>
        <n v="1444.97"/>
        <n v="4720.2700000000004"/>
        <n v="2338.66"/>
        <n v="1715.83"/>
        <n v="4304.7"/>
        <n v="1830.27"/>
        <n v="1067.53"/>
        <n v="3108.3"/>
        <n v="3027.74"/>
        <n v="3745.91"/>
        <n v="1273.98"/>
        <n v="2486.14"/>
        <n v="1875.75"/>
        <n v="918.17"/>
        <n v="4856.2199999999903"/>
        <n v="3729.27"/>
        <n v="1739.45"/>
        <n v="3040.73"/>
        <n v="1475.29"/>
        <n v="4642.46"/>
        <n v="938.04"/>
        <n v="429.29"/>
        <n v="2755.56"/>
        <n v="3096.64"/>
        <n v="3397.36"/>
        <n v="802.43"/>
        <n v="1756.34"/>
        <n v="2766.05"/>
        <n v="1608.76"/>
        <n v="4381.8900000000003"/>
        <n v="693.4"/>
        <n v="2521.77"/>
        <n v="3732"/>
        <n v="1367.76"/>
        <n v="3349.37"/>
        <n v="4273.6000000000004"/>
        <n v="1263.49"/>
        <n v="5088.28"/>
        <n v="3192.37"/>
        <n v="1955.56"/>
        <n v="2504.0299999999902"/>
        <n v="1625.70999999999"/>
        <n v="3750.63"/>
        <n v="4454.97"/>
        <n v="4362.4399999999996"/>
        <n v="4990.33"/>
        <n v="4321.04"/>
        <n v="3183.58"/>
        <n v="1870.88"/>
        <n v="3244.76"/>
        <n v="683.78"/>
        <n v="3946.77"/>
        <n v="2747.81"/>
        <n v="477.67"/>
        <n v="733"/>
        <n v="1993.4"/>
        <n v="3007.53"/>
        <n v="2668.02"/>
        <n v="3565.58"/>
        <n v="2743.09"/>
        <n v="3401.1"/>
        <n v="1201.3900000000001"/>
        <n v="1032.22"/>
        <n v="3080.61"/>
        <n v="2714.12"/>
        <n v="211.18"/>
        <n v="1982.92"/>
        <n v="914.77"/>
        <n v="3027.9199999999901"/>
        <n v="2186.42"/>
        <n v="3200.75"/>
        <n v="4446.45"/>
        <n v="1649.73999999999"/>
        <n v="5088"/>
        <n v="3185.81"/>
        <n v="3192.99"/>
        <n v="3890.3599999999901"/>
        <n v="3449.94"/>
        <n v="2867.36"/>
        <n v="2367.11"/>
        <n v="799.04"/>
        <n v="303.36"/>
        <n v="2027.74"/>
        <n v="2193.2199999999998"/>
        <n v="2241.96"/>
        <n v="991.21"/>
        <n v="3840.24"/>
        <n v="4645.6400000000003"/>
        <n v="4713.68"/>
        <n v="2521.4499999999998"/>
        <n v="3822.98"/>
        <n v="4462.3999999999996"/>
        <n v="2597.67"/>
        <n v="2034.1499999999901"/>
        <n v="5046.51"/>
        <n v="3013.49"/>
        <n v="2848.3999999999901"/>
        <n v="1004.69999999999"/>
        <n v="970.49"/>
        <n v="4331.42"/>
        <n v="3258.45"/>
        <n v="2074.25"/>
        <n v="1271.99"/>
        <n v="3231.08"/>
        <n v="3054.79"/>
        <n v="1382.4299999999901"/>
        <n v="4315.5200000000004"/>
        <n v="792.21"/>
        <n v="2196.3000000000002"/>
        <n v="3714.52"/>
        <n v="1547.35"/>
        <n v="4172.3499999999904"/>
        <n v="3780.88"/>
        <n v="4270.59"/>
        <n v="1107.45"/>
        <n v="856.91"/>
        <n v="1838.21"/>
        <n v="3049.04"/>
        <n v="4017.91"/>
        <n v="4528.7699999999904"/>
        <n v="3945.82"/>
        <n v="4784.28"/>
        <n v="3862.26"/>
        <n v="1576.34"/>
        <n v="1844.07"/>
        <n v="3955.75"/>
        <n v="1389.35"/>
        <n v="557.69000000000005"/>
        <n v="2913.78"/>
        <n v="4177.0600000000004"/>
        <n v="569.63"/>
        <n v="4281.79"/>
        <n v="4548.09"/>
        <n v="2889.67"/>
        <n v="685.1"/>
        <n v="971.57"/>
        <n v="3696.1"/>
        <n v="3740.13"/>
        <n v="4880.7999999999902"/>
        <n v="3337.4"/>
        <n v="863.03"/>
        <n v="865.76"/>
        <n v="3651.42"/>
        <n v="1111.4100000000001"/>
        <n v="1906.6399999999901"/>
        <n v="2529.02"/>
        <n v="404.69"/>
        <n v="1709.71"/>
        <n v="2363.9"/>
        <n v="1482.88"/>
        <n v="828.94999999999902"/>
        <n v="3896.19"/>
        <n v="4262.21"/>
        <n v="1510.3"/>
        <n v="4152.72"/>
        <n v="2254.84"/>
        <n v="2958.55"/>
        <n v="4464.28"/>
        <n v="4166.95"/>
        <n v="4211.25"/>
        <n v="764.54"/>
        <n v="676.66"/>
        <n v="4770.42"/>
        <n v="2437.6999999999998"/>
        <n v="1840.77"/>
        <n v="4096.96"/>
        <n v="4645.3500000000004"/>
        <n v="4625.5599999999904"/>
        <n v="1882.79"/>
        <n v="4551.5999999999904"/>
        <n v="742"/>
        <n v="684.67"/>
        <n v="3198.49"/>
        <n v="753.81"/>
        <n v="1750.3799999999901"/>
        <n v="3609.3399999999901"/>
        <n v="1832.6"/>
        <n v="1286.92"/>
        <n v="1882.57"/>
        <n v="2467.2800000000002"/>
        <n v="2453.35"/>
        <n v="4082.1099999999901"/>
        <n v="4102.72"/>
        <n v="2482.34"/>
        <n v="4382.32"/>
        <n v="715.84"/>
        <n v="1567.78"/>
        <n v="4293.6899999999996"/>
        <n v="2289.27"/>
        <n v="4954.3900000000003"/>
        <n v="2693.33"/>
        <n v="4096.4799999999996"/>
        <n v="2291.17"/>
        <n v="2303.6999999999998"/>
        <n v="2309.4299999999998"/>
        <n v="4082.62"/>
        <n v="3219.58"/>
        <n v="5017.58"/>
        <n v="1528.59"/>
        <n v="958.76"/>
        <n v="2341.4699999999998"/>
        <n v="3202.68"/>
        <n v="4723.2"/>
        <n v="1983.82"/>
        <n v="3388.8399999999901"/>
        <n v="1931.56"/>
        <n v="3246.33"/>
        <n v="4694.21"/>
        <n v="1320.06"/>
        <n v="2121.5500000000002"/>
        <n v="5037.2699999999904"/>
        <n v="4645.17"/>
        <n v="3215"/>
        <n v="2774.86"/>
        <n v="1485.75"/>
        <n v="2682.53"/>
        <n v="4706.7"/>
        <n v="3693.45"/>
        <n v="1717.97"/>
        <n v="1075.8900000000001"/>
        <n v="1729.81"/>
        <n v="1159.06"/>
        <n v="632.43999999999903"/>
        <n v="2188.66"/>
        <n v="808.69"/>
        <n v="1321.18"/>
        <n v="3193.25"/>
        <n v="1170.1599999999901"/>
        <n v="732.69"/>
        <n v="1687.5"/>
        <n v="1438.76"/>
        <n v="2937.57"/>
        <n v="665.07"/>
        <n v="4212.55"/>
        <n v="4641.41"/>
        <n v="3893.6"/>
        <n v="3001.56"/>
        <n v="4633.1000000000004"/>
        <n v="3842.5499999999902"/>
        <n v="167.12"/>
        <n v="2426.9899999999998"/>
        <n v="4533.3100000000004"/>
        <n v="2002.95"/>
        <n v="715.06"/>
        <n v="4116.38"/>
        <n v="4087.91"/>
        <n v="1225.6400000000001"/>
        <n v="2766.51"/>
        <n v="1023.64"/>
        <n v="3817.99"/>
        <n v="1891.02"/>
        <n v="1710.95"/>
        <n v="4572.21"/>
        <n v="2502.7600000000002"/>
        <n v="3730.43"/>
        <n v="2299.37"/>
        <n v="1868.32"/>
        <n v="3255.5299999999902"/>
        <n v="1191.9000000000001"/>
        <n v="2394.1999999999998"/>
        <n v="1420.9"/>
        <n v="3746"/>
        <n v="5186.1899999999996"/>
        <n v="4995.55"/>
        <n v="2646.5299999999902"/>
        <n v="1745.52"/>
        <n v="2282.23"/>
        <n v="4474.5099999999902"/>
        <n v="1180.04"/>
        <n v="5050.46"/>
        <n v="2070.52"/>
        <n v="5088.0199999999904"/>
        <n v="4436.5"/>
        <n v="4199.3"/>
        <n v="1814.63"/>
        <n v="181.62"/>
        <n v="2385.48"/>
        <n v="1558.87"/>
        <n v="677.5"/>
        <n v="2841.68"/>
        <n v="2217.5100000000002"/>
        <n v="3555.35"/>
        <n v="3383.67"/>
        <n v="902.26"/>
        <n v="4949.95"/>
        <n v="1176.17"/>
        <n v="2382.23"/>
        <n v="2483.87"/>
        <n v="4261.1099999999997"/>
        <n v="595.20000000000005"/>
        <n v="2307.64"/>
        <n v="3216.42"/>
        <n v="1174.48"/>
        <n v="3263.49"/>
        <n v="5122.07"/>
        <n v="4998.78"/>
        <n v="533.57999999999902"/>
        <n v="1295.3699999999999"/>
        <n v="2047.13"/>
        <n v="2081.5500000000002"/>
        <n v="1727.15"/>
        <n v="1366.62"/>
        <n v="4785.66"/>
        <n v="5044.74"/>
        <n v="548.25"/>
        <n v="1865.83"/>
        <n v="2441.46"/>
        <n v="1697.1899999999901"/>
        <n v="3409.93"/>
        <n v="3384.5"/>
        <n v="4656.58"/>
        <n v="4061.37"/>
        <n v="3181.22999999999"/>
        <n v="3634.58"/>
        <n v="1535.57"/>
        <n v="3452.14"/>
        <n v="2533.04"/>
        <n v="851.349999999999"/>
        <n v="1515.48999999999"/>
        <n v="1781.09"/>
        <n v="4642.83"/>
        <n v="1582.89"/>
        <n v="1668.95"/>
        <n v="2087.4499999999998"/>
        <n v="3742.12"/>
        <n v="831.13"/>
        <n v="4805.17"/>
        <n v="4431.04"/>
        <n v="3385.6099999999901"/>
        <n v="3430.99"/>
        <n v="316.39"/>
        <n v="1984.34"/>
        <n v="4240.2299999999996"/>
        <n v="445.48"/>
        <n v="1703.02"/>
        <n v="3145.27"/>
        <n v="1805.56"/>
        <n v="4761.1799999999903"/>
        <n v="882.28"/>
        <n v="4212.6499999999996"/>
        <n v="2765.79"/>
        <n v="4100.3999999999996"/>
        <n v="1703.6399999999901"/>
        <n v="2715.0499999999902"/>
        <n v="4658.6400000000003"/>
        <n v="2616.19"/>
        <n v="2044.04"/>
        <n v="2796.8799999999901"/>
        <n v="3702.8399999999901"/>
        <n v="2260.81"/>
        <n v="4752.24"/>
        <n v="1792.83"/>
        <n v="2850.56"/>
        <n v="3947.5"/>
        <n v="3631.75"/>
        <n v="4391.67"/>
        <n v="5184.6400000000003"/>
        <n v="2191.1899999999901"/>
        <n v="1059.82"/>
        <n v="540.38"/>
        <n v="4143.51"/>
        <n v="4818.95"/>
        <n v="1384.3"/>
        <n v="1098.97"/>
        <n v="461.3"/>
        <n v="4358.78"/>
        <n v="2043.82"/>
        <n v="2073.3200000000002"/>
        <n v="2971.75"/>
        <n v="4382.3500000000004"/>
        <n v="3722.38"/>
        <n v="3565.6"/>
        <n v="1258.3"/>
        <n v="2925.86"/>
        <n v="3822.99"/>
        <n v="5287.05"/>
        <n v="1528.15"/>
        <n v="487.03"/>
        <n v="737.49"/>
        <n v="2217.8000000000002"/>
        <n v="4537.9399999999996"/>
        <n v="360.539999999999"/>
        <n v="2714.71"/>
        <n v="1939.04"/>
        <n v="350.38"/>
        <n v="2476.8000000000002"/>
        <n v="1538.79"/>
        <n v="1871.22"/>
        <n v="3603.02"/>
        <n v="2904.06"/>
        <n v="718.72"/>
        <n v="4967.4399999999996"/>
        <n v="3572.61"/>
        <n v="4323.62"/>
        <n v="803.87"/>
        <n v="779.32999999999902"/>
        <n v="498.46"/>
        <n v="1138.49"/>
        <n v="2440.63"/>
        <n v="5036.3999999999996"/>
        <n v="2504.6"/>
        <n v="1505.44"/>
        <n v="3186.15"/>
        <n v="624.71"/>
        <n v="3386.33"/>
        <n v="2953.91"/>
        <n v="4257.5199999999904"/>
        <n v="5191.0200000000004"/>
        <n v="1308.4399999999901"/>
        <n v="2760.6"/>
        <n v="4853.41"/>
        <n v="4362.51"/>
        <n v="2908.0899999999901"/>
        <n v="4976.68"/>
        <n v="700.25"/>
        <n v="4823.5"/>
        <n v="477.67999999999898"/>
        <n v="2864.45"/>
        <n v="4743.03"/>
        <n v="1514.61"/>
        <n v="2438.9699999999998"/>
        <n v="2001.08"/>
        <n v="5119.91"/>
        <n v="4313.45"/>
        <n v="3607.15"/>
        <n v="3177.64"/>
        <n v="4338.67"/>
        <n v="2329.37"/>
        <n v="2429.9299999999998"/>
        <n v="4007.98"/>
        <n v="2257.92"/>
        <n v="492.68"/>
        <n v="907.63"/>
        <n v="820.36999999999898"/>
        <n v="4495.88"/>
        <n v="2604.06"/>
        <n v="3635.02"/>
        <n v="2066.5"/>
        <n v="1543.6899999999901"/>
        <n v="2152.1999999999998"/>
        <n v="4432.3499999999904"/>
        <n v="3480.58"/>
        <n v="4752.88"/>
        <n v="3753.83"/>
        <n v="3193.76"/>
        <n v="3475.29"/>
        <n v="5129.1099999999997"/>
        <n v="4387.01"/>
        <n v="381.91999999999899"/>
        <n v="3045.9399999999901"/>
        <n v="3598.72"/>
        <n v="4255.7299999999996"/>
        <n v="1200.96"/>
        <n v="4357.49"/>
        <n v="4864.34"/>
        <n v="1611.92"/>
        <n v="4647.87"/>
        <n v="759.31999999999903"/>
        <n v="803.71"/>
        <n v="1150.28"/>
        <n v="498.31"/>
        <n v="4345.25"/>
        <n v="768.06"/>
        <n v="1848.69"/>
        <n v="838.97"/>
        <n v="1830.76"/>
        <n v="634.16"/>
        <n v="3759.0099999999902"/>
        <n v="1029.71"/>
        <n v="4523.3599999999997"/>
        <n v="4134.55"/>
        <n v="576.44000000000005"/>
        <n v="4795.42"/>
        <n v="297.69"/>
        <n v="1543.38"/>
        <n v="552.29"/>
        <n v="1980.06"/>
        <n v="2955.5099999999902"/>
        <n v="4288.3"/>
        <n v="2197.42"/>
        <n v="3578.49"/>
        <n v="1040.21"/>
        <n v="3860.56"/>
        <n v="1566.36"/>
        <n v="1086.8899999999901"/>
        <n v="1414.88"/>
        <n v="1320.32"/>
        <n v="2847.76"/>
        <n v="4727.75"/>
        <n v="584.44000000000005"/>
        <n v="3967.6899999999901"/>
        <n v="3508.14"/>
        <n v="4696.8500000000004"/>
        <n v="1624.8899999999901"/>
        <n v="2598.58"/>
        <n v="4711.7"/>
        <n v="3544.02"/>
        <n v="2259.5"/>
        <n v="1126.52"/>
        <n v="1576.69"/>
        <n v="3387.21"/>
        <n v="3830.71"/>
        <n v="944.79"/>
        <n v="3418.19"/>
        <n v="3069.9399999999901"/>
        <n v="3074.59"/>
        <n v="3799.67"/>
        <n v="4461.51"/>
        <n v="1670.36"/>
        <n v="4663.3399999999901"/>
        <n v="1001.77"/>
        <n v="1283.04"/>
        <n v="1482.58"/>
        <n v="752.24"/>
        <n v="1292.9399999999901"/>
        <n v="648.29"/>
        <n v="4280.0600000000004"/>
        <n v="1182"/>
        <n v="4138.83"/>
        <n v="657.44"/>
        <n v="5145.88"/>
        <n v="3712.25"/>
        <n v="528.49"/>
        <n v="3908.37"/>
        <n v="2769.52"/>
        <n v="4205.37"/>
        <n v="2696.78"/>
        <n v="3590.83"/>
        <n v="4142.09"/>
        <n v="2449.64"/>
        <n v="314.93"/>
        <n v="4355.87"/>
        <n v="2305.44"/>
        <n v="2638.96"/>
        <n v="338.94"/>
        <n v="2532.87"/>
        <n v="5245.86"/>
        <n v="1763.69"/>
        <n v="2202.87"/>
        <n v="3929.26"/>
        <n v="4521.57"/>
        <n v="2472.98"/>
        <n v="1942.55"/>
        <n v="4825.92"/>
        <n v="3733.71"/>
        <n v="746.28"/>
        <n v="471.75"/>
        <n v="2943.31"/>
        <n v="1454.41"/>
        <n v="1528.4"/>
        <n v="4545.78"/>
        <n v="799.27"/>
        <n v="3625.35"/>
        <n v="1448.54"/>
        <n v="3839.72"/>
        <n v="3880.53"/>
        <n v="390.89"/>
        <n v="2610.8399999999901"/>
        <n v="1103.03"/>
        <n v="4460.71"/>
        <n v="4710.1000000000004"/>
        <n v="2611.94"/>
        <n v="2598.4"/>
        <n v="1994.01"/>
        <n v="4071.8199999999902"/>
        <n v="2073.88"/>
        <n v="1729.71"/>
        <n v="2617"/>
        <n v="687.6"/>
        <n v="3883.77"/>
        <n v="586.17999999999995"/>
        <n v="3606.0899999999901"/>
        <n v="1072.82"/>
        <n v="1430.45"/>
        <n v="3596.64"/>
        <n v="5243.13"/>
        <n v="4228.18"/>
        <n v="1547.26"/>
        <n v="1236.0999999999999"/>
        <n v="4612.49"/>
        <n v="2626.02"/>
        <n v="1094.92"/>
        <n v="4636.59"/>
        <n v="4275.96"/>
        <n v="5129.1899999999996"/>
        <n v="5038.74"/>
        <n v="4331.4299999999903"/>
        <n v="451.81"/>
        <n v="818.14"/>
        <n v="3286.47"/>
        <n v="2771.02"/>
        <n v="2462.63"/>
        <n v="2056.35"/>
        <n v="2540.4199999999901"/>
        <n v="2994.74"/>
        <n v="260.73"/>
        <n v="1567.92"/>
        <n v="3062.22"/>
        <n v="3836.52"/>
        <n v="993.24"/>
        <n v="3023.97"/>
        <n v="4068.43"/>
        <n v="2558.6799999999998"/>
        <n v="675.91"/>
        <n v="2696.02"/>
        <n v="1545.02"/>
        <n v="4984.3900000000003"/>
        <n v="817.36"/>
        <n v="3563.97"/>
        <n v="457.84"/>
        <n v="2439.4899999999998"/>
        <n v="3254.5499999999902"/>
        <n v="1636.14"/>
        <n v="2740.93"/>
        <n v="884.51"/>
        <n v="1609.94"/>
        <n v="3553.27"/>
        <n v="1862.88"/>
        <n v="4879.8799999999901"/>
        <n v="3273.22"/>
        <n v="2494.48"/>
        <n v="613.09"/>
        <n v="2840.14"/>
        <n v="4076.77"/>
        <n v="1844.8"/>
        <n v="4384.8500000000004"/>
        <n v="1751.24"/>
        <n v="4495.13"/>
        <n v="842.46"/>
        <n v="4386.82"/>
        <n v="2707.1099999999901"/>
        <n v="1948.46"/>
        <n v="1486.29"/>
        <n v="2255.0499999999902"/>
        <n v="5165.09"/>
        <n v="1258.6299999999901"/>
        <n v="1024.31"/>
        <n v="3381.22"/>
        <n v="2723.13"/>
        <n v="2684.83"/>
        <n v="3711.47"/>
        <n v="1687.83"/>
        <n v="5043.3599999999997"/>
        <n v="2490.4699999999998"/>
        <n v="863.81"/>
        <n v="3988.7"/>
        <n v="3723.21"/>
        <n v="1964.15"/>
        <n v="3465.79"/>
        <n v="1266.25"/>
        <n v="2626.3199999999902"/>
        <n v="4879.72"/>
        <n v="876.46"/>
        <n v="2211.17"/>
        <n v="4269.0199999999904"/>
        <n v="4985.75"/>
        <n v="2319.62"/>
        <n v="2709.4"/>
        <n v="3163.7"/>
        <n v="4675.8999999999996"/>
        <n v="4446.8999999999996"/>
        <n v="1336.37"/>
        <n v="2512.8399999999901"/>
        <n v="2654.65"/>
        <n v="4163.68"/>
        <n v="3375.79"/>
        <n v="3391.46"/>
        <n v="5402.28"/>
        <n v="488.23"/>
        <n v="1485.34"/>
        <n v="2246.2399999999998"/>
        <n v="2147.8000000000002"/>
        <n v="436.53"/>
        <n v="735.95"/>
        <n v="3513.74"/>
        <n v="4724.7"/>
        <n v="3083.06"/>
        <n v="3133.55"/>
        <n v="1352.11"/>
        <n v="4045.3399999999901"/>
        <n v="4234.92"/>
        <n v="3218.8999999999901"/>
        <n v="1437.12"/>
        <n v="987.41"/>
        <n v="806.14"/>
        <n v="3239.74"/>
        <n v="4358.37"/>
        <n v="4475.1899999999996"/>
        <n v="2707.25"/>
        <n v="4082.7599999999902"/>
        <n v="4869.5"/>
        <n v="1596.6499999999901"/>
        <n v="2116.7399999999998"/>
        <n v="5011.4299999999903"/>
        <n v="2036.2"/>
        <n v="4820.2999999999902"/>
        <n v="5107.43"/>
        <n v="3781.4"/>
        <n v="4117.88"/>
        <n v="4147.1099999999997"/>
        <n v="3964.63"/>
        <n v="1798.02"/>
        <n v="612.46"/>
        <n v="2220.9"/>
        <n v="3465.35"/>
        <n v="822.39"/>
        <n v="351.6"/>
        <n v="878.09"/>
        <n v="4004"/>
        <n v="5316.13"/>
        <n v="5309.32"/>
        <n v="2600.9299999999998"/>
        <n v="4405.8"/>
        <n v="4003.96"/>
        <n v="2568.13"/>
        <n v="3224.8399999999901"/>
        <n v="999.18"/>
        <n v="5026.1899999999996"/>
        <n v="2091.23"/>
        <n v="2475.56"/>
        <n v="3483.1499999999901"/>
        <n v="1862.61"/>
        <n v="1575.59"/>
        <n v="3503.11"/>
        <n v="565.62"/>
        <n v="4003.5"/>
        <n v="3081.04"/>
        <n v="3198.54"/>
        <n v="3222.65"/>
        <n v="2838.27"/>
        <n v="3307.75"/>
        <n v="3659.42"/>
        <n v="4188.66"/>
        <n v="3930.06"/>
        <n v="4820.2"/>
        <n v="1462.19"/>
        <n v="2079.64"/>
        <n v="4975.2299999999996"/>
        <n v="2321.87"/>
        <n v="803.49"/>
        <n v="2860.4199999999901"/>
        <n v="934.04"/>
        <n v="1175.21999999999"/>
        <n v="5296.65"/>
        <n v="3081.5"/>
        <n v="1510.4299999999901"/>
        <n v="5227.93"/>
        <n v="4973.38"/>
        <n v="2596.6099999999901"/>
        <n v="1441.88"/>
        <n v="4647.28"/>
        <n v="3813.48"/>
        <n v="3557.38"/>
        <n v="4695.54"/>
        <n v="3672.89"/>
        <n v="1674.97"/>
        <n v="3781.5499999999902"/>
        <n v="1829.1599999999901"/>
        <n v="3891.62"/>
        <n v="3159.88"/>
        <n v="800.6"/>
        <n v="2872.8"/>
        <n v="1935.25"/>
        <n v="2082.52"/>
        <n v="3231.32"/>
        <n v="2045.53"/>
        <n v="4055.44"/>
        <n v="446.11"/>
        <n v="3785.91"/>
        <n v="4258.84"/>
        <n v="3778.94"/>
        <n v="2658.06"/>
        <n v="5080.74"/>
        <n v="1972.62"/>
        <n v="175.29"/>
        <n v="2605.3599999999901"/>
        <n v="503.36"/>
        <n v="5079.6499999999996"/>
        <n v="1355.44"/>
        <n v="4393.68"/>
        <n v="3915.41"/>
        <n v="1265.6600000000001"/>
        <n v="3564.19"/>
        <n v="666.64"/>
        <n v="2462.34"/>
        <n v="385.83"/>
        <n v="4879.1499999999996"/>
        <n v="5088.0600000000004"/>
        <n v="1306.02"/>
        <n v="1424.1699999999901"/>
        <n v="3892.73"/>
        <n v="1705.71"/>
        <n v="4884.12"/>
        <n v="3104.43"/>
        <n v="1935.29"/>
        <n v="4320.93"/>
        <n v="2738.68"/>
        <n v="4925.17"/>
        <n v="4829.5200000000004"/>
        <n v="1177.75"/>
        <n v="258.91999999999899"/>
        <n v="5079.68"/>
        <n v="4557.5600000000004"/>
        <n v="336.37"/>
        <n v="4294.8500000000004"/>
        <n v="2525.27"/>
        <n v="1758.98"/>
        <n v="4801.0600000000004"/>
        <n v="1164.4100000000001"/>
        <n v="4868.95"/>
        <n v="1189.22"/>
        <n v="3263.96"/>
        <n v="1408.4"/>
        <n v="2976.0099999999902"/>
        <n v="3552.6299999999901"/>
        <n v="1065.55"/>
        <n v="2644.54"/>
        <n v="2457.29"/>
        <n v="757.26"/>
        <n v="4230"/>
        <n v="1951.24"/>
        <n v="3193.92"/>
        <n v="3042.73"/>
        <n v="3036.18"/>
        <n v="956.16"/>
        <n v="2173.4699999999998"/>
        <n v="2581"/>
        <n v="4076.96"/>
        <n v="4226.5600000000004"/>
        <n v="3027.0099999999902"/>
        <n v="909.88"/>
        <n v="1464.71"/>
        <n v="878.43"/>
        <n v="682.24"/>
        <n v="2075.35"/>
        <n v="1271.45"/>
        <n v="1466.1799999999901"/>
        <n v="678.04"/>
        <n v="234.63"/>
        <n v="1004.08"/>
        <n v="1128.9100000000001"/>
        <n v="2263.3599999999901"/>
        <n v="2961.56"/>
        <n v="1143.02"/>
        <n v="2475.9299999999998"/>
        <n v="2169.86"/>
        <n v="1329.26"/>
        <n v="526.14"/>
        <n v="2584.35"/>
        <n v="3820.3"/>
        <n v="1669.94999999999"/>
        <n v="1067.6600000000001"/>
        <n v="4506.8099999999904"/>
        <n v="1675.35"/>
        <n v="1454.68"/>
        <n v="4387.99"/>
        <n v="4576.5"/>
        <n v="2365.35"/>
        <n v="2568.73"/>
        <n v="1586.29"/>
        <n v="675.54"/>
        <n v="2929.45"/>
        <n v="839.92"/>
        <n v="2578.7999999999902"/>
        <n v="4747.07"/>
        <n v="5253.07"/>
        <n v="1511.26"/>
        <n v="3423.66"/>
        <n v="2661.54"/>
        <n v="4693.8999999999996"/>
        <n v="1533.09"/>
        <n v="219.07999999999899"/>
        <n v="1115.24"/>
        <n v="2185.42"/>
        <n v="1647.25"/>
        <n v="4272.92"/>
        <n v="3824.1"/>
        <n v="1619.69"/>
        <n v="2333.19"/>
        <n v="686.25"/>
        <n v="4794.0099999999902"/>
        <n v="4758.1099999999997"/>
        <n v="5118.83"/>
        <n v="4629.9799999999996"/>
        <n v="1214.56"/>
        <n v="423.13"/>
        <n v="3125.01"/>
        <n v="4958.78"/>
        <n v="1399.09"/>
        <n v="517.17999999999995"/>
        <n v="4323.71"/>
        <n v="641.17999999999995"/>
        <n v="2270.9899999999998"/>
        <n v="3481.72"/>
        <n v="1284.3599999999999"/>
        <n v="812.91"/>
        <n v="3998.91"/>
        <n v="3304.15"/>
        <n v="5442.15"/>
        <n v="1856.3999999999901"/>
        <n v="438.27"/>
        <n v="3743.39"/>
        <n v="2926.68"/>
      </sharedItems>
    </cacheField>
    <cacheField name="Customer_Type" numFmtId="0">
      <sharedItems count="2">
        <s v="Returning"/>
        <s v="New"/>
      </sharedItems>
    </cacheField>
    <cacheField name="Discount" numFmtId="0">
      <sharedItems containsSemiMixedTypes="0" containsString="0" containsNumber="1" minValue="0" maxValue="0.3" count="31">
        <n v="0.09"/>
        <n v="0.11"/>
        <n v="0.2"/>
        <n v="0.02"/>
        <n v="0.08"/>
        <n v="0.21"/>
        <n v="0.14000000000000001"/>
        <n v="0.12"/>
        <n v="0.05"/>
        <n v="0.13"/>
        <n v="0.23"/>
        <n v="0"/>
        <n v="0.28999999999999998"/>
        <n v="0.18"/>
        <n v="0.04"/>
        <n v="0.1"/>
        <n v="0.26"/>
        <n v="7.0000000000000007E-2"/>
        <n v="0.06"/>
        <n v="0.24"/>
        <n v="0.22"/>
        <n v="0.03"/>
        <n v="0.17"/>
        <n v="0.3"/>
        <n v="0.28000000000000003"/>
        <n v="0.15"/>
        <n v="0.25"/>
        <n v="0.19"/>
        <n v="0.16"/>
        <n v="0.27"/>
        <n v="0.01"/>
      </sharedItems>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Total_Cost" numFmtId="0">
      <sharedItems containsSemiMixedTypes="0" containsString="0" containsNumber="1" minValue="60.28" maxValue="235808.09" count="1000">
        <n v="2749.5"/>
        <n v="64878.63"/>
        <n v="7846.8"/>
        <n v="168871.16999999998"/>
        <n v="8285.81"/>
        <n v="28825.279999999999"/>
        <n v="69855.490000000005"/>
        <n v="170315.46000000002"/>
        <n v="22141.8"/>
        <n v="40110.299999999996"/>
        <n v="31721.43"/>
        <n v="47334.829999999994"/>
        <n v="13062.21"/>
        <n v="125708.4"/>
        <n v="53281.2"/>
        <n v="5817.12"/>
        <n v="68420.92"/>
        <n v="196197.2"/>
        <n v="57937.27"/>
        <n v="38150.400000000001"/>
        <n v="39583.440000000002"/>
        <n v="47649.599999999999"/>
        <n v="166538.23999999999"/>
        <n v="69904.689999999988"/>
        <n v="68574.5"/>
        <n v="105588.90000000001"/>
        <n v="33384.449999999997"/>
        <n v="20372.850000000002"/>
        <n v="195408.13999999998"/>
        <n v="3290.89"/>
        <n v="91760.24"/>
        <n v="116677.4"/>
        <n v="6987.2000000000007"/>
        <n v="69271.94"/>
        <n v="63615.839999999997"/>
        <n v="10273.68"/>
        <n v="31056.32"/>
        <n v="71348.25"/>
        <n v="13067.880000000001"/>
        <n v="44271.15"/>
        <n v="218232.00000000003"/>
        <n v="51615.34"/>
        <n v="28104"/>
        <n v="34175.919999999998"/>
        <n v="16829.640000000003"/>
        <n v="42533.760000000002"/>
        <n v="2543.2600000000002"/>
        <n v="178634.9"/>
        <n v="102612"/>
        <n v="131047.98"/>
        <n v="26563.02"/>
        <n v="94258.709999999992"/>
        <n v="165612.35"/>
        <n v="98003.400000000009"/>
        <n v="54139.05"/>
        <n v="75203.7"/>
        <n v="85727.679999999993"/>
        <n v="108497.70000000001"/>
        <n v="86906.61"/>
        <n v="73457.58"/>
        <n v="184966.39999999999"/>
        <n v="94543.8"/>
        <n v="16987.38"/>
        <n v="74216.12"/>
        <n v="176138.74"/>
        <n v="115250.56"/>
        <n v="185975.55"/>
        <n v="27676.880000000001"/>
        <n v="114065.28"/>
        <n v="61107.899999999994"/>
        <n v="75554.150000000009"/>
        <n v="53243.63"/>
        <n v="79342.559999999998"/>
        <n v="139344.24000000002"/>
        <n v="98030.94"/>
        <n v="5906.46"/>
        <n v="106164.40000000001"/>
        <n v="72363.210000000006"/>
        <n v="139529.91"/>
        <n v="28171.919999999998"/>
        <n v="40510.660000000003"/>
        <n v="14333.699999999999"/>
        <n v="36521.99"/>
        <n v="99202.8"/>
        <n v="58656.639999999999"/>
        <n v="2073.52"/>
        <n v="79465.98"/>
        <n v="15087.49"/>
        <n v="11600.56"/>
        <n v="94062.98000000001"/>
        <n v="94644.42"/>
        <n v="89863.55"/>
        <n v="20683"/>
        <n v="37823.040000000001"/>
        <n v="35752.339999999997"/>
        <n v="34397.760000000002"/>
        <n v="46625.39"/>
        <n v="49053.22"/>
        <n v="153078.12"/>
        <n v="92758.54"/>
        <n v="24044.12"/>
        <n v="142485.35"/>
        <n v="80364.3"/>
        <n v="24074.400000000001"/>
        <n v="80458.840000000011"/>
        <n v="2928.74"/>
        <n v="150685.07999999999"/>
        <n v="22303.62"/>
        <n v="107840.16"/>
        <n v="57908.800000000003"/>
        <n v="14873.76"/>
        <n v="52670.879999999997"/>
        <n v="29263.279999999999"/>
        <n v="37013.760000000002"/>
        <n v="48270.400000000001"/>
        <n v="4185.04"/>
        <n v="169353.46"/>
        <n v="27226.76"/>
        <n v="1862.7299999999998"/>
        <n v="22814.46"/>
        <n v="138014.56"/>
        <n v="46654.080000000002"/>
        <n v="3837.96"/>
        <n v="49740.12"/>
        <n v="60504.72"/>
        <n v="15708.98"/>
        <n v="196627.5"/>
        <n v="12029.75"/>
        <n v="83726.700000000012"/>
        <n v="10417.530000000001"/>
        <n v="32296.080000000002"/>
        <n v="131879.57999999999"/>
        <n v="37399.14"/>
        <n v="25796.42"/>
        <n v="91804.799999999988"/>
        <n v="111604.40000000001"/>
        <n v="15312"/>
        <n v="41472.25"/>
        <n v="4786.0499999999993"/>
        <n v="87343.200000000012"/>
        <n v="19958.45"/>
        <n v="12519.119999999999"/>
        <n v="133097.85"/>
        <n v="63469.760000000002"/>
        <n v="148315.65"/>
        <n v="25937.100000000002"/>
        <n v="96101.25"/>
        <n v="3039.48"/>
        <n v="153212.08000000002"/>
        <n v="99329.12"/>
        <n v="3876.8600000000006"/>
        <n v="16892.27"/>
        <n v="66910.64"/>
        <n v="67572.62"/>
        <n v="72782.11"/>
        <n v="62301.2"/>
        <n v="29129.52"/>
        <n v="76484.89"/>
        <n v="4538.68"/>
        <n v="13997.11"/>
        <n v="144112.79999999999"/>
        <n v="117562.08"/>
        <n v="182.99"/>
        <n v="48334.75"/>
        <n v="1150.6400000000001"/>
        <n v="80406.599999999991"/>
        <n v="6027.2999999999993"/>
        <n v="64787.1"/>
        <n v="100943.25"/>
        <n v="30667.199999999997"/>
        <n v="235808.09"/>
        <n v="59430.579999999994"/>
        <n v="65321.34"/>
        <n v="112837.89"/>
        <n v="127312.16"/>
        <n v="38689.65"/>
        <n v="99929.48000000001"/>
        <n v="4743.3"/>
        <n v="7328.7199999999993"/>
        <n v="45547.75"/>
        <n v="35734.019999999997"/>
        <n v="47258.159999999996"/>
        <n v="3674.6"/>
        <n v="22223.579999999998"/>
        <n v="210306.53"/>
        <n v="201955.52000000002"/>
        <n v="119385.12"/>
        <n v="154848.76"/>
        <n v="201394.05999999997"/>
        <n v="48772.42"/>
        <n v="6326.36"/>
        <n v="126543.33"/>
        <n v="46846.799999999996"/>
        <n v="52739.61"/>
        <n v="26128.48"/>
        <n v="20487.95"/>
        <n v="92805.46"/>
        <n v="123598.39999999999"/>
        <n v="38245.089999999997"/>
        <n v="2997.27"/>
        <n v="111988.4"/>
        <n v="29404"/>
        <n v="26865.499999999996"/>
        <n v="208958.54"/>
        <n v="3736.88"/>
        <n v="19939.260000000002"/>
        <n v="17089.5"/>
        <n v="63310.500000000007"/>
        <n v="153438.63"/>
        <n v="167055.75"/>
        <n v="150315.07999999999"/>
        <n v="18547.82"/>
        <n v="3728.55"/>
        <n v="13212.449999999999"/>
        <n v="125495.04000000001"/>
        <n v="7505.36"/>
        <n v="4190.83"/>
        <n v="141458.4"/>
        <n v="139396.5"/>
        <n v="40774.58"/>
        <n v="43848.84"/>
        <n v="59934.600000000006"/>
        <n v="41953.8"/>
        <n v="39183.69"/>
        <n v="13232.44"/>
        <n v="34898.5"/>
        <n v="32937.040000000001"/>
        <n v="15451.240000000002"/>
        <n v="119095.8"/>
        <n v="36605.520000000004"/>
        <n v="95053.140000000014"/>
        <n v="10344.39"/>
        <n v="19198.62"/>
        <n v="166932.72"/>
        <n v="121492.20000000001"/>
        <n v="139402.66"/>
        <n v="73357.5"/>
        <n v="7971.9600000000009"/>
        <n v="651"/>
        <n v="79631.42"/>
        <n v="38389.199999999997"/>
        <n v="61993.87"/>
        <n v="115699.9"/>
        <n v="172.59"/>
        <n v="1281.6500000000001"/>
        <n v="86900.1"/>
        <n v="60236.4"/>
        <n v="15225.63"/>
        <n v="54804.899999999994"/>
        <n v="69276.36"/>
        <n v="29139.439999999999"/>
        <n v="147568.44"/>
        <n v="68547.149999999994"/>
        <n v="115114.05"/>
        <n v="68595.360000000001"/>
        <n v="30098.16"/>
        <n v="189660.51"/>
        <n v="12365.46"/>
        <n v="6716.87"/>
        <n v="116281.1"/>
        <n v="25607.14"/>
        <n v="25075"/>
        <n v="138215.5"/>
        <n v="71234.42"/>
        <n v="207327.35999999999"/>
        <n v="22598.66"/>
        <n v="192080.25"/>
        <n v="1515.72"/>
        <n v="10353.699999999999"/>
        <n v="144275.32"/>
        <n v="5073.32"/>
        <n v="77870.539999999994"/>
        <n v="27041.119999999999"/>
        <n v="25792.05"/>
        <n v="25353.54"/>
        <n v="18754.97"/>
        <n v="113435"/>
        <n v="74497.959999999992"/>
        <n v="137404.75"/>
        <n v="22579.56"/>
        <n v="11556.25"/>
        <n v="93193.1"/>
        <n v="30158.030000000002"/>
        <n v="30222"/>
        <n v="103711.99999999999"/>
        <n v="65316.38"/>
        <n v="127578.1"/>
        <n v="110823.65"/>
        <n v="19850.400000000001"/>
        <n v="53076.92"/>
        <n v="43070.400000000001"/>
        <n v="11671.619999999999"/>
        <n v="21656.52"/>
        <n v="49683.78"/>
        <n v="18886.8"/>
        <n v="21962.47"/>
        <n v="7669.0599999999995"/>
        <n v="27952.960000000003"/>
        <n v="40335.49"/>
        <n v="30176.649999999998"/>
        <n v="77601.48000000001"/>
        <n v="49293.599999999999"/>
        <n v="33886.120000000003"/>
        <n v="133525.31999999998"/>
        <n v="208200.6"/>
        <n v="52589.68"/>
        <n v="71785"/>
        <n v="84433.22"/>
        <n v="152227.59999999998"/>
        <n v="54054.429999999993"/>
        <n v="52146.2"/>
        <n v="52515.72"/>
        <n v="91356.650000000009"/>
        <n v="135952"/>
        <n v="165197.28"/>
        <n v="65371.68"/>
        <n v="41890"/>
        <n v="32706.720000000001"/>
        <n v="15135.269999999999"/>
        <n v="3663.9399999999996"/>
        <n v="91362.959999999992"/>
        <n v="610.83000000000004"/>
        <n v="31533.95"/>
        <n v="88296.320000000007"/>
        <n v="31131.72"/>
        <n v="4760.5999999999995"/>
        <n v="9726.42"/>
        <n v="15968.119999999999"/>
        <n v="96228.12000000001"/>
        <n v="26722.560000000001"/>
        <n v="56569.05"/>
        <n v="213185.41999999998"/>
        <n v="14920"/>
        <n v="107499.59999999999"/>
        <n v="68964.960000000006"/>
        <n v="97715.8"/>
        <n v="1635.68"/>
        <n v="8003"/>
        <n v="191799.45"/>
        <n v="45812"/>
        <n v="6280.96"/>
        <n v="119794.88"/>
        <n v="180904.05000000002"/>
        <n v="1689.88"/>
        <n v="84005.040000000008"/>
        <n v="3000.54"/>
        <n v="28881.68"/>
        <n v="33460.080000000002"/>
        <n v="24228.9"/>
        <n v="182002.22999999998"/>
        <n v="74641.8"/>
        <n v="30287.52"/>
        <n v="79628.25"/>
        <n v="68630.850000000006"/>
        <n v="6292.24"/>
        <n v="6532.32"/>
        <n v="13274.449999999999"/>
        <n v="47728.12"/>
        <n v="136273.41"/>
        <n v="198400.86"/>
        <n v="79644.479999999996"/>
        <n v="79760.45"/>
        <n v="39000.9"/>
        <n v="22420.100000000002"/>
        <n v="161271.24"/>
        <n v="19255.14"/>
        <n v="23814.35"/>
        <n v="50524.959999999999"/>
        <n v="192259.46999999997"/>
        <n v="142837.74"/>
        <n v="174254.06"/>
        <n v="73063.350000000006"/>
        <n v="2149.35"/>
        <n v="9707.7999999999993"/>
        <n v="46318.8"/>
        <n v="1410.72"/>
        <n v="117371.76"/>
        <n v="89980"/>
        <n v="12764.2"/>
        <n v="90621.23"/>
        <n v="14897.1"/>
        <n v="29315.879999999997"/>
        <n v="31209.919999999998"/>
        <n v="94672.62000000001"/>
        <n v="44391.24"/>
        <n v="61119.899999999994"/>
        <n v="21647.600000000002"/>
        <n v="69497.279999999999"/>
        <n v="28449.81"/>
        <n v="41255.74"/>
        <n v="31559.699999999997"/>
        <n v="92442.8"/>
        <n v="29926.260000000002"/>
        <n v="10110.24"/>
        <n v="3648.4800000000005"/>
        <n v="66612.84"/>
        <n v="22282.370000000003"/>
        <n v="53714.310000000005"/>
        <n v="17973.59"/>
        <n v="152801.28"/>
        <n v="18386.72"/>
        <n v="1130.44"/>
        <n v="29361.039999999997"/>
        <n v="84275.09"/>
        <n v="23429.279999999999"/>
        <n v="15814.6"/>
        <n v="103036.16"/>
        <n v="93720"/>
        <n v="22303.800000000003"/>
        <n v="95750.9"/>
        <n v="72275.5"/>
        <n v="1406.24"/>
        <n v="59712.600000000006"/>
        <n v="54376.740000000005"/>
        <n v="34082.879999999997"/>
        <n v="13756.49"/>
        <n v="19420.440000000002"/>
        <n v="194263.86"/>
        <n v="3571.2300000000005"/>
        <n v="13335.84"/>
        <n v="22539.599999999999"/>
        <n v="76717.19"/>
        <n v="8893.92"/>
        <n v="157476.99"/>
        <n v="78022.44"/>
        <n v="142453.78"/>
        <n v="138846.09"/>
        <n v="1192.23"/>
        <n v="39738.94"/>
        <n v="39885.199999999997"/>
        <n v="8237.26"/>
        <n v="68030.150000000009"/>
        <n v="14736.099999999999"/>
        <n v="62004.28"/>
        <n v="107483.37"/>
        <n v="20962.2"/>
        <n v="99927.5"/>
        <n v="71801.8"/>
        <n v="127980.76"/>
        <n v="71461.8"/>
        <n v="124642.56"/>
        <n v="201692.51"/>
        <n v="59026.250000000007"/>
        <n v="18306.099999999999"/>
        <n v="37855.579999999994"/>
        <n v="151239.9"/>
        <n v="103299.43999999999"/>
        <n v="140923.19999999998"/>
        <n v="61909.18"/>
        <n v="60088.5"/>
        <n v="53155.06"/>
        <n v="121140.25"/>
        <n v="207600.96000000002"/>
        <n v="169463.14"/>
        <n v="21629.5"/>
        <n v="21007"/>
        <n v="2206.16"/>
        <n v="40128.44"/>
        <n v="91903.77"/>
        <n v="23993.13"/>
        <n v="18355.04"/>
        <n v="16106.400000000001"/>
        <n v="28856.66"/>
        <n v="27052.78"/>
        <n v="4076.8"/>
        <n v="30463.32"/>
        <n v="176622.18"/>
        <n v="58889.159999999996"/>
        <n v="34040.270000000004"/>
        <n v="14713.28"/>
        <n v="126924.20999999999"/>
        <n v="64640.52"/>
        <n v="170367.40000000002"/>
        <n v="27220.959999999999"/>
        <n v="1555.84"/>
        <n v="2536.44"/>
        <n v="84060.680000000008"/>
        <n v="176803.1"/>
        <n v="4011.45"/>
        <n v="108608.54000000001"/>
        <n v="80625.119999999995"/>
        <n v="13010.759999999998"/>
        <n v="27344.04"/>
        <n v="17043.13"/>
        <n v="7167.32"/>
        <n v="138169.20000000001"/>
        <n v="5263.36"/>
        <n v="17342"/>
        <n v="129843"/>
        <n v="86339.520000000004"/>
        <n v="57615.75"/>
        <n v="3536.88"/>
        <n v="1980.58"/>
        <n v="6874.6900000000005"/>
        <n v="45288.38"/>
        <n v="84052.800000000003"/>
        <n v="56188.08"/>
        <n v="30061.85"/>
        <n v="63930.68"/>
        <n v="48136.86"/>
        <n v="10269.36"/>
        <n v="110413.8"/>
        <n v="60138.539999999994"/>
        <n v="31762.959999999999"/>
        <n v="24670.5"/>
        <n v="33587.32"/>
        <n v="41164.800000000003"/>
        <n v="163759.67999999999"/>
        <n v="110227.32"/>
        <n v="71417.14"/>
        <n v="222290.73"/>
        <n v="3999.84"/>
        <n v="172362.28"/>
        <n v="9000.2999999999993"/>
        <n v="63460.679999999993"/>
        <n v="71322.880000000005"/>
        <n v="18906.580000000002"/>
        <n v="23876.300000000003"/>
        <n v="11588.01"/>
        <n v="214339.94999999998"/>
        <n v="152700.85"/>
        <n v="103227.24"/>
        <n v="8876.25"/>
        <n v="61678.950000000004"/>
        <n v="71701.919999999998"/>
        <n v="106472.86"/>
        <n v="168521.46000000002"/>
        <n v="34596.910000000003"/>
        <n v="4762.03"/>
        <n v="17554.32"/>
        <n v="13042.05"/>
        <n v="161132.04"/>
        <n v="64463.040000000001"/>
        <n v="103784.33"/>
        <n v="39898"/>
        <n v="33265.5"/>
        <n v="10611.599999999999"/>
        <n v="143323.19999999998"/>
        <n v="6289.64"/>
        <n v="103209.04"/>
        <n v="109265.28"/>
        <n v="45958.400000000001"/>
        <n v="55268.46"/>
        <n v="23573.699999999997"/>
        <n v="142257.24"/>
        <n v="5070"/>
        <n v="121229.54999999999"/>
        <n v="65688.320000000007"/>
        <n v="86389.38"/>
        <n v="37571.699999999997"/>
        <n v="56452.89"/>
        <n v="205601.06"/>
        <n v="35430.46"/>
        <n v="159082.19999999998"/>
        <n v="11660.88"/>
        <n v="15310.25"/>
        <n v="24827.759999999998"/>
        <n v="3022.38"/>
        <n v="165079.59000000003"/>
        <n v="6503.7"/>
        <n v="53000.12"/>
        <n v="3381.54"/>
        <n v="71079.98"/>
        <n v="7474.0499999999993"/>
        <n v="67132.399999999994"/>
        <n v="6389.7300000000005"/>
        <n v="136532.48000000001"/>
        <n v="16380.4"/>
        <n v="2117.34"/>
        <n v="22419.25"/>
        <n v="3865.4"/>
        <n v="28433.75"/>
        <n v="2313.63"/>
        <n v="63359.91"/>
        <n v="57060.079999999994"/>
        <n v="15973.56"/>
        <n v="49967.29"/>
        <n v="155855.91999999998"/>
        <n v="33257.1"/>
        <n v="48950.98"/>
        <n v="51163.560000000005"/>
        <n v="6844.95"/>
        <n v="40646.339999999997"/>
        <n v="29487.510000000002"/>
        <n v="18120.690000000002"/>
        <n v="16927"/>
        <n v="8436.9500000000007"/>
        <n v="149076.06"/>
        <n v="98670.3"/>
        <n v="135438.07"/>
        <n v="44048.549999999996"/>
        <n v="47838.84"/>
        <n v="143618.35"/>
        <n v="63022.429999999993"/>
        <n v="61206.400000000001"/>
        <n v="22415.68"/>
        <n v="2698.6"/>
        <n v="29270.2"/>
        <n v="7209.86"/>
        <n v="1331.78"/>
        <n v="72432.240000000005"/>
        <n v="47162.079999999994"/>
        <n v="83010.559999999998"/>
        <n v="55457.760000000002"/>
        <n v="67126.080000000002"/>
        <n v="75844.800000000003"/>
        <n v="173573.78999999998"/>
        <n v="26199.34"/>
        <n v="38978.21"/>
        <n v="32892.479999999996"/>
        <n v="641.67999999999995"/>
        <n v="13090.88"/>
        <n v="12111.54"/>
        <n v="16470.68"/>
        <n v="5165.3"/>
        <n v="97477.119999999995"/>
        <n v="13496.990000000002"/>
        <n v="56942.16"/>
        <n v="110677.43999999999"/>
        <n v="1421.88"/>
        <n v="126425.97"/>
        <n v="28541.81"/>
        <n v="109420.08"/>
        <n v="84363.520000000004"/>
        <n v="3223.07"/>
        <n v="185289.98"/>
        <n v="57547.840000000004"/>
        <n v="2663.22"/>
        <n v="29800.68"/>
        <n v="3870.82"/>
        <n v="105227.22"/>
        <n v="2122.56"/>
        <n v="9943.44"/>
        <n v="217056.84"/>
        <n v="27120.980000000003"/>
        <n v="52190.32"/>
        <n v="37967.490000000005"/>
        <n v="163329.20000000001"/>
        <n v="90991.87000000001"/>
        <n v="17411.46"/>
        <n v="211150.8"/>
        <n v="10205.61"/>
        <n v="7669.92"/>
        <n v="1173.57"/>
        <n v="102629.94"/>
        <n v="30765.15"/>
        <n v="64053.78"/>
        <n v="8789.16"/>
        <n v="24174.15"/>
        <n v="57456.800000000003"/>
        <n v="2784.3"/>
        <n v="114408.59999999999"/>
        <n v="72518.8"/>
        <n v="3290.42"/>
        <n v="71966.159999999989"/>
        <n v="18490.75"/>
        <n v="138810.23999999999"/>
        <n v="43643.5"/>
        <n v="89074.02"/>
        <n v="89990.400000000009"/>
        <n v="51191.25"/>
        <n v="46763.6"/>
        <n v="74840.17"/>
        <n v="57773.939999999995"/>
        <n v="102908.38"/>
        <n v="18605.82"/>
        <n v="59931.040000000001"/>
        <n v="5055.75"/>
        <n v="71284.399999999994"/>
        <n v="19103.599999999999"/>
        <n v="51617.200000000004"/>
        <n v="86302.260000000009"/>
        <n v="203567.87"/>
        <n v="62395.199999999997"/>
        <n v="39708.94"/>
        <n v="29482.240000000002"/>
        <n v="112784.1"/>
        <n v="56217.75"/>
        <n v="1456.82"/>
        <n v="51815.399999999994"/>
        <n v="163586.4"/>
        <n v="44283.06"/>
        <n v="54638.759999999995"/>
        <n v="110925.35999999999"/>
        <n v="2792.16"/>
        <n v="5668.6"/>
        <n v="91727.039999999994"/>
        <n v="91147.88"/>
        <n v="111212.16"/>
        <n v="40282.199999999997"/>
        <n v="85195.109999999986"/>
        <n v="5736.04"/>
        <n v="60.28"/>
        <n v="48258.36"/>
        <n v="62771.520000000004"/>
        <n v="97874.189999999988"/>
        <n v="1824.16"/>
        <n v="85468.86"/>
        <n v="50212.119999999995"/>
        <n v="4501.82"/>
        <n v="5337.4500000000007"/>
        <n v="34108.200000000004"/>
        <n v="18208.800000000003"/>
        <n v="172115.49000000002"/>
        <n v="18671.52"/>
        <n v="65595.200000000012"/>
        <n v="12127.439999999999"/>
        <n v="54204.959999999999"/>
        <n v="58636.2"/>
        <n v="15248.800000000001"/>
        <n v="105920.51999999999"/>
        <n v="12034.26"/>
        <n v="57550.170000000006"/>
        <n v="56240.639999999999"/>
        <n v="37053.840000000004"/>
        <n v="63052.219999999994"/>
        <n v="107460.74"/>
        <n v="26655.72"/>
        <n v="5320.7"/>
        <n v="15136.560000000001"/>
        <n v="138083.04"/>
        <n v="61402.95"/>
        <n v="145567.08000000002"/>
        <n v="28521.68"/>
        <n v="57785.56"/>
        <n v="7553.28"/>
        <n v="156153.96"/>
        <n v="63024.249999999993"/>
        <n v="48571.519999999997"/>
        <n v="44956.229999999996"/>
        <n v="98480.249999999985"/>
        <n v="179830.80000000002"/>
        <n v="22812.399999999998"/>
        <n v="10096.56"/>
        <n v="111944.96000000001"/>
        <n v="7404.87"/>
        <n v="60829.71"/>
        <n v="107242.56"/>
        <n v="61756.2"/>
        <n v="72924.639999999999"/>
        <n v="11032.9"/>
        <n v="2755.92"/>
        <n v="78211.98"/>
        <n v="129334.79999999999"/>
        <n v="22581.02"/>
        <n v="121934.28"/>
        <n v="35287.919999999998"/>
        <n v="31527.299999999996"/>
        <n v="27012.54"/>
        <n v="8531.880000000001"/>
        <n v="31426.400000000001"/>
        <n v="69949.22"/>
        <n v="218204.09999999998"/>
        <n v="52829.39"/>
        <n v="35835.1"/>
        <n v="20175.75"/>
        <n v="214595.52"/>
        <n v="137539.84"/>
        <n v="13417.2"/>
        <n v="97325.799999999988"/>
        <n v="39895.600000000006"/>
        <n v="162197.23000000001"/>
        <n v="142613.04"/>
        <n v="144689.16"/>
        <n v="169697.06"/>
        <n v="2105.25"/>
        <n v="51925.500000000007"/>
        <n v="55865.159999999996"/>
        <n v="40744.959999999999"/>
        <n v="6286"/>
        <n v="7060.2"/>
        <n v="51310.799999999996"/>
        <n v="189314.38"/>
        <n v="85648.86"/>
        <n v="84289"/>
        <n v="45944.85"/>
        <n v="65466.829999999994"/>
        <n v="105598.64"/>
        <n v="56285.789999999994"/>
        <n v="50723.740000000005"/>
        <n v="12195.52"/>
        <n v="11775.36"/>
        <n v="119354"/>
        <n v="53740.959999999999"/>
        <n v="85974.799999999988"/>
        <n v="82072.549999999988"/>
        <n v="19660.7"/>
        <n v="42633.54"/>
        <n v="40950.61"/>
        <n v="12119.400000000001"/>
        <n v="116520.5"/>
        <n v="53451.44"/>
        <n v="100621.18"/>
        <n v="9812.34"/>
        <n v="149668.20000000001"/>
        <n v="20468.05"/>
        <n v="101526.75"/>
        <n v="87817.25"/>
        <n v="12554.48"/>
        <n v="332.62"/>
        <n v="34962.199999999997"/>
        <n v="147458.51999999999"/>
        <n v="12822.96"/>
        <n v="3487.68"/>
        <n v="8156.2800000000007"/>
        <n v="140122.71"/>
        <n v="228670.51"/>
        <n v="117988.08"/>
        <n v="27447.199999999997"/>
        <n v="126245.41"/>
        <n v="96129.54"/>
        <n v="40482.400000000001"/>
        <n v="100980.59999999999"/>
        <n v="14585.4"/>
        <n v="215805.32"/>
        <n v="5376.15"/>
        <n v="2258.44"/>
        <n v="158611.84"/>
        <n v="1702.82"/>
        <n v="22245.86"/>
        <n v="6347.38"/>
        <n v="5036.4299999999994"/>
        <n v="72351.8"/>
        <n v="15566.52"/>
        <n v="24387.84"/>
        <n v="92156.49"/>
        <n v="127627.20000000001"/>
        <n v="96806.819999999992"/>
        <n v="10304.25"/>
        <n v="132227.9"/>
        <n v="18254.45"/>
        <n v="117574.20000000001"/>
        <n v="43460.56"/>
        <n v="24428.16"/>
        <n v="94831.8"/>
        <n v="90590.399999999994"/>
        <n v="13362.2"/>
        <n v="23858.55"/>
        <n v="23087.22"/>
        <n v="4216.4799999999996"/>
        <n v="94841.920000000013"/>
        <n v="103730.5"/>
        <n v="39314.43"/>
        <n v="223836.30000000002"/>
        <n v="207882.21000000002"/>
        <n v="29011.579999999998"/>
        <n v="17407"/>
        <n v="92401.76"/>
        <n v="100584.96000000001"/>
        <n v="162166.92000000001"/>
        <n v="201190.94999999998"/>
        <n v="76177.42"/>
        <n v="62556.4"/>
        <n v="66207.78"/>
        <n v="12510.24"/>
        <n v="30465.84"/>
        <n v="130945.5"/>
        <n v="11262.94"/>
        <n v="124249.92"/>
        <n v="45482.84"/>
        <n v="38557.660000000003"/>
        <n v="130340.31"/>
        <n v="21391.63"/>
        <n v="109077.36"/>
        <n v="3603.78"/>
        <n v="66378.399999999994"/>
        <n v="77054.69"/>
        <n v="162264.95999999999"/>
        <n v="97939.920000000013"/>
        <n v="57048.240000000005"/>
        <n v="23020.5"/>
        <n v="4491.28"/>
        <n v="30636.899999999998"/>
        <n v="2347.5099999999998"/>
        <n v="124071.73999999999"/>
        <n v="45741.78"/>
        <n v="106790.13"/>
        <n v="42725.43"/>
        <n v="42854.879999999997"/>
        <n v="106252.38"/>
        <n v="12383.57"/>
        <n v="46430.11"/>
        <n v="735"/>
        <n v="212044.36"/>
        <n v="185501.94"/>
        <n v="56364.7"/>
        <n v="45365.039999999994"/>
        <n v="105865.48"/>
        <n v="1304.23"/>
        <n v="156822.05000000002"/>
        <n v="115638"/>
        <n v="14290.8"/>
        <n v="196076.01"/>
        <n v="17446.52"/>
        <n v="50188.38"/>
        <n v="181103.13"/>
        <n v="3475.32"/>
        <n v="1537.5"/>
        <n v="59045.520000000004"/>
        <n v="117919.88"/>
        <n v="12329.1"/>
        <n v="191981.92"/>
        <n v="27793.56"/>
        <n v="57269.979999999996"/>
        <n v="162792.6"/>
        <n v="47081"/>
        <n v="113739.12"/>
        <n v="17085.28"/>
        <n v="40140.49"/>
        <n v="28857"/>
        <n v="11004.24"/>
        <n v="37792.479999999996"/>
        <n v="31732.16"/>
        <n v="128790.62000000001"/>
        <n v="16602.95"/>
        <n v="18475.439999999999"/>
        <n v="45106.82"/>
        <n v="47925.64"/>
        <n v="118661.37999999999"/>
        <n v="59758.14"/>
        <n v="116578.79999999999"/>
        <n v="13357.25"/>
        <n v="60094.719999999994"/>
        <n v="98436.459999999992"/>
        <n v="173031.91"/>
        <n v="109410.34"/>
        <n v="68691.5"/>
        <n v="13907.82"/>
        <n v="23225.600000000002"/>
        <n v="28591.859999999997"/>
        <n v="24006.240000000002"/>
        <n v="26056.799999999999"/>
        <n v="16597"/>
        <n v="39571"/>
        <n v="9621.9000000000015"/>
        <n v="3849.16"/>
        <n v="9497.9000000000015"/>
        <n v="2707.14"/>
        <n v="34933.919999999998"/>
        <n v="118545.68"/>
        <n v="22377.899999999998"/>
        <n v="62427.719999999994"/>
        <n v="78374.7"/>
        <n v="14369.25"/>
        <n v="3857.56"/>
        <n v="59043.499999999993"/>
        <n v="130871.24"/>
        <n v="49142.939999999995"/>
        <n v="33014.68"/>
        <n v="168752.68"/>
        <n v="32461.51"/>
        <n v="28922.000000000004"/>
        <n v="180290.46"/>
        <n v="28662.76"/>
        <n v="49925.04"/>
        <n v="42019.41"/>
        <n v="20301.48"/>
        <n v="21441.91"/>
        <n v="118428.09"/>
        <n v="5368.0999999999995"/>
        <n v="22739.1"/>
        <n v="32938.22"/>
        <n v="228793.44"/>
        <n v="46918.22"/>
        <n v="84762.72"/>
        <n v="79090.439999999988"/>
        <n v="4384.6400000000003"/>
        <n v="61317.52"/>
        <n v="2323.2199999999998"/>
        <n v="3418.72"/>
        <n v="30262.38"/>
        <n v="6451.28"/>
        <n v="170591.75"/>
        <n v="88888.28"/>
        <n v="6131.2"/>
        <n v="2315.83"/>
        <n v="3661.14"/>
        <n v="134874.59999999998"/>
        <n v="42123.15"/>
        <n v="171501.05"/>
        <n v="34794.720000000001"/>
        <n v="21866.639999999999"/>
        <n v="5294.7300000000005"/>
        <n v="105084"/>
        <n v="196397.77000000002"/>
        <n v="25053.03"/>
        <n v="2715.52"/>
        <n v="56520.94"/>
        <n v="7742.5199999999995"/>
        <n v="58739.520000000004"/>
        <n v="98904.209999999992"/>
        <n v="19554.400000000001"/>
        <n v="16296.35"/>
        <n v="181495.67"/>
        <n v="98250.47"/>
        <n v="19772.12"/>
        <n v="64909.84"/>
        <n v="6047.2400000000007"/>
        <n v="143716.17000000001"/>
        <n v="126363.84"/>
      </sharedItems>
    </cacheField>
    <cacheField name="Gross_sales" numFmtId="0">
      <sharedItems containsSemiMixedTypes="0" containsString="0" containsNumber="1" minValue="211.18" maxValue="252147.36" count="1000">
        <n v="4809.9600000000009"/>
        <n v="71560.479999999996"/>
        <n v="11142"/>
        <n v="174242.25"/>
        <n v="9005.23"/>
        <n v="35408.32"/>
        <n v="76098.61"/>
        <n v="182373.9"/>
        <n v="32863.499999999702"/>
        <n v="48282.12"/>
        <n v="32728.799999999999"/>
        <n v="48909.920000000006"/>
        <n v="13462.890000000001"/>
        <n v="128119.49999999999"/>
        <n v="60261.599999999999"/>
        <n v="23407.199999999997"/>
        <n v="75142.549999999988"/>
        <n v="201374"/>
        <n v="60975.179999999993"/>
        <n v="41851.5"/>
        <n v="39952.080000000002"/>
        <n v="50744.2"/>
        <n v="188187.56"/>
        <n v="75695.490000000005"/>
        <n v="77289.2"/>
        <n v="113239.5"/>
        <n v="35781.24"/>
        <n v="23030.55"/>
        <n v="202784.31999999954"/>
        <n v="3317.75"/>
        <n v="105889.51999999999"/>
        <n v="131758.20000000001"/>
        <n v="8955.5399999999991"/>
        <n v="76114.100000000006"/>
        <n v="70761.440000000002"/>
        <n v="13951.710000000001"/>
        <n v="42586.879999999997"/>
        <n v="73326.899999999994"/>
        <n v="18540"/>
        <n v="47097.93"/>
        <n v="232502.40000000002"/>
        <n v="51952.880000000005"/>
        <n v="30707.360000000001"/>
        <n v="35342.32"/>
        <n v="23048.82"/>
        <n v="44683.92"/>
        <n v="2637.91"/>
        <n v="192170.00999999998"/>
        <n v="120298.79999999999"/>
        <n v="151205.88"/>
        <n v="27709.77"/>
        <n v="108357.59999999961"/>
        <n v="180040.13999999998"/>
        <n v="103529.45999999999"/>
        <n v="54468.170000000006"/>
        <n v="86687.7"/>
        <n v="100872.95999999969"/>
        <n v="117770.16"/>
        <n v="91595.7"/>
        <n v="79071.509999999995"/>
        <n v="189279.19999999998"/>
        <n v="103232.51"/>
        <n v="19241.88"/>
        <n v="76004.72"/>
        <n v="192866.71999999997"/>
        <n v="120500.86"/>
        <n v="208084.50000000003"/>
        <n v="29257.84"/>
        <n v="118048.84"/>
        <n v="70042.559999999517"/>
        <n v="83453.3"/>
        <n v="53727.19"/>
        <n v="86382.48"/>
        <n v="154183.4"/>
        <n v="105844.62000000001"/>
        <n v="5955.04"/>
        <n v="117172.8"/>
        <n v="73045.69"/>
        <n v="153318.75"/>
        <n v="29216.600000000002"/>
        <n v="48275.41"/>
        <n v="16457.82"/>
        <n v="41435.769999999997"/>
        <n v="107803.72"/>
        <n v="60729.479999999996"/>
        <n v="2378.6999999999998"/>
        <n v="96026"/>
        <n v="31855.15"/>
        <n v="11642.039999999961"/>
        <n v="100687.84000000001"/>
        <n v="104068.38"/>
        <n v="105209.86"/>
        <n v="22833.86"/>
        <n v="42023.88"/>
        <n v="37477.049999999996"/>
        <n v="47759.360000000001"/>
        <n v="50653.88"/>
        <n v="59243.770000000004"/>
        <n v="169929.72000000003"/>
        <n v="107578.35999999999"/>
        <n v="32600.769999999997"/>
        <n v="150664.5"/>
        <n v="84192.42"/>
        <n v="42701.2"/>
        <n v="87032.400000000009"/>
        <n v="3027.74"/>
        <n v="157328.22"/>
        <n v="22931.64"/>
        <n v="119334.72"/>
        <n v="75030"/>
        <n v="30299.609999999997"/>
        <n v="58274.639999999883"/>
        <n v="29834.16"/>
        <n v="41746.800000000003"/>
        <n v="48651.68"/>
        <n v="5901.16"/>
        <n v="176413.48"/>
        <n v="41273.759999999995"/>
        <n v="11590.83"/>
        <n v="24800.04"/>
        <n v="145542.07999999999"/>
        <n v="54357.760000000002"/>
        <n v="9629.16"/>
        <n v="54446.54"/>
        <n v="66385.200000000012"/>
        <n v="22522.639999999999"/>
        <n v="197185.05000000002"/>
        <n v="17335"/>
        <n v="85740.18"/>
        <n v="11196"/>
        <n v="32826.239999999998"/>
        <n v="140673.54"/>
        <n v="38462.400000000001"/>
        <n v="32850.74"/>
        <n v="101765.59999999999"/>
        <n v="127694.79999999999"/>
        <n v="19555.599999999999"/>
        <n v="47576.569999999811"/>
        <n v="4877.1299999999701"/>
        <n v="90015.12"/>
        <n v="22274.850000000002"/>
        <n v="13087.32"/>
        <n v="134738.91"/>
        <n v="69136.639999999999"/>
        <n v="155995.41999999998"/>
        <n v="28063.200000000001"/>
        <n v="113566.6"/>
        <n v="8205.36"/>
        <n v="161817.57"/>
        <n v="120903.64"/>
        <n v="12419.42"/>
        <n v="34451"/>
        <n v="67775.600000000006"/>
        <n v="69173.19"/>
        <n v="82708.62"/>
        <n v="71311.600000000006"/>
        <n v="32917.08"/>
        <n v="78225.3"/>
        <n v="4805.5600000000004"/>
        <n v="23741.06"/>
        <n v="147869.28"/>
        <n v="130277.75999999999"/>
        <n v="211.18"/>
        <n v="49573"/>
        <n v="1829.54"/>
        <n v="90837.5999999997"/>
        <n v="6559.26"/>
        <n v="67215.75"/>
        <n v="111161.25"/>
        <n v="32994.799999999799"/>
        <n v="249312"/>
        <n v="70087.819999999992"/>
        <n v="67052.789999999994"/>
        <n v="128381.87999999967"/>
        <n v="131097.72"/>
        <n v="43010.400000000001"/>
        <n v="108887.06000000001"/>
        <n v="11985.599999999999"/>
        <n v="13954.560000000001"/>
        <n v="50693.5"/>
        <n v="46057.619999999995"/>
        <n v="53807.040000000001"/>
        <n v="4956.05"/>
        <n v="23041.439999999999"/>
        <n v="227636.36000000002"/>
        <n v="202688.24000000002"/>
        <n v="121029.59999999999"/>
        <n v="168211.12"/>
        <n v="209732.8"/>
        <n v="59746.41"/>
        <n v="8136.5999999999603"/>
        <n v="136255.77000000002"/>
        <n v="54242.819999999992"/>
        <n v="59816.39999999979"/>
        <n v="28131.599999999722"/>
        <n v="33967.15"/>
        <n v="95291.24"/>
        <n v="130338"/>
        <n v="47707.75"/>
        <n v="3815.9700000000003"/>
        <n v="129243.2"/>
        <n v="30547.9"/>
        <n v="34560.749999999753"/>
        <n v="211460.48000000001"/>
        <n v="6337.68"/>
        <n v="24159.300000000003"/>
        <n v="18572.599999999999"/>
        <n v="69630.75"/>
        <n v="154376.94999999963"/>
        <n v="170139.6"/>
        <n v="162282.42000000001"/>
        <n v="32116.050000000003"/>
        <n v="4284.55"/>
        <n v="16543.89"/>
        <n v="146353.91999999998"/>
        <n v="8035.82"/>
        <n v="4528.7699999999904"/>
        <n v="157832.80000000002"/>
        <n v="143528.4"/>
        <n v="42484.86"/>
        <n v="44137.52"/>
        <n v="81139.08"/>
        <n v="47469"/>
        <n v="54184.649999999994"/>
        <n v="14499.940000000002"/>
        <n v="37879.14"/>
        <n v="33416.480000000003"/>
        <n v="15949.64"/>
        <n v="128453.7"/>
        <n v="40932.81"/>
        <n v="112697.13"/>
        <n v="21238.100000000002"/>
        <n v="20402.97"/>
        <n v="173716.69999999998"/>
        <n v="127164.42"/>
        <n v="151304.7999999997"/>
        <n v="83435"/>
        <n v="10356.36"/>
        <n v="865.76"/>
        <n v="80331.240000000005"/>
        <n v="44456.4"/>
        <n v="70545.679999999629"/>
        <n v="118863.94"/>
        <n v="404.69"/>
        <n v="1709.71"/>
        <n v="99283.8"/>
        <n v="62280.960000000006"/>
        <n v="17407.949999999979"/>
        <n v="58442.85"/>
        <n v="72457.570000000007"/>
        <n v="33226.6"/>
        <n v="157803.36000000002"/>
        <n v="78919.400000000009"/>
        <n v="133134.75"/>
        <n v="71428.479999999996"/>
        <n v="33335.599999999999"/>
        <n v="197928.75"/>
        <n v="12997.18"/>
        <n v="11503.22"/>
        <n v="124030.92"/>
        <n v="31690.1"/>
        <n v="31293.09"/>
        <n v="155684.48000000001"/>
        <n v="78970.950000000012"/>
        <n v="222026.87999999954"/>
        <n v="26359.059999999998"/>
        <n v="204821.99999999956"/>
        <n v="4452"/>
        <n v="23963.449999999997"/>
        <n v="147130.53999999998"/>
        <n v="10553.34"/>
        <n v="82267.859999999535"/>
        <n v="28874.719999999921"/>
        <n v="27489"/>
        <n v="34746.840000000004"/>
        <n v="24473.41"/>
        <n v="120896.72000000002"/>
        <n v="76053.849999999991"/>
        <n v="142873.84999999966"/>
        <n v="24616.32"/>
        <n v="12411.7"/>
        <n v="96411.04"/>
        <n v="35076.160000000003"/>
        <n v="36058.94"/>
        <n v="107342.24999999999"/>
        <n v="77835.179999999993"/>
        <n v="128814.14000000001"/>
        <n v="126586.51"/>
        <n v="20482.399999999998"/>
        <n v="59570.42"/>
        <n v="46074"/>
        <n v="13856.579999999998"/>
        <n v="24495.72"/>
        <n v="57952.44"/>
        <n v="20070.32"/>
        <n v="25986.03"/>
        <n v="13422.64"/>
        <n v="32780.579999999994"/>
        <n v="41634.839999999997"/>
        <n v="33062.400000000001"/>
        <n v="87288.08"/>
        <n v="50832.599999999853"/>
        <n v="36699.64"/>
        <n v="139592.19"/>
        <n v="220627.87"/>
        <n v="58082.64"/>
        <n v="74254.25"/>
        <n v="85633.589999999836"/>
        <n v="162580.95000000001"/>
        <n v="61085"/>
        <n v="55497.200000000004"/>
        <n v="53487"/>
        <n v="93888.55"/>
        <n v="150614.39999999999"/>
        <n v="177285.59999999998"/>
        <n v="75590.680000000008"/>
        <n v="43035.600000000006"/>
        <n v="41515.440000000002"/>
        <n v="19704.02"/>
        <n v="4427.0799999999936"/>
        <n v="94112.37999999999"/>
        <n v="808.69"/>
        <n v="46241.3"/>
        <n v="102184"/>
        <n v="42125.759999999646"/>
        <n v="9524.9700000000012"/>
        <n v="10125"/>
        <n v="20142.64"/>
        <n v="108690.09000000001"/>
        <n v="31923.360000000001"/>
        <n v="63188.25"/>
        <n v="218146.27"/>
        <n v="15574.4"/>
        <n v="120062.39999999999"/>
        <n v="74129.600000000006"/>
        <n v="107591.39999999973"/>
        <n v="2673.92"/>
        <n v="9707.9599999999991"/>
        <n v="203998.95"/>
        <n v="52076.700000000004"/>
        <n v="20021.68"/>
        <n v="131724.16"/>
        <n v="183955.94999999998"/>
        <n v="2451.2800000000002"/>
        <n v="85761.810000000012"/>
        <n v="3070.92"/>
        <n v="30543.919999999998"/>
        <n v="45384.479999999996"/>
        <n v="25664.25"/>
        <n v="196605.03"/>
        <n v="77585.560000000012"/>
        <n v="33573.869999999995"/>
        <n v="89675.43"/>
        <n v="84074.4"/>
        <n v="6511.0599999999804"/>
        <n v="9535.2000000000007"/>
        <n v="16759.399999999998"/>
        <n v="62519.600000000006"/>
        <n v="146094"/>
        <n v="217819.97999999998"/>
        <n v="79928.800000000003"/>
        <n v="92628.549999999654"/>
        <n v="52365.599999999999"/>
        <n v="22822.3"/>
        <n v="170031.37999999963"/>
        <n v="21240.720000000001"/>
        <n v="25252.3"/>
        <n v="60045.08"/>
        <n v="198432.77999999962"/>
        <n v="150841"/>
        <n v="180569.9"/>
        <n v="81658.350000000006"/>
        <n v="4177.26"/>
        <n v="11927.4"/>
        <n v="46766.1"/>
        <n v="4065"/>
        <n v="130717.28"/>
        <n v="97570.44"/>
        <n v="14221.4"/>
        <n v="98126.430000000008"/>
        <n v="20751.98"/>
        <n v="29699.699999999997"/>
        <n v="37637.440000000002"/>
        <n v="100053.66"/>
        <n v="44709.659999999996"/>
        <n v="63916.649999999994"/>
        <n v="23808"/>
        <n v="73844.479999999996"/>
        <n v="28947.78"/>
        <n v="43455.76"/>
        <n v="32634.899999999998"/>
        <n v="102441.4"/>
        <n v="29992.68"/>
        <n v="25611.839999999953"/>
        <n v="3886.1099999999997"/>
        <n v="85979.46"/>
        <n v="22897.050000000003"/>
        <n v="74267.45"/>
        <n v="23232.539999999997"/>
        <n v="153141.12"/>
        <n v="20178.96"/>
        <n v="2193"/>
        <n v="31719.11"/>
        <n v="100099.86"/>
        <n v="32246.609999999811"/>
        <n v="17049.649999999998"/>
        <n v="108304"/>
        <n v="102444.76"/>
        <n v="24368.22"/>
        <n v="111343.04999999965"/>
        <n v="79960.759999999995"/>
        <n v="1535.57"/>
        <n v="69042.8"/>
        <n v="55726.879999999997"/>
        <n v="40864.799999999952"/>
        <n v="16670.38999999989"/>
        <n v="23154.17"/>
        <n v="194998.86"/>
        <n v="4748.67"/>
        <n v="15020.550000000001"/>
        <n v="25049.399999999998"/>
        <n v="86068.76"/>
        <n v="11635.82"/>
        <n v="158570.61000000002"/>
        <n v="79758.720000000001"/>
        <n v="165894.88999999952"/>
        <n v="140670.59"/>
        <n v="2847.5099999999998"/>
        <n v="45639.82"/>
        <n v="42402.299999999996"/>
        <n v="8464.1200000000008"/>
        <n v="80041.94"/>
        <n v="15726.35"/>
        <n v="84861.319999999992"/>
        <n v="109507.13999999978"/>
        <n v="26468.399999999998"/>
        <n v="105316.24999999999"/>
        <n v="77442.12"/>
        <n v="139413.59999999998"/>
        <n v="76663.799999999552"/>
        <n v="130322.39999999953"/>
        <n v="218956.08000000002"/>
        <n v="65404.75"/>
        <n v="20440.400000000001"/>
        <n v="39156.319999999861"/>
        <n v="155519.27999999959"/>
        <n v="103997.26"/>
        <n v="142567.19999999998"/>
        <n v="73506.03"/>
        <n v="71264"/>
        <n v="55265"/>
        <n v="127111.25"/>
        <n v="210800.16"/>
        <n v="176277.76000000001"/>
        <n v="21911.8999999999"/>
        <n v="37093.699999999997"/>
        <n v="5944.18"/>
        <n v="45578.61"/>
        <n v="101197.95"/>
        <n v="29070.3"/>
        <n v="24177.34"/>
        <n v="20758.5"/>
        <n v="30511.46"/>
        <n v="34744.94"/>
        <n v="4146.6400000000003"/>
        <n v="35661"/>
        <n v="184058.7"/>
        <n v="67002.84"/>
        <n v="39221.599999999999"/>
        <n v="20132.8"/>
        <n v="143367.14000000001"/>
        <n v="68813.819999999992"/>
        <n v="185046.75"/>
        <n v="39731.9"/>
        <n v="7792.48"/>
        <n v="4424.9400000000005"/>
        <n v="97583.200000000012"/>
        <n v="195131.41999999998"/>
        <n v="16945.379999999954"/>
        <n v="127591.37"/>
        <n v="93073.919999999998"/>
        <n v="14715.96"/>
        <n v="29721.600000000002"/>
        <n v="20004.27"/>
        <n v="7484.88"/>
        <n v="140517.78"/>
        <n v="5808.12"/>
        <n v="18686.72"/>
        <n v="134120.87999999998"/>
        <n v="96460.47"/>
        <n v="64854.299999999996"/>
        <n v="6430.96"/>
        <n v="5455.3099999999931"/>
        <n v="23427.62"/>
        <n v="52370.54"/>
        <n v="97625.200000000012"/>
        <n v="60436.799999999996"/>
        <n v="32559.8"/>
        <n v="64733.920000000006"/>
        <n v="54164.55"/>
        <n v="10620.07"/>
        <n v="121907.88"/>
        <n v="62032.11"/>
        <n v="34060.159999999923"/>
        <n v="25955.100000000002"/>
        <n v="34019.43999999974"/>
        <n v="44169.599999999999"/>
        <n v="174722.76"/>
        <n v="122150.28"/>
        <n v="84334.60999999971"/>
        <n v="233903.96000000002"/>
        <n v="8403"/>
        <n v="178469.5"/>
        <n v="14330.399999999969"/>
        <n v="65882.349999999991"/>
        <n v="75888.479999999996"/>
        <n v="21204.539999999997"/>
        <n v="24389.699999999997"/>
        <n v="14007.56"/>
        <n v="230395.94999999998"/>
        <n v="159597.65"/>
        <n v="104607.35"/>
        <n v="9532.92"/>
        <n v="65080.05"/>
        <n v="83857.319999999992"/>
        <n v="114206.70999999999"/>
        <n v="184367.08"/>
        <n v="42900.480000000003"/>
        <n v="6404.84"/>
        <n v="38120.46"/>
        <n v="17227.769999999979"/>
        <n v="166347.56"/>
        <n v="70309.62"/>
        <n v="105415.58"/>
        <n v="41330"/>
        <n v="38592.249999999753"/>
        <n v="12913.199999999999"/>
        <n v="159564.59999999966"/>
        <n v="6961.16"/>
        <n v="104563.36"/>
        <n v="120122.56"/>
        <n v="51100.160000000003"/>
        <n v="62555.22"/>
        <n v="25645.55"/>
        <n v="157932.36000000002"/>
        <n v="11457.599999999969"/>
        <n v="137067.29999999955"/>
        <n v="68375.679999999993"/>
        <n v="97881.79"/>
        <n v="40832.639999999999"/>
        <n v="56647.369999999995"/>
        <n v="209166.62"/>
        <n v="46745.68"/>
        <n v="167323.32"/>
        <n v="16705.039999999979"/>
        <n v="37774.370000000003"/>
        <n v="41410.080000000002"/>
        <n v="4484.79"/>
        <n v="169464.75"/>
        <n v="14593.14"/>
        <n v="70250.22"/>
        <n v="5033.82"/>
        <n v="86045.72"/>
        <n v="9512.4"/>
        <n v="75180.199999999808"/>
        <n v="9267.39"/>
        <n v="144747.51999999999"/>
        <n v="16538.2"/>
        <n v="10375.920000000002"/>
        <n v="23977.1"/>
        <n v="5953.8"/>
        <n v="35497.740000000005"/>
        <n v="6075.19"/>
        <n v="73262.22"/>
        <n v="65021.219999999783"/>
        <n v="17153.2"/>
        <n v="63725.18"/>
        <n v="157453.56"/>
        <n v="35367.14"/>
        <n v="50187.28"/>
        <n v="65787.12"/>
        <n v="9782.0099999999111"/>
        <n v="59424.960000000006"/>
        <n v="40929.919999999998"/>
        <n v="19934.32"/>
        <n v="18911"/>
        <n v="11104.36"/>
        <n v="166642.97999999957"/>
        <n v="105244.2"/>
        <n v="145602.35"/>
        <n v="56871.149999999652"/>
        <n v="54570.18"/>
        <n v="146062.69999999998"/>
        <n v="67336.38"/>
        <n v="70044.5"/>
        <n v="36048.639999999999"/>
        <n v="3153.38"/>
        <n v="33872.1"/>
        <n v="7661.42"/>
        <n v="1889.58"/>
        <n v="82036.56"/>
        <n v="52188.979999999829"/>
        <n v="98386.880000000005"/>
        <n v="60794.720000000001"/>
        <n v="71384.160000000003"/>
        <n v="76836.56"/>
        <n v="181870.2599999996"/>
        <n v="31054.87"/>
        <n v="55170.720000000001"/>
        <n v="35581.919999999998"/>
        <n v="752.24"/>
        <n v="14222.339999999891"/>
        <n v="13614.09"/>
        <n v="17120.240000000002"/>
        <n v="8274"/>
        <n v="107609.58"/>
        <n v="30899.680000000004"/>
        <n v="61750.559999999998"/>
        <n v="115079.75"/>
        <n v="8984.33"/>
        <n v="128976.20999999999"/>
        <n v="30464.720000000001"/>
        <n v="117750.36"/>
        <n v="86296.960000000006"/>
        <n v="3590.83"/>
        <n v="194678.23"/>
        <n v="68589.919999999998"/>
        <n v="13227.06"/>
        <n v="30491.09"/>
        <n v="4610.88"/>
        <n v="110836.32"/>
        <n v="8134.5599999999995"/>
        <n v="10131.48"/>
        <n v="230817.84"/>
        <n v="33510.11"/>
        <n v="57274.619999999995"/>
        <n v="43221.86"/>
        <n v="180862.8"/>
        <n v="106338.14"/>
        <n v="21368.05"/>
        <n v="217166.4"/>
        <n v="11201.130000000001"/>
        <n v="8955.36"/>
        <n v="1415.25"/>
        <n v="123619.02"/>
        <n v="39269.07"/>
        <n v="74891.600000000006"/>
        <n v="9091.56"/>
        <n v="39164.229999999996"/>
        <n v="58005.599999999999"/>
        <n v="2897.08"/>
        <n v="115191.59999999999"/>
        <n v="77610.600000000006"/>
        <n v="14853.82"/>
        <n v="73103.519999999728"/>
        <n v="27575.75"/>
        <n v="142742.72"/>
        <n v="47101"/>
        <n v="109701.48"/>
        <n v="103936"/>
        <n v="65802.33"/>
        <n v="52933.659999999873"/>
        <n v="85029.08"/>
        <n v="72647.820000000007"/>
        <n v="122999"/>
        <n v="25441.200000000001"/>
        <n v="62140.32"/>
        <n v="26378.1"/>
        <n v="79333.979999999778"/>
        <n v="21456.399999999998"/>
        <n v="61509.35"/>
        <n v="97109.28"/>
        <n v="214968.33000000002"/>
        <n v="67650.880000000005"/>
        <n v="52606.84"/>
        <n v="39555.199999999997"/>
        <n v="119924.73999999999"/>
        <n v="65650.5"/>
        <n v="2189.84"/>
        <n v="55639.08"/>
        <n v="171038.4"/>
        <n v="46162.71"/>
        <n v="60464.88"/>
        <n v="112617.17999999975"/>
        <n v="4066.29"/>
        <n v="8181.4"/>
        <n v="105167.03999999999"/>
        <n v="94214.68"/>
        <n v="118206.24"/>
        <n v="41127"/>
        <n v="99076.379999999612"/>
        <n v="5989.48"/>
        <n v="260.73"/>
        <n v="56445.120000000003"/>
        <n v="73493.279999999999"/>
        <n v="103586.04"/>
        <n v="1986.48"/>
        <n v="93743.069999999992"/>
        <n v="56958.02"/>
        <n v="5117.3599999999997"/>
        <n v="19601.39"/>
        <n v="40440.300000000003"/>
        <n v="18540.239999999998"/>
        <n v="184422.43000000002"/>
        <n v="22886.080000000002"/>
        <n v="71279.399999999994"/>
        <n v="17855.759999999998"/>
        <n v="58547.759999999995"/>
        <n v="68345.549999999799"/>
        <n v="16361.400000000001"/>
        <n v="126082.78"/>
        <n v="12383.14"/>
        <n v="59567.78"/>
        <n v="63958.86"/>
        <n v="44709.120000000003"/>
        <n v="68318.319999999861"/>
        <n v="111289.48"/>
        <n v="29933.760000000002"/>
        <n v="13487.980000000001"/>
        <n v="17040.84"/>
        <n v="146763.72"/>
        <n v="83016"/>
        <n v="157854.6"/>
        <n v="38527.279999999999"/>
        <n v="62931.82"/>
        <n v="13479.36"/>
        <n v="157925.51999999999"/>
        <n v="67677.749999999753"/>
        <n v="62350.720000000001"/>
        <n v="49047.57"/>
        <n v="101477.24999999956"/>
        <n v="185943.24"/>
        <n v="25172.599999999802"/>
        <n v="18437.579999999998"/>
        <n v="128486.35999999999"/>
        <n v="8169.39"/>
        <n v="61751.09"/>
        <n v="118767.03999999999"/>
        <n v="75952.349999999991"/>
        <n v="80693.759999999995"/>
        <n v="12452.349999999999"/>
        <n v="3455.24"/>
        <n v="83762.7"/>
        <n v="148928.4"/>
        <n v="27498.100000000002"/>
        <n v="135165.81"/>
        <n v="39253.75"/>
        <n v="36768.479999999865"/>
        <n v="29278.32"/>
        <n v="10517.52"/>
        <n v="35378.720000000001"/>
        <n v="72573.339999999836"/>
        <n v="224358.75"/>
        <n v="53351.259999999995"/>
        <n v="37931.599999999999"/>
        <n v="22145.899999999998"/>
        <n v="215091.4"/>
        <n v="142300.79999999999"/>
        <n v="20045.55"/>
        <n v="110564.95999999957"/>
        <n v="45129.05"/>
        <n v="170710.88"/>
        <n v="158662.13"/>
        <n v="149224.24"/>
        <n v="183677.52"/>
        <n v="2441.15"/>
        <n v="66840.3"/>
        <n v="60648.479999999996"/>
        <n v="49399.4"/>
        <n v="17461.199999999997"/>
        <n v="10303.300000000001"/>
        <n v="52706.1"/>
        <n v="203162.1"/>
        <n v="101740.98"/>
        <n v="97140.05"/>
        <n v="47323.85"/>
        <n v="68770.779999999839"/>
        <n v="118577.76000000001"/>
        <n v="61159.099999999809"/>
        <n v="66107.51999999999"/>
        <n v="22710.43"/>
        <n v="25796.48"/>
        <n v="129589.59999999999"/>
        <n v="56658.81"/>
        <n v="89503.799999999988"/>
        <n v="94753.75"/>
        <n v="20413.799999999952"/>
        <n v="43825.5"/>
        <n v="46302.849999999715"/>
        <n v="12700.439999999999"/>
        <n v="125285.74999999975"/>
        <n v="63122.200000000004"/>
        <n v="106046.59999999979"/>
        <n v="10214.86"/>
        <n v="170163"/>
        <n v="20589.400000000001"/>
        <n v="111971.96999999999"/>
        <n v="99115.75"/>
        <n v="14384.16"/>
        <n v="612.46"/>
        <n v="44418"/>
        <n v="152475.4"/>
        <n v="18914.97"/>
        <n v="11251.2"/>
        <n v="9658.99"/>
        <n v="156156"/>
        <n v="249858.11000000002"/>
        <n v="127423.67999999999"/>
        <n v="28610.23"/>
        <n v="127768.20000000001"/>
        <n v="104102.96"/>
        <n v="41090.080000000002"/>
        <n v="112869.39999999966"/>
        <n v="19983.599999999999"/>
        <n v="231204.74"/>
        <n v="6273.6900000000005"/>
        <n v="2475.56"/>
        <n v="163708.04999999952"/>
        <n v="1862.61"/>
        <n v="26785.03"/>
        <n v="7006.22"/>
        <n v="16402.98"/>
        <n v="80070"/>
        <n v="18486.239999999998"/>
        <n v="25588.32"/>
        <n v="93456.85"/>
        <n v="136236.96"/>
        <n v="109155.75"/>
        <n v="10978.26"/>
        <n v="146603.1"/>
        <n v="19650.3"/>
        <n v="130145.4"/>
        <n v="64336.36"/>
        <n v="24955.68"/>
        <n v="99504.599999999991"/>
        <n v="104484.15"/>
        <n v="16069.8"/>
        <n v="25743.779999999912"/>
        <n v="36427.56"/>
        <n v="4700.8799999999601"/>
        <n v="100636.34999999999"/>
        <n v="117097"/>
        <n v="40781.609999999731"/>
        <n v="235256.85"/>
        <n v="213855.34"/>
        <n v="33755.929999999869"/>
        <n v="18744.440000000002"/>
        <n v="102240.15999999999"/>
        <n v="106777.44"/>
        <n v="167196.86000000002"/>
        <n v="211299.3"/>
        <n v="80803.58"/>
        <n v="72023.710000000006"/>
        <n v="71849.449999999808"/>
        <n v="14633.279999999921"/>
        <n v="31132.959999999999"/>
        <n v="132714.96"/>
        <n v="20815.600000000002"/>
        <n v="137894.40000000002"/>
        <n v="50316.5"/>
        <n v="47897.96"/>
        <n v="138946.76"/>
        <n v="26591.89"/>
        <n v="113552.32000000001"/>
        <n v="4014.9900000000002"/>
        <n v="75718.2"/>
        <n v="80917.960000000006"/>
        <n v="181389.12"/>
        <n v="103664.34"/>
        <n v="60968.88"/>
        <n v="29589.3"/>
        <n v="5433.99"/>
        <n v="36475.039999999863"/>
        <n v="5536.96"/>
        <n v="132070.9"/>
        <n v="56928.480000000003"/>
        <n v="118629.36000000002"/>
        <n v="43069.509999999995"/>
        <n v="48095.08"/>
        <n v="121182.46"/>
        <n v="28665.52"/>
        <n v="46784.460000000006"/>
        <n v="2314.98"/>
        <n v="224440.9"/>
        <n v="193346.28000000003"/>
        <n v="63994.979999999996"/>
        <n v="59815.139999999585"/>
        <n v="108996.44"/>
        <n v="1705.71"/>
        <n v="170944.19999999998"/>
        <n v="124177.2"/>
        <n v="15482.32"/>
        <n v="203083.71000000002"/>
        <n v="19170.759999999998"/>
        <n v="54176.87"/>
        <n v="188351.28000000003"/>
        <n v="4711"/>
        <n v="6472.9999999999745"/>
        <n v="60956.160000000003"/>
        <n v="118496.56000000001"/>
        <n v="12782.06"/>
        <n v="197563.1"/>
        <n v="30303.239999999998"/>
        <n v="75636.14"/>
        <n v="177639.22"/>
        <n v="53562.86"/>
        <n v="116854.79999999999"/>
        <n v="19027.52"/>
        <n v="42431.48"/>
        <n v="35210"/>
        <n v="11904.039999999961"/>
        <n v="39078.929999999891"/>
        <n v="34097.599999999999"/>
        <n v="129582.45999999999"/>
        <n v="17201.03"/>
        <n v="34833.96"/>
        <n v="46530"/>
        <n v="54634.720000000001"/>
        <n v="130950.72"/>
        <n v="69982.789999999994"/>
        <n v="136628.1"/>
        <n v="21991.68"/>
        <n v="60857.159999999996"/>
        <n v="110983"/>
        <n v="191617.12"/>
        <n v="109890.56000000001"/>
        <n v="75675.249999999753"/>
        <n v="26386.52"/>
        <n v="27829.49"/>
        <n v="28988.19"/>
        <n v="24560.639999999999"/>
        <n v="29054.899999999998"/>
        <n v="17800.3"/>
        <n v="51316.299999999654"/>
        <n v="20341.199999999997"/>
        <n v="6569.6399999999994"/>
        <n v="17069.36"/>
        <n v="3386.7300000000005"/>
        <n v="36213.759999999842"/>
        <n v="136231.76"/>
        <n v="34290.6"/>
        <n v="71801.97"/>
        <n v="97643.700000000012"/>
        <n v="19938.900000000001"/>
        <n v="24202.44"/>
        <n v="64608.75"/>
        <n v="145171.4"/>
        <n v="70137.899999999587"/>
        <n v="50180.020000000004"/>
        <n v="171258.77999999962"/>
        <n v="38533.049999999996"/>
        <n v="36367"/>
        <n v="184295.58"/>
        <n v="32035.5"/>
        <n v="52037.7"/>
        <n v="43668.41"/>
        <n v="28553.22"/>
        <n v="33101.46"/>
        <n v="120107.45"/>
        <n v="8399.1999999999989"/>
        <n v="25787.999999999902"/>
        <n v="33229.49"/>
        <n v="252147.36"/>
        <n v="57427.88"/>
        <n v="92438.819999999992"/>
        <n v="87830.819999999992"/>
        <n v="4693.8999999999996"/>
        <n v="67455.959999999992"/>
        <n v="7448.7199999999657"/>
        <n v="4460.96"/>
        <n v="37152.14"/>
        <n v="6589"/>
        <n v="183735.56"/>
        <n v="99426.599999999991"/>
        <n v="6478.76"/>
        <n v="2333.19"/>
        <n v="4803.75"/>
        <n v="143820.2999999997"/>
        <n v="42822.99"/>
        <n v="179159.05"/>
        <n v="37039.839999999997"/>
        <n v="29149.439999999999"/>
        <n v="8039.47"/>
        <n v="112500.36000000002"/>
        <n v="213227.53999999998"/>
        <n v="37775.43"/>
        <n v="16549.759999999998"/>
        <n v="60531.94"/>
        <n v="11541.24"/>
        <n v="63587.719999999994"/>
        <n v="100969.87999999999"/>
        <n v="20549.759999999998"/>
        <n v="28451.85"/>
        <n v="187948.77"/>
        <n v="102428.65000000001"/>
        <n v="21768.6"/>
        <n v="68686.799999999639"/>
        <n v="7450.59"/>
        <n v="145992.21"/>
        <n v="140480.63999999998"/>
      </sharedItems>
    </cacheField>
    <cacheField name="Sales_amount" numFmtId="0">
      <sharedItems containsSemiMixedTypes="0" containsString="0" containsNumber="1" minValue="154.16140000000001" maxValue="249625.88639999999" count="1000">
        <n v="4377.0636000000013"/>
        <n v="63688.8272"/>
        <n v="8913.6"/>
        <n v="170757.405"/>
        <n v="8284.8115999999991"/>
        <n v="27972.572800000002"/>
        <n v="65444.804600000003"/>
        <n v="160489.03200000001"/>
        <n v="31220.324999999713"/>
        <n v="42005.4444"/>
        <n v="25201.175999999999"/>
        <n v="44997.126400000008"/>
        <n v="13462.890000000001"/>
        <n v="102495.59999999999"/>
        <n v="42785.735999999997"/>
        <n v="19193.903999999999"/>
        <n v="72136.847999999984"/>
        <n v="181236.6"/>
        <n v="45121.633199999997"/>
        <n v="38921.894999999997"/>
        <n v="32760.705600000005"/>
        <n v="44654.896000000001"/>
        <n v="176896.3064"/>
        <n v="57528.572400000005"/>
        <n v="60285.576000000001"/>
        <n v="90591.6"/>
        <n v="33276.553199999995"/>
        <n v="22339.6335"/>
        <n v="168310.98559999961"/>
        <n v="2753.7325000000001"/>
        <n v="99536.148799999981"/>
        <n v="129123.03600000001"/>
        <n v="8776.4291999999987"/>
        <n v="53279.87"/>
        <n v="53778.6944"/>
        <n v="10045.2312"/>
        <n v="40031.667199999996"/>
        <n v="52062.098999999995"/>
        <n v="17798.399999999998"/>
        <n v="40033.2405"/>
        <n v="174376.80000000002"/>
        <n v="46757.592000000004"/>
        <n v="26715.403200000001"/>
        <n v="33928.627199999995"/>
        <n v="22126.867200000001"/>
        <n v="36193.975200000001"/>
        <n v="2110.328"/>
        <n v="147970.90769999998"/>
        <n v="99848.003999999986"/>
        <n v="122476.76280000001"/>
        <n v="27709.77"/>
        <n v="102939.71999999962"/>
        <n v="126028.09799999998"/>
        <n v="101458.87079999999"/>
        <n v="43574.536000000007"/>
        <n v="82353.314999999988"/>
        <n v="78680.908799999757"/>
        <n v="93038.426400000011"/>
        <n v="85184.000999999989"/>
        <n v="72745.789199999999"/>
        <n v="151423.35999999999"/>
        <n v="90844.608800000002"/>
        <n v="18087.367200000001"/>
        <n v="59283.681600000004"/>
        <n v="183223.38399999996"/>
        <n v="89170.636400000003"/>
        <n v="176871.82500000001"/>
        <n v="28380.104800000001"/>
        <n v="93258.583599999998"/>
        <n v="58835.75039999959"/>
        <n v="75942.503000000012"/>
        <n v="46742.655299999999"/>
        <n v="78608.056800000006"/>
        <n v="141848.728"/>
        <n v="100552.38900000001"/>
        <n v="5299.9856"/>
        <n v="107798.97600000001"/>
        <n v="57706.095100000006"/>
        <n v="121121.8125"/>
        <n v="24834.11"/>
        <n v="37172.065700000006"/>
        <n v="12343.365"/>
        <n v="34391.689099999996"/>
        <n v="87321.013200000001"/>
        <n v="55871.121599999999"/>
        <n v="1736.4509999999998"/>
        <n v="95065.74"/>
        <n v="28669.635000000002"/>
        <n v="9080.7911999999706"/>
        <n v="98674.083200000008"/>
        <n v="98864.960999999996"/>
        <n v="86272.085200000001"/>
        <n v="18952.103800000001"/>
        <n v="32778.626400000001"/>
        <n v="28482.557999999997"/>
        <n v="45848.9856"/>
        <n v="50147.341199999995"/>
        <n v="46802.578300000008"/>
        <n v="154636.04520000002"/>
        <n v="87138.47159999999"/>
        <n v="30970.731499999994"/>
        <n v="129571.47"/>
        <n v="71563.557000000001"/>
        <n v="35014.983999999997"/>
        <n v="73977.540000000008"/>
        <n v="2573.5789999999997"/>
        <n v="141595.39800000002"/>
        <n v="22473.0072"/>
        <n v="115754.6784"/>
        <n v="65276.1"/>
        <n v="26966.652899999997"/>
        <n v="49533.443999999901"/>
        <n v="27149.085600000002"/>
        <n v="32979.972000000002"/>
        <n v="36002.243199999997"/>
        <n v="5370.0555999999997"/>
        <n v="165828.67120000001"/>
        <n v="40035.547199999994"/>
        <n v="9504.4806000000008"/>
        <n v="21576.034800000001"/>
        <n v="136809.55519999997"/>
        <n v="43486.208000000006"/>
        <n v="9243.9935999999998"/>
        <n v="45190.628199999999"/>
        <n v="55763.568000000007"/>
        <n v="17567.659200000002"/>
        <n v="193241.34900000002"/>
        <n v="12654.55"/>
        <n v="67734.742199999993"/>
        <n v="10524.24"/>
        <n v="30856.665599999997"/>
        <n v="122385.9798"/>
        <n v="28846.800000000003"/>
        <n v="24638.055"/>
        <n v="85483.103999999992"/>
        <n v="94494.151999999987"/>
        <n v="19555.599999999999"/>
        <n v="47100.804299999814"/>
        <n v="3560.3048999999783"/>
        <n v="69311.642399999997"/>
        <n v="19156.371000000003"/>
        <n v="10077.2364"/>
        <n v="95664.626099999994"/>
        <n v="53235.212800000001"/>
        <n v="116996.56499999999"/>
        <n v="21608.664000000001"/>
        <n v="107888.27"/>
        <n v="6154.02"/>
        <n v="152108.51579999999"/>
        <n v="88259.657200000001"/>
        <n v="10680.7012"/>
        <n v="27560.800000000003"/>
        <n v="57609.26"/>
        <n v="67097.994300000006"/>
        <n v="75264.844199999992"/>
        <n v="49918.12"/>
        <n v="23371.126800000002"/>
        <n v="70402.77"/>
        <n v="3363.8920000000003"/>
        <n v="17805.795000000002"/>
        <n v="121252.80960000001"/>
        <n v="128974.98239999999"/>
        <n v="154.16140000000001"/>
        <n v="41145.589999999997"/>
        <n v="1353.8596"/>
        <n v="68128.199999999779"/>
        <n v="4919.4449999999997"/>
        <n v="53100.442500000005"/>
        <n v="101156.7375"/>
        <n v="29695.319999999821"/>
        <n v="226873.92"/>
        <n v="69386.941799999986"/>
        <n v="55653.815699999992"/>
        <n v="101421.68519999975"/>
        <n v="97012.3128"/>
        <n v="41289.983999999997"/>
        <n v="91465.130400000009"/>
        <n v="11985.599999999999"/>
        <n v="13535.923200000001"/>
        <n v="49679.63"/>
        <n v="35924.943599999999"/>
        <n v="52730.8992"/>
        <n v="3915.2795000000001"/>
        <n v="21428.539199999996"/>
        <n v="168450.90640000001"/>
        <n v="154043.06240000002"/>
        <n v="85931.015999999989"/>
        <n v="122794.1176"/>
        <n v="151007.61599999998"/>
        <n v="44212.343400000005"/>
        <n v="6427.9139999999688"/>
        <n v="129442.98150000001"/>
        <n v="49903.394399999997"/>
        <n v="56227.415999999801"/>
        <n v="23067.911999999775"/>
        <n v="28872.077499999999"/>
        <n v="70515.517600000006"/>
        <n v="92539.98"/>
        <n v="41982.82"/>
        <n v="3243.5745000000002"/>
        <n v="91762.671999999991"/>
        <n v="28104.068000000003"/>
        <n v="26266.169999999813"/>
        <n v="196658.2464"/>
        <n v="5070.1440000000002"/>
        <n v="22226.556000000004"/>
        <n v="13557.997999999998"/>
        <n v="57793.522499999999"/>
        <n v="145114.33299999963"/>
        <n v="158229.82800000001"/>
        <n v="137940.057"/>
        <n v="22802.395500000002"/>
        <n v="3299.1035000000002"/>
        <n v="14062.306499999999"/>
        <n v="131718.52799999999"/>
        <n v="6750.0887999999995"/>
        <n v="3532.4405999999926"/>
        <n v="119952.92800000001"/>
        <n v="129175.56"/>
        <n v="33138.190800000004"/>
        <n v="35310.015999999996"/>
        <n v="57608.746800000001"/>
        <n v="34177.68"/>
        <n v="41180.333999999995"/>
        <n v="11309.953200000002"/>
        <n v="34848.808799999999"/>
        <n v="25062.36"/>
        <n v="13876.186799999999"/>
        <n v="118177.40400000001"/>
        <n v="36020.872799999997"/>
        <n v="84522.847500000003"/>
        <n v="20388.576000000001"/>
        <n v="17546.554200000002"/>
        <n v="147659.19499999998"/>
        <n v="125892.7758"/>
        <n v="142226.5119999997"/>
        <n v="62576.25"/>
        <n v="7767.27"/>
        <n v="787.84159999999997"/>
        <n v="59445.117600000005"/>
        <n v="34231.428"/>
        <n v="61374.741599999674"/>
        <n v="92713.873200000002"/>
        <n v="287.32990000000001"/>
        <n v="1470.3506"/>
        <n v="92333.933999999994"/>
        <n v="44842.2912"/>
        <n v="14274.518999999984"/>
        <n v="56689.5645"/>
        <n v="60139.783100000001"/>
        <n v="28242.609999999997"/>
        <n v="116774.48640000001"/>
        <n v="66292.296000000002"/>
        <n v="122483.97"/>
        <n v="57142.784"/>
        <n v="28001.903999999999"/>
        <n v="184073.73749999999"/>
        <n v="10787.6594"/>
        <n v="8627.4149999999991"/>
        <n v="122790.61079999999"/>
        <n v="25668.981"/>
        <n v="28163.780999999999"/>
        <n v="141672.87680000003"/>
        <n v="69494.436000000016"/>
        <n v="199824.1919999996"/>
        <n v="19769.294999999998"/>
        <n v="188436.23999999961"/>
        <n v="3472.56"/>
        <n v="23244.546499999997"/>
        <n v="104462.68339999998"/>
        <n v="8548.2054000000007"/>
        <n v="64991.609399999637"/>
        <n v="26275.995199999928"/>
        <n v="24190.32"/>
        <n v="32314.5612"/>
        <n v="17620.855199999998"/>
        <n v="102762.21200000001"/>
        <n v="61603.618499999997"/>
        <n v="111441.60299999974"/>
        <n v="21908.524799999999"/>
        <n v="9681.1260000000002"/>
        <n v="77128.831999999995"/>
        <n v="27710.166400000006"/>
        <n v="30650.099000000002"/>
        <n v="95534.602499999994"/>
        <n v="72386.717399999994"/>
        <n v="96610.60500000001"/>
        <n v="103800.9382"/>
        <n v="17819.687999999998"/>
        <n v="42890.702399999995"/>
        <n v="45613.26"/>
        <n v="10253.869199999999"/>
        <n v="17147.004000000001"/>
        <n v="42305.281199999998"/>
        <n v="15253.4432"/>
        <n v="23127.566699999999"/>
        <n v="12483.055199999999"/>
        <n v="25568.852399999996"/>
        <n v="37887.704399999995"/>
        <n v="31409.279999999999"/>
        <n v="66338.940799999997"/>
        <n v="46257.665999999866"/>
        <n v="26790.7372"/>
        <n v="104694.1425"/>
        <n v="165470.9025"/>
        <n v="44723.632799999999"/>
        <n v="54948.144999999997"/>
        <n v="65081.528399999879"/>
        <n v="133316.37900000002"/>
        <n v="55587.35"/>
        <n v="40512.956000000006"/>
        <n v="40115.25"/>
        <n v="80744.153000000006"/>
        <n v="149108.25599999999"/>
        <n v="143601.33599999998"/>
        <n v="74078.866399999999"/>
        <n v="30985.632000000001"/>
        <n v="29475.9624"/>
        <n v="18521.7788"/>
        <n v="3541.6639999999952"/>
        <n v="91289.008599999986"/>
        <n v="630.77820000000008"/>
        <n v="41617.170000000006"/>
        <n v="81747.200000000012"/>
        <n v="37491.926399999684"/>
        <n v="9143.9712"/>
        <n v="8910"/>
        <n v="19538.360799999999"/>
        <n v="90212.774700000009"/>
        <n v="31604.126400000001"/>
        <n v="53078.13"/>
        <n v="159246.77709999998"/>
        <n v="11680.8"/>
        <n v="88846.175999999992"/>
        <n v="53373.312000000005"/>
        <n v="104363.65799999973"/>
        <n v="2566.9632000000001"/>
        <n v="8057.6067999999987"/>
        <n v="148919.2335"/>
        <n v="36974.457000000002"/>
        <n v="19821.463199999998"/>
        <n v="117234.50240000001"/>
        <n v="172918.59299999996"/>
        <n v="1887.4856000000002"/>
        <n v="69467.066100000011"/>
        <n v="2948.0832"/>
        <n v="25962.331999999999"/>
        <n v="35853.739199999996"/>
        <n v="19761.4725"/>
        <n v="194638.9797"/>
        <n v="56637.458800000008"/>
        <n v="27866.312099999996"/>
        <n v="68153.326799999995"/>
        <n v="63896.543999999994"/>
        <n v="6120.3963999999814"/>
        <n v="9249.1440000000002"/>
        <n v="13072.331999999999"/>
        <n v="59393.62"/>
        <n v="109570.5"/>
        <n v="169899.58439999999"/>
        <n v="59946.600000000006"/>
        <n v="84291.980499999685"/>
        <n v="47652.696000000004"/>
        <n v="18257.84"/>
        <n v="168331.06619999962"/>
        <n v="16567.761600000002"/>
        <n v="18939.224999999999"/>
        <n v="52839.670400000003"/>
        <n v="152793.2405999997"/>
        <n v="143298.94999999998"/>
        <n v="162512.91"/>
        <n v="57977.428500000002"/>
        <n v="2924.0819999999999"/>
        <n v="10138.289999999999"/>
        <n v="33671.591999999997"/>
        <n v="3414.6"/>
        <n v="118952.7248"/>
        <n v="89764.804800000013"/>
        <n v="10239.407999999999"/>
        <n v="93220.108500000002"/>
        <n v="17224.143399999997"/>
        <n v="24650.750999999997"/>
        <n v="29357.203200000004"/>
        <n v="85045.611000000004"/>
        <n v="41132.887199999997"/>
        <n v="60720.81749999999"/>
        <n v="19284.48"/>
        <n v="57598.6944"/>
        <n v="24026.657399999996"/>
        <n v="33895.4928"/>
        <n v="31329.503999999997"/>
        <n v="75806.635999999999"/>
        <n v="24893.9244"/>
        <n v="24587.366399999955"/>
        <n v="3342.0545999999995"/>
        <n v="64484.595000000001"/>
        <n v="16714.846500000003"/>
        <n v="68326.054000000004"/>
        <n v="18353.706599999998"/>
        <n v="148546.88639999999"/>
        <n v="19977.170399999999"/>
        <n v="1820.1899999999998"/>
        <n v="25058.0969"/>
        <n v="76075.893599999996"/>
        <n v="29021.94899999983"/>
        <n v="17049.649999999998"/>
        <n v="93141.440000000002"/>
        <n v="102444.76"/>
        <n v="23637.1734"/>
        <n v="100208.74499999969"/>
        <n v="69565.861199999999"/>
        <n v="1412.7244000000001"/>
        <n v="57305.523999999998"/>
        <n v="54612.342399999994"/>
        <n v="39230.207999999955"/>
        <n v="13169.608099999914"/>
        <n v="22228.003199999999"/>
        <n v="157949.0766"/>
        <n v="4653.6966000000002"/>
        <n v="13218.084000000001"/>
        <n v="23796.929999999997"/>
        <n v="83486.697199999995"/>
        <n v="9657.730599999999"/>
        <n v="114170.8392"/>
        <n v="78163.545599999998"/>
        <n v="144328.55429999958"/>
        <n v="111129.76610000001"/>
        <n v="2448.8585999999996"/>
        <n v="34686.263200000001"/>
        <n v="40282.18499999999"/>
        <n v="6009.5252"/>
        <n v="70436.907200000001"/>
        <n v="14153.715"/>
        <n v="62797.376799999991"/>
        <n v="90890.926199999813"/>
        <n v="22498.139999999996"/>
        <n v="82146.674999999988"/>
        <n v="64276.959599999995"/>
        <n v="132442.91999999998"/>
        <n v="61331.039999999644"/>
        <n v="125109.50399999955"/>
        <n v="166406.6208"/>
        <n v="45783.324999999997"/>
        <n v="18191.956000000002"/>
        <n v="34065.99839999988"/>
        <n v="153964.0871999996"/>
        <n v="103997.26"/>
        <n v="102648.38399999998"/>
        <n v="70565.788799999995"/>
        <n v="61999.68"/>
        <n v="42001.4"/>
        <n v="92791.212499999994"/>
        <n v="177072.13440000001"/>
        <n v="146310.54079999999"/>
        <n v="17529.51999999992"/>
        <n v="26336.526999999998"/>
        <n v="4874.2276000000002"/>
        <n v="37830.246299999999"/>
        <n v="101197.95"/>
        <n v="28488.894"/>
        <n v="20067.192199999998"/>
        <n v="14946.119999999999"/>
        <n v="22578.4804"/>
        <n v="24668.9074"/>
        <n v="3483.1776"/>
        <n v="27102.36"/>
        <n v="138044.02500000002"/>
        <n v="54272.3004"/>
        <n v="35299.440000000002"/>
        <n v="17314.207999999999"/>
        <n v="106091.6836"/>
        <n v="62620.576199999996"/>
        <n v="133233.66"/>
        <n v="36950.667000000001"/>
        <n v="6078.1343999999999"/>
        <n v="3584.2014000000008"/>
        <n v="76114.896000000008"/>
        <n v="169764.33539999998"/>
        <n v="12200.673599999966"/>
        <n v="103349.00970000001"/>
        <n v="84697.267200000002"/>
        <n v="11919.927600000001"/>
        <n v="27046.656000000003"/>
        <n v="18203.885700000003"/>
        <n v="6586.6944000000003"/>
        <n v="103983.1572"/>
        <n v="4936.902"/>
        <n v="14949.376000000002"/>
        <n v="118026.37439999999"/>
        <n v="88743.632400000002"/>
        <n v="46046.552999999993"/>
        <n v="5273.3872000000001"/>
        <n v="3927.8231999999948"/>
        <n v="22021.962799999998"/>
        <n v="50275.718399999998"/>
        <n v="72242.648000000001"/>
        <n v="48349.440000000002"/>
        <n v="30606.211999999996"/>
        <n v="59555.20640000001"/>
        <n v="41165.058000000005"/>
        <n v="9133.2601999999988"/>
        <n v="97526.304000000004"/>
        <n v="55828.899000000005"/>
        <n v="30313.542399999933"/>
        <n v="18168.57"/>
        <n v="31638.079199999756"/>
        <n v="37544.159999999996"/>
        <n v="131042.07"/>
        <n v="113599.76039999998"/>
        <n v="74214.456799999738"/>
        <n v="191801.24720000004"/>
        <n v="7226.58"/>
        <n v="153483.76999999999"/>
        <n v="12754.055999999973"/>
        <n v="54023.526999999995"/>
        <n v="61469.668799999999"/>
        <n v="16963.631999999998"/>
        <n v="23901.905999999995"/>
        <n v="11346.123600000001"/>
        <n v="163581.12449999998"/>
        <n v="134062.02599999998"/>
        <n v="82639.806500000006"/>
        <n v="7912.3235999999997"/>
        <n v="48159.237000000001"/>
        <n v="60377.270399999994"/>
        <n v="107354.30739999999"/>
        <n v="160399.3596"/>
        <n v="37752.422400000003"/>
        <n v="5636.2592000000004"/>
        <n v="36595.641599999995"/>
        <n v="13093.105199999984"/>
        <n v="164684.08439999999"/>
        <n v="59060.080799999996"/>
        <n v="84332.464000000007"/>
        <n v="38850.199999999997"/>
        <n v="28172.342499999817"/>
        <n v="9684.9"/>
        <n v="137225.55599999969"/>
        <n v="6125.8207999999995"/>
        <n v="97243.924799999993"/>
        <n v="93695.596799999999"/>
        <n v="49056.153600000005"/>
        <n v="50044.176000000007"/>
        <n v="19234.162499999999"/>
        <n v="146877.09479999999"/>
        <n v="8478.623999999978"/>
        <n v="135696.62699999954"/>
        <n v="49914.246399999996"/>
        <n v="93966.518399999986"/>
        <n v="33074.438399999999"/>
        <n v="52115.580399999999"/>
        <n v="156874.965"/>
        <n v="39733.828000000001"/>
        <n v="160630.3872"/>
        <n v="13865.183199999981"/>
        <n v="33241.445599999999"/>
        <n v="33128.064000000006"/>
        <n v="3318.7446"/>
        <n v="149128.98000000001"/>
        <n v="13279.7574"/>
        <n v="70250.22"/>
        <n v="4178.0705999999991"/>
        <n v="75720.233600000007"/>
        <n v="8466.0360000000001"/>
        <n v="71421.189999999813"/>
        <n v="8062.6292999999996"/>
        <n v="101323.26399999998"/>
        <n v="15049.762000000001"/>
        <n v="8508.2544000000016"/>
        <n v="18462.366999999998"/>
        <n v="4643.9639999999999"/>
        <n v="31947.966000000004"/>
        <n v="4981.6558000000005"/>
        <n v="54214.042800000003"/>
        <n v="65021.219999999783"/>
        <n v="14923.284"/>
        <n v="59264.417399999998"/>
        <n v="138559.13279999999"/>
        <n v="31123.083200000001"/>
        <n v="39146.078399999999"/>
        <n v="63813.506399999991"/>
        <n v="8314.7084999999242"/>
        <n v="49322.716800000002"/>
        <n v="34790.432000000001"/>
        <n v="15548.7696"/>
        <n v="16641.68"/>
        <n v="7995.1392000000005"/>
        <n v="143312.96279999963"/>
        <n v="87352.685999999987"/>
        <n v="109201.76250000001"/>
        <n v="52321.457999999686"/>
        <n v="53478.776400000002"/>
        <n v="115389.533"/>
        <n v="57909.286800000002"/>
        <n v="51132.485000000001"/>
        <n v="25594.534399999997"/>
        <n v="2774.9744000000001"/>
        <n v="29807.448"/>
        <n v="6742.0496000000003"/>
        <n v="1700.6220000000001"/>
        <n v="63168.1512"/>
        <n v="40185.514599999871"/>
        <n v="84612.716800000009"/>
        <n v="60186.772799999999"/>
        <n v="64959.585600000006"/>
        <n v="69921.2696"/>
        <n v="138221.39759999971"/>
        <n v="30123.223899999997"/>
        <n v="41929.747199999998"/>
        <n v="28465.536"/>
        <n v="586.74720000000002"/>
        <n v="12373.435799999905"/>
        <n v="10891.272000000001"/>
        <n v="14038.596800000003"/>
        <n v="6370.9800000000005"/>
        <n v="93620.334600000002"/>
        <n v="26573.724800000004"/>
        <n v="50017.953600000001"/>
        <n v="111627.3575"/>
        <n v="7816.3670999999995"/>
        <n v="91573.109099999987"/>
        <n v="30160.072800000002"/>
        <n v="107152.8276"/>
        <n v="78530.233600000007"/>
        <n v="2908.5723000000003"/>
        <n v="188837.88310000001"/>
        <n v="55557.835200000001"/>
        <n v="12830.2482"/>
        <n v="29576.3573"/>
        <n v="3596.4864000000002"/>
        <n v="99752.688000000009"/>
        <n v="5775.5375999999997"/>
        <n v="10030.165199999999"/>
        <n v="200811.5208"/>
        <n v="32504.806700000001"/>
        <n v="50974.411799999994"/>
        <n v="30255.302"/>
        <n v="132029.84399999998"/>
        <n v="105274.7586"/>
        <n v="17735.481499999998"/>
        <n v="175904.78400000001"/>
        <n v="10529.0622"/>
        <n v="8597.1455999999998"/>
        <n v="1033.1324999999999"/>
        <n v="87769.504199999996"/>
        <n v="27488.348999999998"/>
        <n v="56917.616000000002"/>
        <n v="7273.2479999999996"/>
        <n v="35247.807000000001"/>
        <n v="55105.319999999992"/>
        <n v="2839.1383999999998"/>
        <n v="91001.364000000001"/>
        <n v="58984.056000000004"/>
        <n v="11140.365"/>
        <n v="53365.569599999799"/>
        <n v="20406.055"/>
        <n v="99919.903999999995"/>
        <n v="43803.93"/>
        <n v="84470.139599999995"/>
        <n v="85227.520000000004"/>
        <n v="60538.143600000003"/>
        <n v="37582.898599999906"/>
        <n v="62071.2284"/>
        <n v="69741.907200000001"/>
        <n v="121769.01"/>
        <n v="20098.548000000003"/>
        <n v="50955.062400000003"/>
        <n v="18992.232"/>
        <n v="73780.601399999781"/>
        <n v="20812.707999999999"/>
        <n v="56588.601999999999"/>
        <n v="96138.1872"/>
        <n v="212818.64670000001"/>
        <n v="49385.142400000004"/>
        <n v="46820.087599999999"/>
        <n v="34808.576000000001"/>
        <n v="118725.49259999998"/>
        <n v="60398.46"/>
        <n v="1664.2784000000001"/>
        <n v="45624.045600000005"/>
        <n v="131699.568"/>
        <n v="40161.557699999998"/>
        <n v="55023.040800000002"/>
        <n v="96850.774799999781"/>
        <n v="3659.6610000000001"/>
        <n v="6136.0499999999993"/>
        <n v="95702.006399999998"/>
        <n v="75371.743999999992"/>
        <n v="113477.9904"/>
        <n v="32490.33"/>
        <n v="72325.757399999711"/>
        <n v="4911.3735999999999"/>
        <n v="216.4059"/>
        <n v="40076.035199999998"/>
        <n v="59529.556800000006"/>
        <n v="95299.156799999997"/>
        <n v="1807.6968000000002"/>
        <n v="74057.025299999994"/>
        <n v="44427.255599999997"/>
        <n v="4656.7975999999999"/>
        <n v="17641.251"/>
        <n v="28308.21"/>
        <n v="17984.032799999997"/>
        <n v="162291.73840000003"/>
        <n v="22428.358400000001"/>
        <n v="53459.549999999996"/>
        <n v="17320.087199999998"/>
        <n v="46838.207999999999"/>
        <n v="66978.638999999806"/>
        <n v="13089.120000000003"/>
        <n v="94562.084999999992"/>
        <n v="10897.163199999999"/>
        <n v="50036.9352"/>
        <n v="56283.796800000004"/>
        <n v="40685.299200000001"/>
        <n v="51921.923199999896"/>
        <n v="102386.3216"/>
        <n v="23348.332800000004"/>
        <n v="12678.701200000001"/>
        <n v="15847.981199999998"/>
        <n v="132087.348"/>
        <n v="68073.12000000001"/>
        <n v="135754.95600000001"/>
        <n v="30051.278399999999"/>
        <n v="59155.910799999998"/>
        <n v="13479.36"/>
        <n v="121602.6504"/>
        <n v="50758.312499999811"/>
        <n v="61103.705600000001"/>
        <n v="40219.007400000002"/>
        <n v="90314.752499999609"/>
        <n v="141316.86239999998"/>
        <n v="18627.723999999853"/>
        <n v="13643.809199999998"/>
        <n v="98934.497199999998"/>
        <n v="7515.8388000000004"/>
        <n v="46930.828399999999"/>
        <n v="99764.313599999994"/>
        <n v="74433.302999999985"/>
        <n v="69396.633600000001"/>
        <n v="8965.6919999999991"/>
        <n v="2522.3251999999998"/>
        <n v="81249.818999999989"/>
        <n v="116164.152"/>
        <n v="20898.556"/>
        <n v="124352.54520000001"/>
        <n v="33758.224999999999"/>
        <n v="29047.099199999895"/>
        <n v="25472.1384"/>
        <n v="10201.9944"/>
        <n v="27949.188800000004"/>
        <n v="52978.538199999879"/>
        <n v="179487"/>
        <n v="41080.470199999996"/>
        <n v="33759.123999999996"/>
        <n v="21038.604999999996"/>
        <n v="174224.03400000001"/>
        <n v="128070.71999999999"/>
        <n v="14833.706999999999"/>
        <n v="106142.36159999958"/>
        <n v="39262.273500000003"/>
        <n v="150225.57440000001"/>
        <n v="114236.73359999999"/>
        <n v="141763.02799999999"/>
        <n v="183677.52"/>
        <n v="2270.2694999999999"/>
        <n v="50130.225000000006"/>
        <n v="57009.571199999991"/>
        <n v="45941.441999999995"/>
        <n v="16762.751999999997"/>
        <n v="8139.6070000000009"/>
        <n v="51651.977999999996"/>
        <n v="182845.89"/>
        <n v="93601.7016"/>
        <n v="80626.241500000004"/>
        <n v="36912.603000000003"/>
        <n v="57767.455199999866"/>
        <n v="85375.987200000003"/>
        <n v="43422.960999999865"/>
        <n v="58835.69279999999"/>
        <n v="17487.0311"/>
        <n v="20121.254400000002"/>
        <n v="94600.407999999996"/>
        <n v="49293.164700000001"/>
        <n v="75183.191999999981"/>
        <n v="83383.3"/>
        <n v="15106.211999999965"/>
        <n v="40757.714999999997"/>
        <n v="43061.650499999734"/>
        <n v="11303.391599999999"/>
        <n v="116515.74749999976"/>
        <n v="52391.425999999999"/>
        <n v="101804.73599999979"/>
        <n v="9193.3740000000016"/>
        <n v="124218.98999999999"/>
        <n v="18118.672000000002"/>
        <n v="87338.136599999998"/>
        <n v="96142.277499999997"/>
        <n v="13377.2688"/>
        <n v="465.46960000000001"/>
        <n v="34201.86"/>
        <n v="134178.35199999998"/>
        <n v="13429.628699999999"/>
        <n v="8213.3760000000002"/>
        <n v="6857.8828999999996"/>
        <n v="135855.72"/>
        <n v="234866.62340000001"/>
        <n v="103213.1808"/>
        <n v="22602.081700000002"/>
        <n v="122657.47200000001"/>
        <n v="79118.24960000001"/>
        <n v="40679.179199999999"/>
        <n v="97067.683999999703"/>
        <n v="17985.239999999998"/>
        <n v="180339.6972"/>
        <n v="5709.0579000000007"/>
        <n v="1856.67"/>
        <n v="134240.60099999962"/>
        <n v="1415.5835999999999"/>
        <n v="18749.520999999997"/>
        <n v="5604.9760000000006"/>
        <n v="11482.085999999999"/>
        <n v="79269.3"/>
        <n v="16637.615999999998"/>
        <n v="24820.670399999999"/>
        <n v="85980.302000000011"/>
        <n v="102177.72"/>
        <n v="108064.1925"/>
        <n v="9221.7384000000002"/>
        <n v="121680.573"/>
        <n v="16309.748999999998"/>
        <n v="111925.04399999999"/>
        <n v="48895.633600000001"/>
        <n v="23957.452799999999"/>
        <n v="90549.186000000002"/>
        <n v="85677.002999999997"/>
        <n v="12695.142"/>
        <n v="22654.526399999922"/>
        <n v="26956.394399999997"/>
        <n v="4136.7743999999648"/>
        <n v="88559.987999999998"/>
        <n v="115926.03"/>
        <n v="33848.736299999779"/>
        <n v="185852.91150000002"/>
        <n v="207439.67979999998"/>
        <n v="30717.896299999884"/>
        <n v="14433.218800000002"/>
        <n v="90993.742399999988"/>
        <n v="99303.019199999995"/>
        <n v="133757.48800000001"/>
        <n v="198621.34199999998"/>
        <n v="58986.613400000002"/>
        <n v="69862.998700000011"/>
        <n v="56761.065499999851"/>
        <n v="12438.287999999931"/>
        <n v="23038.3904"/>
        <n v="127406.36159999999"/>
        <n v="16652.480000000003"/>
        <n v="114452.35200000001"/>
        <n v="43272.19"/>
        <n v="40713.265999999996"/>
        <n v="108378.47280000002"/>
        <n v="19146.160799999998"/>
        <n v="110145.7504"/>
        <n v="3974.8401000000003"/>
        <n v="57545.831999999995"/>
        <n v="78490.421199999997"/>
        <n v="126972.38399999999"/>
        <n v="83968.11540000001"/>
        <n v="48775.103999999999"/>
        <n v="27813.941999999999"/>
        <n v="5053.6106999999993"/>
        <n v="29180.03199999989"/>
        <n v="4041.9807999999998"/>
        <n v="93770.338999999993"/>
        <n v="53512.771200000003"/>
        <n v="113884.18560000001"/>
        <n v="42208.119799999993"/>
        <n v="35590.359199999999"/>
        <n v="110276.03860000001"/>
        <n v="28665.52"/>
        <n v="43509.5478"/>
        <n v="2083.482"/>
        <n v="157108.62999999998"/>
        <n v="162410.87520000001"/>
        <n v="60155.28119999999"/>
        <n v="53833.625999999625"/>
        <n v="98096.796000000002"/>
        <n v="1688.6529"/>
        <n v="164106.43199999997"/>
        <n v="98099.987999999998"/>
        <n v="14863.027199999999"/>
        <n v="188867.85030000002"/>
        <n v="17061.9764"/>
        <n v="41716.189900000005"/>
        <n v="156331.56240000002"/>
        <n v="3721.69"/>
        <n v="5372.5899999999783"/>
        <n v="48155.366400000006"/>
        <n v="118496.56000000001"/>
        <n v="9203.0831999999991"/>
        <n v="191636.20699999999"/>
        <n v="26666.851199999997"/>
        <n v="58239.827799999999"/>
        <n v="154546.1214"/>
        <n v="38565.2592"/>
        <n v="100495.12799999998"/>
        <n v="14080.364799999999"/>
        <n v="32247.924800000004"/>
        <n v="24999.1"/>
        <n v="8570.908799999972"/>
        <n v="28527.618899999921"/>
        <n v="26596.128000000001"/>
        <n v="115328.3894"/>
        <n v="16684.999099999997"/>
        <n v="27518.828400000002"/>
        <n v="33036.299999999996"/>
        <n v="42615.081600000005"/>
        <n v="94284.518400000001"/>
        <n v="53186.920399999995"/>
        <n v="129796.69499999999"/>
        <n v="20452.2624"/>
        <n v="54771.443999999996"/>
        <n v="105433.84999999999"/>
        <n v="159042.2096"/>
        <n v="78022.297600000005"/>
        <n v="58269.942499999808"/>
        <n v="22956.272400000002"/>
        <n v="27829.49"/>
        <n v="26379.252899999999"/>
        <n v="20630.937599999997"/>
        <n v="26149.41"/>
        <n v="17266.290999999997"/>
        <n v="44645.180999999699"/>
        <n v="18713.903999999999"/>
        <n v="4795.837199999999"/>
        <n v="16557.279200000001"/>
        <n v="3352.8627000000006"/>
        <n v="36213.759999999842"/>
        <n v="122608.58400000002"/>
        <n v="27432.48"/>
        <n v="56005.536599999999"/>
        <n v="83973.582000000009"/>
        <n v="15751.731000000002"/>
        <n v="21540.171599999998"/>
        <n v="51687"/>
        <n v="143719.68599999999"/>
        <n v="61721.351999999635"/>
        <n v="38136.815200000005"/>
        <n v="130156.67279999971"/>
        <n v="30441.109499999999"/>
        <n v="34184.979999999996"/>
        <n v="171394.88939999999"/>
        <n v="22424.85"/>
        <n v="50476.568999999996"/>
        <n v="41484.989500000003"/>
        <n v="27411.091199999999"/>
        <n v="29791.313999999998"/>
        <n v="112901.003"/>
        <n v="7139.3199999999988"/>
        <n v="22177.679999999917"/>
        <n v="24257.527699999999"/>
        <n v="249625.88639999999"/>
        <n v="51685.091999999997"/>
        <n v="75799.832399999999"/>
        <n v="72021.272400000002"/>
        <n v="4036.7539999999995"/>
        <n v="51266.529599999994"/>
        <n v="7299.7455999999665"/>
        <n v="3390.3296"/>
        <n v="31579.319"/>
        <n v="6325.44"/>
        <n v="134126.95879999999"/>
        <n v="80535.546000000002"/>
        <n v="6154.8220000000001"/>
        <n v="2309.8580999999999"/>
        <n v="4611.5999999999995"/>
        <n v="117932.64599999976"/>
        <n v="40681.840499999998"/>
        <n v="166617.91649999999"/>
        <n v="36669.441599999998"/>
        <n v="22736.563200000001"/>
        <n v="6109.9972000000007"/>
        <n v="85500.273600000015"/>
        <n v="204698.43839999998"/>
        <n v="27576.063900000001"/>
        <n v="13239.807999999999"/>
        <n v="44188.316200000001"/>
        <n v="10040.8788"/>
        <n v="55321.316399999996"/>
        <n v="76737.108799999987"/>
        <n v="19933.267199999998"/>
        <n v="23899.553999999996"/>
        <n v="140961.57749999998"/>
        <n v="76821.487500000003"/>
        <n v="15455.705999999998"/>
        <n v="54262.571999999716"/>
        <n v="7003.5545999999995"/>
        <n v="144532.2879"/>
        <n v="120813.35039999998"/>
      </sharedItems>
    </cacheField>
    <cacheField name="Profit" numFmtId="0">
      <sharedItems containsSemiMixedTypes="0" containsString="0" containsNumber="1" minValue="-54935.73000000001" maxValue="20832.446399999986" count="1000">
        <n v="1627.5636000000013"/>
        <n v="-1189.8027999999977"/>
        <n v="1066.8000000000002"/>
        <n v="1886.2350000000151"/>
        <n v="-0.99840000000040163"/>
        <n v="-852.7071999999971"/>
        <n v="-4410.6854000000021"/>
        <n v="-9826.4280000000144"/>
        <n v="9078.5249999997141"/>
        <n v="1895.1444000000047"/>
        <n v="-6520.2540000000008"/>
        <n v="-2337.7035999999862"/>
        <n v="400.68000000000211"/>
        <n v="-23212.800000000003"/>
        <n v="-10495.464"/>
        <n v="13376.784"/>
        <n v="3715.9279999999853"/>
        <n v="-14960.600000000006"/>
        <n v="-12815.6368"/>
        <n v="771.49499999999534"/>
        <n v="-6822.7343999999975"/>
        <n v="-2994.7039999999979"/>
        <n v="10358.066400000011"/>
        <n v="-12376.117599999983"/>
        <n v="-8288.9239999999991"/>
        <n v="-14997.300000000003"/>
        <n v="-107.89680000000226"/>
        <n v="1966.7834999999977"/>
        <n v="-27097.154400000378"/>
        <n v="-537.1574999999998"/>
        <n v="7775.9087999999756"/>
        <n v="12445.636000000013"/>
        <n v="1789.2291999999979"/>
        <n v="-15992.07"/>
        <n v="-9837.1455999999962"/>
        <n v="-228.44880000000012"/>
        <n v="8975.3471999999965"/>
        <n v="-19286.151000000005"/>
        <n v="4730.5199999999968"/>
        <n v="-4237.9095000000016"/>
        <n v="-43855.200000000012"/>
        <n v="-4857.7479999999923"/>
        <n v="-1388.5967999999993"/>
        <n v="-247.2928000000029"/>
        <n v="5297.2271999999975"/>
        <n v="-6339.7848000000013"/>
        <n v="-432.93200000000024"/>
        <n v="-30663.992300000013"/>
        <n v="-2763.9960000000137"/>
        <n v="-8571.2171999999846"/>
        <n v="1146.75"/>
        <n v="8681.009999999631"/>
        <n v="-39584.252000000022"/>
        <n v="3455.470799999981"/>
        <n v="-10564.513999999996"/>
        <n v="7149.6149999999907"/>
        <n v="-7046.7712000002357"/>
        <n v="-15459.2736"/>
        <n v="-1722.6090000000113"/>
        <n v="-711.79080000000249"/>
        <n v="-33543.040000000008"/>
        <n v="-3699.1912000000011"/>
        <n v="1099.9871999999996"/>
        <n v="-14932.438399999992"/>
        <n v="7084.6439999999711"/>
        <n v="-26079.923599999995"/>
        <n v="-9103.7249999999767"/>
        <n v="703.22479999999996"/>
        <n v="-20806.696400000001"/>
        <n v="-2272.1496000004045"/>
        <n v="388.35300000000279"/>
        <n v="-6500.9746999999988"/>
        <n v="-734.50319999999192"/>
        <n v="2504.487999999983"/>
        <n v="2521.4490000000078"/>
        <n v="-606.47440000000006"/>
        <n v="1634.5760000000009"/>
        <n v="-14657.1149"/>
        <n v="-18408.097500000003"/>
        <n v="-3337.8099999999977"/>
        <n v="-3338.594299999997"/>
        <n v="-1990.3349999999991"/>
        <n v="-2130.300900000002"/>
        <n v="-11881.786800000002"/>
        <n v="-2785.5184000000008"/>
        <n v="-337.06900000000019"/>
        <n v="15599.760000000009"/>
        <n v="13582.145000000002"/>
        <n v="-2519.7688000000289"/>
        <n v="4611.1031999999977"/>
        <n v="4220.5409999999974"/>
        <n v="-3591.4648000000016"/>
        <n v="-1730.8961999999992"/>
        <n v="-5044.4135999999999"/>
        <n v="-7269.7819999999992"/>
        <n v="11451.225599999998"/>
        <n v="3521.9511999999959"/>
        <n v="-2250.6416999999929"/>
        <n v="1557.925200000027"/>
        <n v="-5620.0684000000037"/>
        <n v="6926.6114999999954"/>
        <n v="-12913.880000000005"/>
        <n v="-8800.7430000000022"/>
        <n v="10940.583999999995"/>
        <n v="-6481.3000000000029"/>
        <n v="-355.16100000000006"/>
        <n v="-9089.6819999999716"/>
        <n v="169.38720000000103"/>
        <n v="7914.5184000000008"/>
        <n v="7367.2999999999956"/>
        <n v="12092.892899999997"/>
        <n v="-3137.4360000000961"/>
        <n v="-2114.1943999999967"/>
        <n v="-4033.7880000000005"/>
        <n v="-12268.156800000004"/>
        <n v="1185.0155999999997"/>
        <n v="-3524.7887999999803"/>
        <n v="12808.787199999995"/>
        <n v="7641.7506000000012"/>
        <n v="-1238.4251999999979"/>
        <n v="-1205.0048000000243"/>
        <n v="-3167.8719999999958"/>
        <n v="5406.0335999999998"/>
        <n v="-4549.4918000000034"/>
        <n v="-4741.1519999999946"/>
        <n v="1858.6792000000023"/>
        <n v="-3386.1509999999835"/>
        <n v="624.79999999999927"/>
        <n v="-15991.957800000018"/>
        <n v="106.70999999999913"/>
        <n v="-1439.4144000000051"/>
        <n v="-9493.6001999999862"/>
        <n v="-8552.3399999999965"/>
        <n v="-1158.364999999998"/>
        <n v="-6321.6959999999963"/>
        <n v="-17110.248000000021"/>
        <n v="4243.5999999999985"/>
        <n v="5628.5542999998142"/>
        <n v="-1225.745100000021"/>
        <n v="-18031.557600000015"/>
        <n v="-802.0789999999979"/>
        <n v="-2441.8835999999992"/>
        <n v="-37433.223900000012"/>
        <n v="-10234.547200000001"/>
        <n v="-31319.085000000006"/>
        <n v="-4328.4360000000015"/>
        <n v="11787.020000000004"/>
        <n v="3114.5400000000004"/>
        <n v="-1103.5642000000225"/>
        <n v="-11069.462799999994"/>
        <n v="6803.8411999999989"/>
        <n v="10668.530000000002"/>
        <n v="-9301.3799999999974"/>
        <n v="-474.62569999998959"/>
        <n v="2482.7341999999917"/>
        <n v="-12383.079999999994"/>
        <n v="-5758.3931999999986"/>
        <n v="-6082.1199999999953"/>
        <n v="-1174.788"/>
        <n v="3808.6850000000013"/>
        <n v="-22859.990399999981"/>
        <n v="11412.902399999992"/>
        <n v="-28.828599999999994"/>
        <n v="-7189.1600000000035"/>
        <n v="203.2195999999999"/>
        <n v="-12278.400000000212"/>
        <n v="-1107.8549999999996"/>
        <n v="-11686.657499999994"/>
        <n v="213.48750000000291"/>
        <n v="-971.88000000017564"/>
        <n v="-8934.1699999999837"/>
        <n v="9956.3617999999915"/>
        <n v="-9667.5243000000046"/>
        <n v="-11416.204800000254"/>
        <n v="-30299.847200000004"/>
        <n v="2600.3339999999953"/>
        <n v="-8464.3496000000014"/>
        <n v="7242.2999999999984"/>
        <n v="6207.2032000000017"/>
        <n v="4131.8799999999974"/>
        <n v="190.9236000000019"/>
        <n v="5472.7392000000036"/>
        <n v="240.67950000000019"/>
        <n v="-795.04080000000249"/>
        <n v="-41855.623599999992"/>
        <n v="-47912.457599999994"/>
        <n v="-33454.104000000007"/>
        <n v="-32054.642400000012"/>
        <n v="-50386.443999999989"/>
        <n v="-4560.0765999999931"/>
        <n v="101.55399999996916"/>
        <n v="2899.6515000000072"/>
        <n v="3056.5944000000018"/>
        <n v="3487.8059999998004"/>
        <n v="-3060.5680000002249"/>
        <n v="8384.1274999999987"/>
        <n v="-22289.9424"/>
        <n v="-31058.42"/>
        <n v="3737.7300000000032"/>
        <n v="246.30450000000019"/>
        <n v="-20225.728000000003"/>
        <n v="-1299.9319999999971"/>
        <n v="-599.33000000018365"/>
        <n v="-12300.293600000005"/>
        <n v="1333.2640000000001"/>
        <n v="2287.2960000000021"/>
        <n v="-3531.5020000000022"/>
        <n v="-5516.9775000000081"/>
        <n v="-8324.2970000003697"/>
        <n v="-8825.9219999999914"/>
        <n v="-12375.022999999986"/>
        <n v="4254.5755000000026"/>
        <n v="-429.44650000000001"/>
        <n v="849.85649999999987"/>
        <n v="6223.487999999983"/>
        <n v="-755.27120000000014"/>
        <n v="-658.3894000000073"/>
        <n v="-21505.47199999998"/>
        <n v="-10220.940000000002"/>
        <n v="-7636.3891999999978"/>
        <n v="-8538.8240000000005"/>
        <n v="-2325.853200000005"/>
        <n v="-7776.1200000000026"/>
        <n v="1996.643999999993"/>
        <n v="-1922.4867999999988"/>
        <n v="-49.691200000001118"/>
        <n v="-7874.68"/>
        <n v="-1575.0532000000021"/>
        <n v="-918.39599999999336"/>
        <n v="-584.64720000000671"/>
        <n v="-10530.29250000001"/>
        <n v="10044.186000000002"/>
        <n v="-1652.0657999999967"/>
        <n v="-19273.525000000023"/>
        <n v="4400.5757999999914"/>
        <n v="2823.8519999996934"/>
        <n v="-10781.25"/>
        <n v="-204.69000000000051"/>
        <n v="136.84159999999997"/>
        <n v="-20186.302399999993"/>
        <n v="-4157.7719999999972"/>
        <n v="-619.12840000032884"/>
        <n v="-22986.026799999992"/>
        <n v="114.73990000000001"/>
        <n v="188.70059999999989"/>
        <n v="5433.833999999988"/>
        <n v="-15394.108800000002"/>
        <n v="-951.11100000001534"/>
        <n v="1884.6645000000062"/>
        <n v="-9136.5769"/>
        <n v="-896.83000000000175"/>
        <n v="-30793.953599999993"/>
        <n v="-2254.8539999999921"/>
        <n v="7369.9199999999983"/>
        <n v="-11452.576000000001"/>
        <n v="-2096.2560000000012"/>
        <n v="-5586.772500000021"/>
        <n v="-1577.8005999999987"/>
        <n v="1910.5449999999992"/>
        <n v="6509.5107999999891"/>
        <n v="61.841000000000349"/>
        <n v="3088.780999999999"/>
        <n v="3457.3768000000273"/>
        <n v="-1739.9839999999822"/>
        <n v="-7503.1680000003835"/>
        <n v="-2829.3650000000016"/>
        <n v="-3644.0100000003877"/>
        <n v="1956.84"/>
        <n v="12890.846499999998"/>
        <n v="-39812.636600000027"/>
        <n v="3474.885400000001"/>
        <n v="-12878.930600000356"/>
        <n v="-765.12480000007054"/>
        <n v="-1601.7299999999996"/>
        <n v="6961.0211999999992"/>
        <n v="-1134.114800000003"/>
        <n v="-10672.787999999986"/>
        <n v="-12894.341499999995"/>
        <n v="-25963.147000000259"/>
        <n v="-671.03520000000208"/>
        <n v="-1875.1239999999998"/>
        <n v="-16064.268000000011"/>
        <n v="-2447.8635999999969"/>
        <n v="428.09900000000198"/>
        <n v="-8177.3974999999919"/>
        <n v="7070.3373999999967"/>
        <n v="-30967.494999999995"/>
        <n v="-7022.71179999999"/>
        <n v="-2030.7120000000032"/>
        <n v="-10186.217600000004"/>
        <n v="2542.8600000000006"/>
        <n v="-1417.7507999999998"/>
        <n v="-4509.5159999999996"/>
        <n v="-7378.4988000000012"/>
        <n v="-3633.3567999999996"/>
        <n v="1165.0966999999982"/>
        <n v="4813.9951999999994"/>
        <n v="-2384.1076000000066"/>
        <n v="-2447.7856000000029"/>
        <n v="1232.630000000001"/>
        <n v="-11262.539200000014"/>
        <n v="-3035.9340000001321"/>
        <n v="-7095.382800000003"/>
        <n v="-28831.177499999976"/>
        <n v="-42729.697500000009"/>
        <n v="-7866.0472000000009"/>
        <n v="-16836.855000000003"/>
        <n v="-19351.691600000122"/>
        <n v="-18911.220999999961"/>
        <n v="1532.9200000000055"/>
        <n v="-11633.243999999992"/>
        <n v="-12400.470000000001"/>
        <n v="-10612.497000000003"/>
        <n v="13156.255999999994"/>
        <n v="-21595.944000000018"/>
        <n v="8707.1863999999987"/>
        <n v="-10904.367999999999"/>
        <n v="-3230.7576000000008"/>
        <n v="3386.5088000000014"/>
        <n v="-122.27600000000439"/>
        <n v="-73.951400000005378"/>
        <n v="19.948200000000043"/>
        <n v="10083.220000000005"/>
        <n v="-6549.1199999999953"/>
        <n v="6360.2063999996826"/>
        <n v="4383.3712000000005"/>
        <n v="-816.42000000000007"/>
        <n v="3570.2407999999996"/>
        <n v="-6015.3453000000009"/>
        <n v="4881.5663999999997"/>
        <n v="-3490.9200000000055"/>
        <n v="-53938.642900000006"/>
        <n v="-3239.2000000000007"/>
        <n v="-18653.423999999999"/>
        <n v="-15591.648000000001"/>
        <n v="6647.857999999731"/>
        <n v="931.28320000000008"/>
        <n v="54.606799999998657"/>
        <n v="-42880.21650000001"/>
        <n v="-8837.5429999999978"/>
        <n v="13540.503199999999"/>
        <n v="-2560.3775999999925"/>
        <n v="-7985.4570000000531"/>
        <n v="197.60560000000009"/>
        <n v="-14537.973899999997"/>
        <n v="-52.45679999999993"/>
        <n v="-2919.3480000000018"/>
        <n v="2393.6591999999946"/>
        <n v="-4467.4275000000016"/>
        <n v="12636.749700000015"/>
        <n v="-18004.341199999995"/>
        <n v="-2421.2079000000049"/>
        <n v="-11474.923200000005"/>
        <n v="-4734.3060000000114"/>
        <n v="-171.84360000001834"/>
        <n v="2716.8240000000005"/>
        <n v="-202.11800000000039"/>
        <n v="11665.5"/>
        <n v="-26702.910000000003"/>
        <n v="-28501.275599999994"/>
        <n v="-19697.87999999999"/>
        <n v="4531.5304999996879"/>
        <n v="8651.7960000000021"/>
        <n v="-4162.260000000002"/>
        <n v="7059.8261999996321"/>
        <n v="-2687.3783999999978"/>
        <n v="-4875.125"/>
        <n v="2314.7104000000036"/>
        <n v="-39466.229400000273"/>
        <n v="461.20999999999185"/>
        <n v="-11741.149999999994"/>
        <n v="-15085.921500000004"/>
        <n v="774.73199999999997"/>
        <n v="430.48999999999978"/>
        <n v="-12647.208000000006"/>
        <n v="2003.8799999999999"/>
        <n v="1580.9648000000016"/>
        <n v="-215.19519999998738"/>
        <n v="-2524.7920000000013"/>
        <n v="2598.8785000000062"/>
        <n v="2327.0433999999968"/>
        <n v="-4665.1290000000008"/>
        <n v="-1852.7167999999947"/>
        <n v="-9627.0090000000055"/>
        <n v="-3258.3528000000006"/>
        <n v="-399.08250000000407"/>
        <n v="-2363.1200000000026"/>
        <n v="-11898.585599999999"/>
        <n v="-4423.1526000000049"/>
        <n v="-7360.247199999998"/>
        <n v="-230.19599999999991"/>
        <n v="-16636.164000000004"/>
        <n v="-5032.3356000000022"/>
        <n v="14477.126399999956"/>
        <n v="-306.42540000000099"/>
        <n v="-2128.2449999999953"/>
        <n v="-5567.5234999999993"/>
        <n v="14611.743999999999"/>
        <n v="380.11659999999756"/>
        <n v="-4254.3936000000103"/>
        <n v="1590.4503999999979"/>
        <n v="689.74999999999977"/>
        <n v="-4302.9430999999968"/>
        <n v="-8199.1964000000007"/>
        <n v="5592.6689999998307"/>
        <n v="1235.0499999999975"/>
        <n v="-9894.7200000000012"/>
        <n v="8724.7599999999948"/>
        <n v="1333.3733999999968"/>
        <n v="4457.8449999996956"/>
        <n v="-2709.6388000000006"/>
        <n v="6.4844000000000506"/>
        <n v="-2407.0760000000082"/>
        <n v="235.60239999998885"/>
        <n v="5147.3279999999577"/>
        <n v="-586.88190000008581"/>
        <n v="2807.5631999999969"/>
        <n v="-36314.783399999986"/>
        <n v="1082.4665999999997"/>
        <n v="-117.7559999999994"/>
        <n v="1257.3299999999981"/>
        <n v="6769.5071999999927"/>
        <n v="763.81059999999889"/>
        <n v="-43306.150799999989"/>
        <n v="141.10559999999532"/>
        <n v="1874.7742999995826"/>
        <n v="-27716.323899999988"/>
        <n v="1256.6285999999996"/>
        <n v="-5052.6768000000011"/>
        <n v="396.98499999999331"/>
        <n v="-2227.7348000000002"/>
        <n v="2406.7571999999927"/>
        <n v="-582.3849999999984"/>
        <n v="793.09679999999207"/>
        <n v="-16592.443800000183"/>
        <n v="1535.9399999999951"/>
        <n v="-17780.825000000012"/>
        <n v="-7524.8404000000082"/>
        <n v="4462.1599999999889"/>
        <n v="-10130.760000000359"/>
        <n v="466.94399999955203"/>
        <n v="-35285.889200000005"/>
        <n v="-13242.92500000001"/>
        <n v="-114.14399999999659"/>
        <n v="-3789.5816000001141"/>
        <n v="2724.1871999996074"/>
        <n v="697.82000000000698"/>
        <n v="-38274.816000000006"/>
        <n v="8656.6087999999945"/>
        <n v="1911.1800000000003"/>
        <n v="-11153.659999999996"/>
        <n v="-28349.037500000006"/>
        <n v="-30528.825600000011"/>
        <n v="-23152.599200000026"/>
        <n v="-4099.9800000000796"/>
        <n v="5329.5269999999982"/>
        <n v="2668.0676000000003"/>
        <n v="-2298.1937000000034"/>
        <n v="9294.179999999993"/>
        <n v="4495.7639999999992"/>
        <n v="1712.1521999999968"/>
        <n v="-1160.2800000000025"/>
        <n v="-6278.1795999999995"/>
        <n v="-2383.8725999999988"/>
        <n v="-593.6224000000002"/>
        <n v="-3360.9599999999991"/>
        <n v="-38578.15499999997"/>
        <n v="-4616.8595999999961"/>
        <n v="1259.1699999999983"/>
        <n v="2600.9279999999981"/>
        <n v="-20832.526399999988"/>
        <n v="-2019.9438000000009"/>
        <n v="-37133.74000000002"/>
        <n v="9729.7070000000022"/>
        <n v="4522.2943999999998"/>
        <n v="1047.7614000000008"/>
        <n v="-7945.7839999999997"/>
        <n v="-7038.7646000000241"/>
        <n v="8189.2235999999657"/>
        <n v="-5259.5302999999985"/>
        <n v="4072.1472000000067"/>
        <n v="-1090.8323999999975"/>
        <n v="-297.3839999999982"/>
        <n v="1160.7557000000015"/>
        <n v="-580.62559999999939"/>
        <n v="-34186.04280000001"/>
        <n v="-326.45799999999963"/>
        <n v="-2392.623999999998"/>
        <n v="-11816.625600000014"/>
        <n v="2404.1123999999982"/>
        <n v="-11569.197000000007"/>
        <n v="1736.5072"/>
        <n v="1947.2431999999949"/>
        <n v="15147.272799999997"/>
        <n v="4987.3384000000005"/>
        <n v="-11810.152000000002"/>
        <n v="-7838.6399999999994"/>
        <n v="544.36199999999735"/>
        <n v="-4375.4735999999903"/>
        <n v="-6971.801999999996"/>
        <n v="-1136.0998000000018"/>
        <n v="-12887.495999999999"/>
        <n v="-4309.6409999999887"/>
        <n v="-1449.4176000000662"/>
        <n v="-6501.93"/>
        <n v="-1949.2408000002433"/>
        <n v="-3620.6400000000067"/>
        <n v="-32717.609999999986"/>
        <n v="3372.4403999999777"/>
        <n v="2797.3167999997386"/>
        <n v="-30489.482799999969"/>
        <n v="3226.74"/>
        <n v="-18878.510000000009"/>
        <n v="3753.7559999999739"/>
        <n v="-9437.1529999999984"/>
        <n v="-9853.2112000000052"/>
        <n v="-1942.948000000004"/>
        <n v="25.605999999992491"/>
        <n v="-241.88639999999941"/>
        <n v="-50758.825500000006"/>
        <n v="-18638.824000000022"/>
        <n v="-20587.433499999999"/>
        <n v="-963.92640000000029"/>
        <n v="-13519.713000000003"/>
        <n v="-11324.649600000004"/>
        <n v="881.44739999999001"/>
        <n v="-8122.1004000000248"/>
        <n v="3155.5123999999996"/>
        <n v="874.22920000000067"/>
        <n v="19041.321599999996"/>
        <n v="51.055199999984325"/>
        <n v="3552.0443999999843"/>
        <n v="-5402.9592000000048"/>
        <n v="-19451.865999999995"/>
        <n v="-1047.8000000000029"/>
        <n v="-5093.1575000001831"/>
        <n v="-926.69999999999891"/>
        <n v="-6097.6440000002913"/>
        <n v="-163.81920000000082"/>
        <n v="-5965.1152000000002"/>
        <n v="-15569.683199999999"/>
        <n v="3097.7536000000036"/>
        <n v="-5224.2839999999924"/>
        <n v="-4339.5374999999985"/>
        <n v="4619.854800000001"/>
        <n v="3408.623999999978"/>
        <n v="14467.076999999554"/>
        <n v="-15774.073600000011"/>
        <n v="7577.1383999999816"/>
        <n v="-4497.261599999998"/>
        <n v="-4337.3096000000005"/>
        <n v="-48726.095000000001"/>
        <n v="4303.3680000000022"/>
        <n v="1548.1872000000149"/>
        <n v="2204.3031999999821"/>
        <n v="17931.195599999999"/>
        <n v="8300.3040000000074"/>
        <n v="296.36459999999988"/>
        <n v="-15950.610000000015"/>
        <n v="6776.0574000000006"/>
        <n v="17250.099999999999"/>
        <n v="796.53059999999914"/>
        <n v="4640.2536000000109"/>
        <n v="991.98600000000079"/>
        <n v="4288.789999999819"/>
        <n v="1672.8992999999991"/>
        <n v="-35209.216000000029"/>
        <n v="-1330.637999999999"/>
        <n v="6390.9144000000015"/>
        <n v="-3956.8830000000016"/>
        <n v="778.56399999999985"/>
        <n v="3514.216000000004"/>
        <n v="2668.0258000000003"/>
        <n v="-9145.8672000000006"/>
        <n v="7961.1399999997884"/>
        <n v="-1050.2759999999998"/>
        <n v="9297.1273999999976"/>
        <n v="-17296.787199999992"/>
        <n v="-2134.0167999999976"/>
        <n v="-9804.9016000000047"/>
        <n v="12649.946399999986"/>
        <n v="1469.7584999999244"/>
        <n v="8676.3768000000055"/>
        <n v="5302.9219999999987"/>
        <n v="-2571.9204000000027"/>
        <n v="-285.31999999999971"/>
        <n v="-441.8108000000002"/>
        <n v="-5763.0972000003676"/>
        <n v="-11317.614000000016"/>
        <n v="-26236.307499999995"/>
        <n v="8272.9079999996902"/>
        <n v="5639.936400000006"/>
        <n v="-28228.81700000001"/>
        <n v="-5113.1431999999913"/>
        <n v="-10073.915000000001"/>
        <n v="3178.8543999999965"/>
        <n v="76.374400000000151"/>
        <n v="537.24799999999959"/>
        <n v="-467.81039999999939"/>
        <n v="368.8420000000001"/>
        <n v="-9264.088800000005"/>
        <n v="-6976.5654000001232"/>
        <n v="1602.1568000000116"/>
        <n v="4729.0127999999968"/>
        <n v="-2166.4943999999959"/>
        <n v="-5923.5304000000033"/>
        <n v="-35352.392400000273"/>
        <n v="3923.8838999999971"/>
        <n v="2951.5371999999988"/>
        <n v="-4426.9439999999959"/>
        <n v="-54.932799999999929"/>
        <n v="-717.4442000000945"/>
        <n v="-1220.268"/>
        <n v="-2432.0831999999973"/>
        <n v="1205.6800000000003"/>
        <n v="-3856.7853999999934"/>
        <n v="13076.734800000002"/>
        <n v="-6924.2064000000028"/>
        <n v="949.91750000001048"/>
        <n v="6394.4870999999994"/>
        <n v="-34852.860900000014"/>
        <n v="1618.2628000000004"/>
        <n v="-2267.2523999999976"/>
        <n v="-5833.2863999999972"/>
        <n v="-314.4976999999999"/>
        <n v="3547.9030999999959"/>
        <n v="-1990.0048000000024"/>
        <n v="10167.028200000001"/>
        <n v="-224.32270000000062"/>
        <n v="-274.33359999999993"/>
        <n v="-5474.531999999992"/>
        <n v="3652.9775999999997"/>
        <n v="86.725199999998949"/>
        <n v="-16245.319199999998"/>
        <n v="5383.8266999999978"/>
        <n v="-1215.9082000000053"/>
        <n v="-7712.1880000000056"/>
        <n v="-31299.356000000029"/>
        <n v="14282.888599999991"/>
        <n v="324.02149999999892"/>
        <n v="-35246.015999999974"/>
        <n v="323.45219999999972"/>
        <n v="927.22559999999976"/>
        <n v="-140.4375"/>
        <n v="-14860.435800000007"/>
        <n v="-3276.8010000000031"/>
        <n v="-7136.163999999997"/>
        <n v="-1515.9120000000003"/>
        <n v="11073.656999999999"/>
        <n v="-2351.4800000000105"/>
        <n v="54.838399999999638"/>
        <n v="-23407.23599999999"/>
        <n v="-13534.743999999999"/>
        <n v="7849.9449999999997"/>
        <n v="-18600.59040000019"/>
        <n v="1915.3050000000003"/>
        <n v="-38890.335999999996"/>
        <n v="160.43000000000029"/>
        <n v="-4603.8804000000091"/>
        <n v="-4762.8800000000047"/>
        <n v="9346.8936000000031"/>
        <n v="-9180.7014000000927"/>
        <n v="-12768.941599999998"/>
        <n v="11967.967200000006"/>
        <n v="18860.62999999999"/>
        <n v="1492.7280000000028"/>
        <n v="-8975.9775999999983"/>
        <n v="13936.482"/>
        <n v="2496.2013999997871"/>
        <n v="1709.1080000000002"/>
        <n v="4971.4019999999946"/>
        <n v="9835.927199999991"/>
        <n v="9250.7767000000167"/>
        <n v="-13010.057599999993"/>
        <n v="7111.1475999999966"/>
        <n v="5326.3359999999993"/>
        <n v="5941.3925999999774"/>
        <n v="4180.7099999999991"/>
        <n v="207.45840000000021"/>
        <n v="-6191.3543999999893"/>
        <n v="-31886.831999999995"/>
        <n v="-4121.5023000000001"/>
        <n v="384.28080000000773"/>
        <n v="-14074.585200000205"/>
        <n v="867.5010000000002"/>
        <n v="467.44999999999891"/>
        <n v="3974.9664000000048"/>
        <n v="-15776.136000000013"/>
        <n v="2265.8303999999916"/>
        <n v="-7791.8699999999953"/>
        <n v="-12869.352600000275"/>
        <n v="-824.66640000000007"/>
        <n v="156.1259"/>
        <n v="-8182.3248000000021"/>
        <n v="-3241.9631999999983"/>
        <n v="-2575.0331999999908"/>
        <n v="-16.463199999999915"/>
        <n v="-11411.834700000007"/>
        <n v="-5784.8643999999986"/>
        <n v="154.97760000000017"/>
        <n v="12303.800999999999"/>
        <n v="-5799.9900000000052"/>
        <n v="-224.76720000000569"/>
        <n v="-9823.7515999999887"/>
        <n v="3756.8384000000005"/>
        <n v="-12135.650000000016"/>
        <n v="5192.6471999999994"/>
        <n v="-7366.7520000000004"/>
        <n v="8342.4389999998093"/>
        <n v="-2159.6799999999985"/>
        <n v="-11358.434999999998"/>
        <n v="-1137.0968000000012"/>
        <n v="-7513.2348000000056"/>
        <n v="43.156800000004296"/>
        <n v="3631.4591999999975"/>
        <n v="-11130.296800000098"/>
        <n v="-5074.4184000000096"/>
        <n v="-3307.3871999999974"/>
        <n v="7358.0012000000015"/>
        <n v="711.42119999999704"/>
        <n v="-5995.69200000001"/>
        <n v="6670.1700000000128"/>
        <n v="-9812.1240000000107"/>
        <n v="1529.5983999999989"/>
        <n v="1370.3508000000002"/>
        <n v="5926.0800000000008"/>
        <n v="-34551.309599999993"/>
        <n v="-12265.937500000182"/>
        <n v="12532.185600000004"/>
        <n v="-4737.2225999999937"/>
        <n v="-8165.497500000376"/>
        <n v="-38513.937600000034"/>
        <n v="-4184.676000000145"/>
        <n v="3547.2491999999984"/>
        <n v="-13010.462800000008"/>
        <n v="110.96880000000056"/>
        <n v="-13898.881600000001"/>
        <n v="-7478.2464000000036"/>
        <n v="12677.102999999988"/>
        <n v="-3528.0063999999984"/>
        <n v="-2067.2080000000005"/>
        <n v="-233.5948000000003"/>
        <n v="3037.8389999999927"/>
        <n v="-13170.647999999986"/>
        <n v="-1682.4639999999999"/>
        <n v="2418.2652000000089"/>
        <n v="-1529.6949999999997"/>
        <n v="-2480.2008000001006"/>
        <n v="-1540.4016000000011"/>
        <n v="1670.1143999999986"/>
        <n v="-3477.2111999999979"/>
        <n v="-16970.681800000122"/>
        <n v="-38717.099999999977"/>
        <n v="-11748.919800000003"/>
        <n v="-2075.9760000000024"/>
        <n v="862.85499999999593"/>
        <n v="-40371.485999999975"/>
        <n v="-9469.1200000000099"/>
        <n v="1416.5069999999978"/>
        <n v="8816.5615999995935"/>
        <n v="-633.32650000000285"/>
        <n v="-11971.655599999998"/>
        <n v="-28376.306400000016"/>
        <n v="-2926.1320000000123"/>
        <n v="13980.459999999992"/>
        <n v="165.01949999999988"/>
        <n v="-1795.2750000000015"/>
        <n v="1144.411199999995"/>
        <n v="5196.4819999999963"/>
        <n v="10476.751999999997"/>
        <n v="1079.4070000000011"/>
        <n v="341.17799999999988"/>
        <n v="-6468.4899999999907"/>
        <n v="7952.8415999999997"/>
        <n v="-3662.7584999999963"/>
        <n v="-9032.2469999999958"/>
        <n v="-7699.3748000001287"/>
        <n v="-20222.652799999996"/>
        <n v="-12862.829000000129"/>
        <n v="8111.9527999999846"/>
        <n v="5291.5110999999997"/>
        <n v="8345.894400000001"/>
        <n v="-24753.592000000004"/>
        <n v="-4447.795299999998"/>
        <n v="-10791.608000000007"/>
        <n v="1310.7500000000146"/>
        <n v="-4554.4880000000358"/>
        <n v="-1875.8250000000044"/>
        <n v="2111.0404999997336"/>
        <n v="-816.00840000000244"/>
        <n v="-4.752500000235159"/>
        <n v="-1060.0140000000029"/>
        <n v="1183.5559999997931"/>
        <n v="-618.96599999999853"/>
        <n v="-25449.210000000021"/>
        <n v="-2349.377999999997"/>
        <n v="-14188.613400000002"/>
        <n v="8325.0274999999965"/>
        <n v="822.78880000000026"/>
        <n v="132.84960000000001"/>
        <n v="-760.33999999999651"/>
        <n v="-13280.168000000005"/>
        <n v="606.66870000000017"/>
        <n v="4725.6959999999999"/>
        <n v="-1298.397100000001"/>
        <n v="-4266.9899999999907"/>
        <n v="6196.113400000002"/>
        <n v="-14774.8992"/>
        <n v="-4845.1182999999946"/>
        <n v="-3587.9379999999946"/>
        <n v="-17011.290399999983"/>
        <n v="196.77919999999722"/>
        <n v="-3912.9160000002885"/>
        <n v="3399.8399999999983"/>
        <n v="-35465.622800000012"/>
        <n v="332.90790000000106"/>
        <n v="-401.77"/>
        <n v="-24371.23900000038"/>
        <n v="-287.2364"/>
        <n v="-3496.3390000000036"/>
        <n v="-742.40399999999954"/>
        <n v="6445.6559999999999"/>
        <n v="6917.5"/>
        <n v="1071.0959999999977"/>
        <n v="432.83039999999892"/>
        <n v="-6176.1879999999946"/>
        <n v="-25449.48000000001"/>
        <n v="11257.372500000012"/>
        <n v="-1082.5115999999998"/>
        <n v="-10547.32699999999"/>
        <n v="-1944.7010000000028"/>
        <n v="-5649.1560000000172"/>
        <n v="5435.0736000000034"/>
        <n v="-470.70720000000074"/>
        <n v="-4282.6140000000014"/>
        <n v="-4913.3969999999972"/>
        <n v="-667.0580000000009"/>
        <n v="-1204.0236000000768"/>
        <n v="3869.1743999999962"/>
        <n v="-79.705600000034792"/>
        <n v="-6281.9320000000153"/>
        <n v="12195.529999999999"/>
        <n v="-5465.6937000002217"/>
        <n v="-37983.388500000001"/>
        <n v="-442.53020000003744"/>
        <n v="1706.3162999998858"/>
        <n v="-2973.7811999999976"/>
        <n v="-1408.0176000000065"/>
        <n v="-1281.9408000000112"/>
        <n v="-28409.432000000001"/>
        <n v="-2569.6080000000075"/>
        <n v="-17190.806599999996"/>
        <n v="7306.5987000000096"/>
        <n v="-9446.7145000001474"/>
        <n v="-71.952000000068438"/>
        <n v="-7427.4495999999999"/>
        <n v="-3539.1384000000107"/>
        <n v="5389.5400000000027"/>
        <n v="-9797.5679999999847"/>
        <n v="-2210.6499999999942"/>
        <n v="2155.6059999999925"/>
        <n v="-21961.83719999998"/>
        <n v="-2245.4692000000032"/>
        <n v="1068.3904000000039"/>
        <n v="371.06010000000015"/>
        <n v="-8832.5679999999993"/>
        <n v="1435.7311999999947"/>
        <n v="-35292.576000000001"/>
        <n v="-13971.804600000003"/>
        <n v="-8273.1360000000059"/>
        <n v="4793.4419999999991"/>
        <n v="562.33069999999952"/>
        <n v="-1456.8680000001077"/>
        <n v="1694.4708000000001"/>
        <n v="-30301.400999999998"/>
        <n v="7770.991200000004"/>
        <n v="7094.055600000007"/>
        <n v="-517.31020000000717"/>
        <n v="-7264.5207999999984"/>
        <n v="4023.6586000000098"/>
        <n v="16281.95"/>
        <n v="-2920.5622000000003"/>
        <n v="1348.482"/>
        <n v="-54935.73000000001"/>
        <n v="-23091.064799999993"/>
        <n v="3790.5811999999933"/>
        <n v="8468.5859999996319"/>
        <n v="-7768.6839999999938"/>
        <n v="384.42290000000003"/>
        <n v="7284.3819999999541"/>
        <n v="-17538.012000000002"/>
        <n v="572.22719999999936"/>
        <n v="-7208.1596999999892"/>
        <n v="-384.54360000000088"/>
        <n v="-8472.1900999999925"/>
        <n v="-24771.56759999998"/>
        <n v="246.36999999999989"/>
        <n v="3835.0899999999783"/>
        <n v="-10890.153599999998"/>
        <n v="576.68000000000757"/>
        <n v="-3126.0168000000012"/>
        <n v="-345.71300000001793"/>
        <n v="-1126.708800000004"/>
        <n v="969.84780000000319"/>
        <n v="-8246.4786000000022"/>
        <n v="-8515.7407999999996"/>
        <n v="-13243.992000000013"/>
        <n v="-3004.9151999999995"/>
        <n v="-7892.5651999999936"/>
        <n v="-3857.9000000000015"/>
        <n v="-2433.3312000000278"/>
        <n v="-9264.8611000000747"/>
        <n v="-5136.0319999999992"/>
        <n v="-13462.23060000001"/>
        <n v="82.049099999996542"/>
        <n v="9043.3884000000035"/>
        <n v="-12070.520000000004"/>
        <n v="-5310.5583999999944"/>
        <n v="-24376.861599999989"/>
        <n v="-6571.219600000004"/>
        <n v="13217.895000000004"/>
        <n v="7095.0123999999996"/>
        <n v="-5323.275999999998"/>
        <n v="6997.3899999999994"/>
        <n v="-13989.700400000002"/>
        <n v="-31388.042399999991"/>
        <n v="-10421.557500000192"/>
        <n v="9048.4524000000019"/>
        <n v="4603.8899999999994"/>
        <n v="-2212.6070999999974"/>
        <n v="-3375.3024000000041"/>
        <n v="92.610000000000582"/>
        <n v="669.29099999999744"/>
        <n v="5074.1809999996985"/>
        <n v="9092.0039999999972"/>
        <n v="946.67719999999917"/>
        <n v="7059.3791999999994"/>
        <n v="645.72270000000071"/>
        <n v="1279.8399999998437"/>
        <n v="4062.9040000000241"/>
        <n v="5054.5800000000017"/>
        <n v="-6422.1833999999944"/>
        <n v="5598.8820000000123"/>
        <n v="1382.4810000000016"/>
        <n v="17682.611599999997"/>
        <n v="-7356.4999999999927"/>
        <n v="12848.445999999982"/>
        <n v="12578.41199999964"/>
        <n v="5122.1352000000043"/>
        <n v="-38596.007200000284"/>
        <n v="-2020.4004999999997"/>
        <n v="5262.9799999999923"/>
        <n v="-8895.5706000000064"/>
        <n v="-6237.91"/>
        <n v="551.52899999999499"/>
        <n v="-534.42050000000017"/>
        <n v="7109.6111999999994"/>
        <n v="8349.4039999999986"/>
        <n v="-5527.0869999999995"/>
        <n v="1771.2199999999993"/>
        <n v="-561.42000000008193"/>
        <n v="-8680.6923000000024"/>
        <n v="20832.446399999986"/>
        <n v="4766.8719999999958"/>
        <n v="-8962.8876000000018"/>
        <n v="-7069.1675999999861"/>
        <n v="-347.88600000000088"/>
        <n v="-10050.990400000002"/>
        <n v="4976.5255999999663"/>
        <n v="-28.390399999999772"/>
        <n v="1316.9389999999985"/>
        <n v="-125.84000000000015"/>
        <n v="-36464.791200000007"/>
        <n v="-8352.7339999999967"/>
        <n v="23.622000000000298"/>
        <n v="-5.9719000000000051"/>
        <n v="950.45999999999958"/>
        <n v="-16941.954000000216"/>
        <n v="-1441.309500000003"/>
        <n v="-4883.1334999999963"/>
        <n v="1874.7215999999971"/>
        <n v="869.92320000000109"/>
        <n v="815.26720000000023"/>
        <n v="-19583.726399999985"/>
        <n v="8300.6683999999659"/>
        <n v="2523.0339000000022"/>
        <n v="10524.287999999999"/>
        <n v="-12332.623800000001"/>
        <n v="2298.3588000000009"/>
        <n v="-3418.203600000008"/>
        <n v="-22167.101200000005"/>
        <n v="378.86719999999696"/>
        <n v="7603.2039999999961"/>
        <n v="-40534.092500000028"/>
        <n v="-21428.982499999998"/>
        <n v="-4316.4140000000007"/>
        <n v="-10647.26800000028"/>
        <n v="956.31459999999879"/>
        <n v="816.11789999998291"/>
        <n v="-5550.4896000000153"/>
      </sharedItems>
    </cacheField>
    <cacheField name="ProfitMargin" numFmtId="0">
      <sharedItems containsSemiMixedTypes="0" containsString="0" containsNumber="1" minValue="-0.4022957970414856" maxValue="0.82091321872291856" count="1000">
        <n v="0.37183914805350343"/>
        <n v="-1.8681499602178225E-2"/>
        <n v="0.11968228325255791"/>
        <n v="1.1046285225522227E-2"/>
        <n v="-1.2050968063056518E-4"/>
        <n v="-3.0483688650905828E-2"/>
        <n v="-6.7395501093756832E-2"/>
        <n v="-6.1228034573727219E-2"/>
        <n v="0.29078893317093263"/>
        <n v="4.5116637309043792E-2"/>
        <n v="-0.25872816411424615"/>
        <n v="-5.1952286446451515E-2"/>
        <n v="2.9761811914083981E-2"/>
        <n v="-0.22647606336272"/>
        <n v="-0.24530287383627106"/>
        <n v="0.69692877488602634"/>
        <n v="5.1512203582834482E-2"/>
        <n v="-8.2547344189860136E-2"/>
        <n v="-0.28402422277569511"/>
        <n v="1.9821619682186476E-2"/>
        <n v="-0.20825969023084767"/>
        <n v="-6.7063284617211921E-2"/>
        <n v="5.8554452666627357E-2"/>
        <n v="-0.2151299273332912"/>
        <n v="-0.137494315389804"/>
        <n v="-0.16554846144675667"/>
        <n v="-3.2424271633999125E-3"/>
        <n v="8.8040096987266947E-2"/>
        <n v="-0.16099456790300229"/>
        <n v="-0.19506524326527713"/>
        <n v="7.8121455307902946E-2"/>
        <n v="9.6385868746146991E-2"/>
        <n v="0.20386755925747094"/>
        <n v="-0.30015219631729578"/>
        <n v="-0.18291901113910264"/>
        <n v="-2.2742015136495826E-2"/>
        <n v="0.22420618045106044"/>
        <n v="-0.37044512938289342"/>
        <n v="0.26578344120819836"/>
        <n v="-0.10585976671061643"/>
        <n v="-0.2514967587431356"/>
        <n v="-0.10389217648333969"/>
        <n v="-5.1977385091459119E-2"/>
        <n v="-7.2886179137835244E-3"/>
        <n v="0.23940249435762861"/>
        <n v="-0.17516132906009177"/>
        <n v="-0.20514915216971022"/>
        <n v="-0.20722987225413916"/>
        <n v="-2.768203558681067E-2"/>
        <n v="-6.9982395060493738E-2"/>
        <n v="4.1384320403958605E-2"/>
        <n v="8.4331004591810269E-2"/>
        <n v="-0.3140906879353208"/>
        <n v="3.40578480004134E-2"/>
        <n v="-0.24244696489711318"/>
        <n v="8.6816359487168079E-2"/>
        <n v="-8.9561385442465266E-2"/>
        <n v="-0.16616009318059574"/>
        <n v="-2.0222212854266043E-2"/>
        <n v="-9.7846323179349402E-3"/>
        <n v="-0.22151826508142478"/>
        <n v="-4.0719986016385386E-2"/>
        <n v="6.0815219143668379E-2"/>
        <n v="-0.2518810910016086"/>
        <n v="3.8666702062439655E-2"/>
        <n v="-0.2924721035185972"/>
        <n v="-5.1470747248749067E-2"/>
        <n v="2.4778795038135303E-2"/>
        <n v="-0.22310757462544178"/>
        <n v="-3.8618519939883696E-2"/>
        <n v="5.1137766686463141E-3"/>
        <n v="-0.13908013265990046"/>
        <n v="-9.3438666454860372E-3"/>
        <n v="1.7656048350324176E-2"/>
        <n v="2.5075973083046366E-2"/>
        <n v="-0.11442944297810924"/>
        <n v="1.5163186707821796E-2"/>
        <n v="-0.25399595787239465"/>
        <n v="-0.15198003662635087"/>
        <n v="-0.13440425286027957"/>
        <n v="-8.9814602366851959E-2"/>
        <n v="-0.16124735839862137"/>
        <n v="-6.1942316755823498E-2"/>
        <n v="-0.13607018934590193"/>
        <n v="-4.9856138918106148E-2"/>
        <n v="-0.19411374118820526"/>
        <n v="0.16409444664292319"/>
        <n v="0.47374670099567018"/>
        <n v="-0.27748339814266815"/>
        <n v="4.6730641425407206E-2"/>
        <n v="4.2689957668622332E-2"/>
        <n v="-4.1629511929311774E-2"/>
        <n v="-9.1330029545321462E-2"/>
        <n v="-0.15389337974211145"/>
        <n v="-0.25523627477560124"/>
        <n v="0.2497596282697255"/>
        <n v="7.0232062472735765E-2"/>
        <n v="-4.8087985357849236E-2"/>
        <n v="1.0074786884164487E-2"/>
        <n v="-6.4495834007719785E-2"/>
        <n v="0.22365023893607411"/>
        <n v="-9.9666076181739741E-2"/>
        <n v="-0.12297799842453334"/>
        <n v="0.31245434811565231"/>
        <n v="-8.7611726478063506E-2"/>
        <n v="-0.1380027580268568"/>
        <n v="-6.4194755821089397E-2"/>
        <n v="7.5373624229516127E-3"/>
        <n v="6.8373205380526547E-2"/>
        <n v="0.1128636667938188"/>
        <n v="0.44843877899285001"/>
        <n v="-6.3339750815632812E-2"/>
        <n v="-7.7873503039822323E-2"/>
        <n v="-0.12231023119122116"/>
        <n v="-0.34076090014302235"/>
        <n v="0.22067101130200584"/>
        <n v="-2.1255605405827917E-2"/>
        <n v="0.3199353598444134"/>
        <n v="0.80401559239333931"/>
        <n v="-5.7398183284353886E-2"/>
        <n v="-8.8078994061375655E-3"/>
        <n v="-7.2847740598582317E-2"/>
        <n v="0.58481580947870837"/>
        <n v="-0.10067334713439552"/>
        <n v="-8.5022393115160674E-2"/>
        <n v="0.10580118721793066"/>
        <n v="-1.7522911206752045E-2"/>
        <n v="4.9373545483640216E-2"/>
        <n v="-0.23609682831272399"/>
        <n v="1.0139449499441207E-2"/>
        <n v="-4.6648410384303E-2"/>
        <n v="-7.7570978436534821E-2"/>
        <n v="-0.2964744789716709"/>
        <n v="-4.7015277788770175E-2"/>
        <n v="-7.3952578979818009E-2"/>
        <n v="-0.18107203078556675"/>
        <n v="0.21700177954141006"/>
        <n v="0.11950017380063797"/>
        <n v="-0.34428093504015023"/>
        <n v="-0.26015193083925559"/>
        <n v="-4.1870091156618224E-2"/>
        <n v="-0.24231679233008757"/>
        <n v="-0.39129640104243313"/>
        <n v="-0.19225145653968345"/>
        <n v="-0.26769234635221989"/>
        <n v="-0.20031020890509479"/>
        <n v="0.10925209941729536"/>
        <n v="0.50609845271871068"/>
        <n v="-7.2551112223791913E-3"/>
        <n v="-0.12541928159675647"/>
        <n v="0.63702195882045642"/>
        <n v="0.38709072305593456"/>
        <n v="-0.1614563353183151"/>
        <n v="-7.0736197847867648E-3"/>
        <n v="3.2986638401890055E-2"/>
        <n v="-0.24806783588805015"/>
        <n v="-0.24638919848742588"/>
        <n v="-8.6390350834207166E-2"/>
        <n v="-0.34923475545588262"/>
        <n v="0.21390142928187147"/>
        <n v="-0.18853163465170525"/>
        <n v="8.8489272784734979E-2"/>
        <n v="-0.18700271274132171"/>
        <n v="-0.17472492191751302"/>
        <n v="0.15010389555903722"/>
        <n v="-0.18022492888407815"/>
        <n v="-0.22519918405429873"/>
        <n v="-0.22008587781542485"/>
        <n v="2.1104624889667178E-3"/>
        <n v="-3.2728389524011914E-2"/>
        <n v="-3.9379449167184943E-2"/>
        <n v="0.14349042545639321"/>
        <n v="-0.17370820272436424"/>
        <n v="-0.1125617739193342"/>
        <n v="-0.31232991282731282"/>
        <n v="6.2977355476814795E-2"/>
        <n v="-9.2541819630970537E-2"/>
        <n v="0.60425010012014413"/>
        <n v="0.45857257818956904"/>
        <n v="8.3170506704659392E-2"/>
        <n v="5.3145135626601761E-3"/>
        <n v="0.10378619145565421"/>
        <n v="6.1471856606916613E-2"/>
        <n v="-3.7101959801347666E-2"/>
        <n v="-0.24847372148066987"/>
        <n v="-0.31103288167296256"/>
        <n v="-0.38931349304656204"/>
        <n v="-0.26104379449525039"/>
        <n v="-0.33366823034938842"/>
        <n v="-0.10314035061982244"/>
        <n v="1.5798904590193591E-2"/>
        <n v="2.240099437140983E-2"/>
        <n v="6.1250230304975048E-2"/>
        <n v="6.2030344769886149E-2"/>
        <n v="-0.13267642082214701"/>
        <n v="0.29038878480428015"/>
        <n v="-0.31609981970833606"/>
        <n v="-0.33562164158669583"/>
        <n v="8.9029988933568616E-2"/>
        <n v="7.5936131573361473E-2"/>
        <n v="-0.22041345962550005"/>
        <n v="-4.62542291030607E-2"/>
        <n v="-2.2817563428554215E-2"/>
        <n v="-6.2546543687679326E-2"/>
        <n v="0.26296373436336329"/>
        <n v="0.10290825083292264"/>
        <n v="-0.26047370710631484"/>
        <n v="-9.5460135692542497E-2"/>
        <n v="-5.736371334181297E-2"/>
        <n v="-5.5779129077988952E-2"/>
        <n v="-8.9713048327941358E-2"/>
        <n v="0.18658458493977101"/>
        <n v="-0.13017066606124966"/>
        <n v="6.043507158658503E-2"/>
        <n v="4.7248387106178284E-2"/>
        <n v="-0.11189055764718239"/>
        <n v="-0.186383714421131"/>
        <n v="-0.17928259325191276"/>
        <n v="-7.9124410221252398E-2"/>
        <n v="-0.23044073969179985"/>
        <n v="-0.24182441605237454"/>
        <n v="-4.0373264984823534E-2"/>
        <n v="-0.22752041683344226"/>
        <n v="4.8485376539199349E-2"/>
        <n v="-0.16998185279847122"/>
        <n v="-1.4259081360623472E-3"/>
        <n v="-0.31420345091204499"/>
        <n v="-0.11350763885651945"/>
        <n v="-7.7713333422013003E-3"/>
        <n v="-1.6230789388312843E-2"/>
        <n v="-0.12458516024321128"/>
        <n v="0.49263793606772738"/>
        <n v="-9.4153289652734007E-2"/>
        <n v="-0.13052708976234109"/>
        <n v="3.4954950925786092E-2"/>
        <n v="1.985461051030837E-2"/>
        <n v="-0.17228980643614791"/>
        <n v="-2.6352888466604159E-2"/>
        <n v="0.17369176748219436"/>
        <n v="-0.33957881176771348"/>
        <n v="-0.12146066474352157"/>
        <n v="-1.0087674242857132E-2"/>
        <n v="-0.24792435054908257"/>
        <n v="0.39933156973917439"/>
        <n v="0.12833714625613776"/>
        <n v="5.884980488321865E-2"/>
        <n v="-0.34329443005802529"/>
        <n v="-6.6629985921067919E-2"/>
        <n v="3.3245351532026783E-2"/>
        <n v="-0.15192234539336075"/>
        <n v="-3.1754501443032421E-2"/>
        <n v="-0.26370446618380494"/>
        <n v="-3.4013816628103995E-2"/>
        <n v="6.017048598277798E-2"/>
        <n v="-0.20042033653803079"/>
        <n v="-7.4861195153015356E-2"/>
        <n v="-3.0350731048746273E-2"/>
        <n v="-0.14625977160532141"/>
        <n v="0.22145045763997667"/>
        <n v="5.3013098946161359E-2"/>
        <n v="2.4091723781322037E-3"/>
        <n v="0.10967209977950046"/>
        <n v="2.4403942928898206E-2"/>
        <n v="-2.5037745467852732E-2"/>
        <n v="-3.7548846938414739E-2"/>
        <n v="-0.14311916535212824"/>
        <n v="-1.93381591566484E-2"/>
        <n v="0.56351510125095028"/>
        <n v="0.55457509140907524"/>
        <n v="-0.38111826447682501"/>
        <n v="0.40650466821960091"/>
        <n v="-0.19816297394230137"/>
        <n v="-2.9118775299520248E-2"/>
        <n v="-6.6213675552865753E-2"/>
        <n v="0.21541438105617844"/>
        <n v="-6.4362074776030342E-2"/>
        <n v="-0.10385907224340388"/>
        <n v="-0.20931143030177676"/>
        <n v="-0.23297535481430862"/>
        <n v="-3.062895407727325E-2"/>
        <n v="-0.19368862671552872"/>
        <n v="-0.20827837766297319"/>
        <n v="-8.8338105396580963E-2"/>
        <n v="1.396729583157307E-2"/>
        <n v="-8.5596184900648881E-2"/>
        <n v="9.7674513418396808E-2"/>
        <n v="-0.32053929276190735"/>
        <n v="-6.7655571537020939E-2"/>
        <n v="-0.11395889759686047"/>
        <n v="-0.23749244078595469"/>
        <n v="5.5748262676248099E-2"/>
        <n v="-0.13826495855827767"/>
        <n v="-0.26299148236041697"/>
        <n v="-0.17441082036821448"/>
        <n v="-0.23819912346085897"/>
        <n v="5.0376968537723353E-2"/>
        <n v="0.38564238664906325"/>
        <n v="-9.3242651750768721E-2"/>
        <n v="-6.4606331757592658E-2"/>
        <n v="3.9244134217658003E-2"/>
        <n v="-0.16977267143825145"/>
        <n v="-6.5630937799588521E-2"/>
        <n v="-0.26484462697054872"/>
        <n v="-0.27538481916502611"/>
        <n v="-0.25823088442996806"/>
        <n v="-0.1758812222427513"/>
        <n v="-0.30641352860956461"/>
        <n v="-0.29734537703328057"/>
        <n v="-0.14185219507049437"/>
        <n v="2.7576777810059402E-2"/>
        <n v="-0.28714873335828645"/>
        <n v="-0.30912109484547651"/>
        <n v="-0.13143362838916647"/>
        <n v="8.8232914480603913E-2"/>
        <n v="-0.15038818301801887"/>
        <n v="0.11753941202318396"/>
        <n v="-0.35191691426529553"/>
        <n v="-0.10960651788590967"/>
        <n v="0.18283928539304234"/>
        <n v="-3.4525014230600233E-2"/>
        <n v="-8.1007999905045956E-4"/>
        <n v="3.1624745433497921E-2"/>
        <n v="0.24228509531042125"/>
        <n v="-8.0114303609175541E-2"/>
        <n v="0.16964202724989175"/>
        <n v="0.47937281342268451"/>
        <n v="-9.1629629629629644E-2"/>
        <n v="0.18272980198011288"/>
        <n v="-6.6679528703156049E-2"/>
        <n v="0.15445977965712729"/>
        <n v="-6.5769460981387362E-2"/>
        <n v="-0.33871104886555353"/>
        <n v="-0.2773097733031985"/>
        <n v="-0.20995190608991435"/>
        <n v="-0.29212442353212031"/>
        <n v="6.3698974598990654E-2"/>
        <n v="0.36279569570767511"/>
        <n v="6.7770494832285269E-3"/>
        <n v="-0.2879427693267036"/>
        <n v="-0.23901751958115294"/>
        <n v="0.68312329233091129"/>
        <n v="-2.1839795858595228E-2"/>
        <n v="-4.6180441683330457E-2"/>
        <n v="0.10469250732296981"/>
        <n v="-0.20927865125428113"/>
        <n v="-1.7793527672489002E-2"/>
        <n v="-0.11244552299847341"/>
        <n v="6.6761773064941438E-2"/>
        <n v="-0.22606754127254441"/>
        <n v="6.4924044091667701E-2"/>
        <n v="-0.3178875179336258"/>
        <n v="-8.688655647404471E-2"/>
        <n v="-0.16836923065654377"/>
        <n v="-7.4093303074419983E-2"/>
        <n v="-2.8077201012669518E-2"/>
        <n v="0.29373788536539169"/>
        <n v="-1.5461510616468463E-2"/>
        <n v="0.1964099847761426"/>
        <n v="-0.24370528563801391"/>
        <n v="-0.16775365107956083"/>
        <n v="-0.32859044549649169"/>
        <n v="5.3759924409412886E-2"/>
        <n v="0.18155942320661148"/>
        <n v="-0.22797110720654809"/>
        <n v="4.1940126438762187E-2"/>
        <n v="-0.16220527943859342"/>
        <n v="-0.25740889608735312"/>
        <n v="4.3806298988572107E-2"/>
        <n v="-0.25829826794052796"/>
        <n v="3.2185162557017474E-3"/>
        <n v="-7.2247490983947019E-2"/>
        <n v="-0.26020335655280058"/>
        <n v="0.26494879418566236"/>
        <n v="4.2461795825528746E-2"/>
        <n v="-0.37560469371332389"/>
        <n v="0.58685643999297132"/>
        <n v="1.3290698491002549E-2"/>
        <n v="-2.397322653120584E-3"/>
        <n v="-0.24657597392349259"/>
        <n v="2.7878947383975703E-2"/>
        <n v="0.13510357792306799"/>
        <n v="-0.1892489604069264"/>
        <n v="-6.3109444976011689E-2"/>
        <n v="-0.11319818726447864"/>
        <n v="-7.9215270840506447E-2"/>
        <n v="-6.5724164533852688E-3"/>
        <n v="-0.12253999070755357"/>
        <n v="-0.20657734908657926"/>
        <n v="-0.18409354769423755"/>
        <n v="-0.21714530729584194"/>
        <n v="-7.3475788189943875E-3"/>
        <n v="-0.21945524663566399"/>
        <n v="-0.20215115620741589"/>
        <n v="0.58880345964991121"/>
        <n v="-9.1687730056834213E-2"/>
        <n v="-3.3003929077944825E-2"/>
        <n v="-0.33308852103427922"/>
        <n v="0.21385318110131163"/>
        <n v="2.0710617658015608E-2"/>
        <n v="-2.8640072525949696E-2"/>
        <n v="7.9613397100522204E-2"/>
        <n v="0.37894395640015593"/>
        <n v="-0.17171867110147526"/>
        <n v="-0.10777653750753972"/>
        <n v="0.19270480421559089"/>
        <n v="7.2438437152668678E-2"/>
        <n v="-0.10623327275163451"/>
        <n v="8.5165507733143159E-2"/>
        <n v="5.6410018974603654E-2"/>
        <n v="4.4485588558161357E-2"/>
        <n v="-3.8950697271034437E-2"/>
        <n v="4.5899964635707077E-3"/>
        <n v="-4.20042577396205E-2"/>
        <n v="4.3140870661498836E-3"/>
        <n v="0.13120827705017429"/>
        <n v="-4.4563353407615039E-2"/>
        <n v="0.12630748586539689"/>
        <n v="-0.22991450271004615"/>
        <n v="0.23260360376737918"/>
        <n v="-8.9087041662013495E-3"/>
        <n v="5.2835806971739563E-2"/>
        <n v="8.1084860547100346E-2"/>
        <n v="7.9088000238896602E-2"/>
        <n v="-0.37931008568779956"/>
        <n v="1.8052609936875142E-3"/>
        <n v="1.2989628484067674E-2"/>
        <n v="-0.24940504126553711"/>
        <n v="0.51314869711138067"/>
        <n v="-0.14566794845747469"/>
        <n v="9.8551009584011747E-3"/>
        <n v="-0.37070063372061407"/>
        <n v="3.4168978958235584E-2"/>
        <n v="-4.1147147586340291E-2"/>
        <n v="1.2629457477593111E-2"/>
        <n v="-0.18255335811508341"/>
        <n v="6.8269643623872694E-2"/>
        <n v="-0.21645215707148238"/>
        <n v="-0.11706901581573888"/>
        <n v="3.3691193157021827E-2"/>
        <n v="-0.16518161113851024"/>
        <n v="3.7322824011799594E-3"/>
        <n v="-0.21204618560465358"/>
        <n v="-0.28925214584130821"/>
        <n v="-6.2744215080553509E-3"/>
        <n v="-0.11124234656219932"/>
        <n v="1.7693653432705275E-2"/>
        <n v="6.7099844745910327E-3"/>
        <n v="-0.37287304980855829"/>
        <n v="0.12267430077958677"/>
        <n v="3.08256429710605E-2"/>
        <n v="-0.26555448151728267"/>
        <n v="-0.30551424791437021"/>
        <n v="-0.17240897729868901"/>
        <n v="-0.15824286530147272"/>
        <n v="-0.2338900323568528"/>
        <n v="0.20236255904204828"/>
        <n v="0.54738264581653928"/>
        <n v="-6.075016487534747E-2"/>
        <n v="9.1841583747496791E-2"/>
        <n v="0.15780760039333219"/>
        <n v="8.5320964833336121E-2"/>
        <n v="-7.7630850013247751E-2"/>
        <n v="-0.27806032508724543"/>
        <n v="-9.6634705434907056E-2"/>
        <n v="-0.17042553328317231"/>
        <n v="-0.12400986482357991"/>
        <n v="-0.27946269315169536"/>
        <n v="-8.5068433915139449E-2"/>
        <n v="3.5671104130830356E-2"/>
        <n v="0.15021928811297625"/>
        <n v="-0.19636342541744703"/>
        <n v="-3.2256870226626898E-2"/>
        <n v="-0.27871140070759909"/>
        <n v="0.26331613986832775"/>
        <n v="0.74402671977770019"/>
        <n v="0.29232771350404596"/>
        <n v="-0.10439197079110506"/>
        <n v="-4.1461974821833072E-2"/>
        <n v="0.6712107764279498"/>
        <n v="-5.0890959819230835E-2"/>
        <n v="4.80788499395646E-2"/>
        <n v="-9.151334107096401E-2"/>
        <n v="-1.099522247778055E-2"/>
        <n v="6.3764172063550215E-2"/>
        <n v="-8.8151288755707172E-2"/>
        <n v="-0.32876519352309114"/>
        <n v="-6.6126084738971858E-2"/>
        <n v="-0.16004841941228837"/>
        <n v="-0.10011851723880467"/>
        <n v="2.7090534103492457E-2"/>
        <n v="-0.25125001213445902"/>
        <n v="0.32929635813581071"/>
        <n v="0.49575632630307737"/>
        <n v="0.68782573731347862"/>
        <n v="9.9199744105496479E-2"/>
        <n v="-0.16347894667426921"/>
        <n v="-0.16212473195139385"/>
        <n v="1.7785997169463424E-2"/>
        <n v="-7.3469203861242754E-2"/>
        <n v="-0.16936213232105723"/>
        <n v="-0.12439148509094287"/>
        <n v="-0.13214379579072327"/>
        <n v="-7.719373079522826E-2"/>
        <n v="-4.7814194094322325E-2"/>
        <n v="-0.35786690972377022"/>
        <n v="-6.1610592339634146E-2"/>
        <n v="-9.6436835981947841E-2"/>
        <n v="-0.24967256698554888"/>
        <n v="2.9687037966674955E-2"/>
        <n v="3.7692343521939627E-2"/>
        <n v="-0.15896394442215056"/>
        <n v="0.44650996737045739"/>
        <n v="-0.12300004098153186"/>
        <n v="0.29431860735126003"/>
        <n v="-0.17468598449708772"/>
        <n v="-0.16029387163380984"/>
        <n v="-0.1145360851968496"/>
        <n v="1.0712953184567162E-3"/>
        <n v="-2.1318858186949365E-2"/>
        <n v="-0.31029757042659289"/>
        <n v="-0.13903134657982882"/>
        <n v="-0.24912247949176886"/>
        <n v="-0.12182595767443084"/>
        <n v="-0.28072938530982133"/>
        <n v="-0.18756478265701798"/>
        <n v="8.2106384117009365E-3"/>
        <n v="-5.0636738327726E-2"/>
        <n v="8.3584368880127796E-2"/>
        <n v="0.15510805464730945"/>
        <n v="0.52031664885470952"/>
        <n v="3.8993958438510363E-3"/>
        <n v="2.1568838378895491E-2"/>
        <n v="-9.1482421405695152E-2"/>
        <n v="-0.23065691523017748"/>
        <n v="-2.6970260127361069E-2"/>
        <n v="-0.18078572983415264"/>
        <n v="-9.5685035467583446E-2"/>
        <n v="-4.4435192523470668E-2"/>
        <n v="-2.6742408135739269E-2"/>
        <n v="-6.134177751739614E-2"/>
        <n v="-0.16617305115452341"/>
        <n v="6.3147095168912787E-2"/>
        <n v="-0.10439344630232281"/>
        <n v="-0.22561614003209127"/>
        <n v="3.1453881943204129E-2"/>
        <n v="0.40202561170302953"/>
        <n v="0.10661338693407318"/>
        <n v="-0.31602347501333833"/>
        <n v="8.0636577038486756E-2"/>
        <n v="-0.13597393689986276"/>
        <n v="-8.3224816201029977E-2"/>
        <n v="-0.31060465893968486"/>
        <n v="0.10830489325116126"/>
        <n v="9.6381962777215731E-3"/>
        <n v="0.15898118100595923"/>
        <n v="0.53942285831275638"/>
        <n v="0.25055203950342542"/>
        <n v="8.9300213098651784E-2"/>
        <n v="-0.10695848653963846"/>
        <n v="0.5102546075126343"/>
        <n v="0.24555225592176078"/>
        <n v="0.19064555778449491"/>
        <n v="6.1281554207989267E-2"/>
        <n v="0.11717242874941718"/>
        <n v="6.0049265491093469E-2"/>
        <n v="0.20748805851708935"/>
        <n v="-0.34749389834105654"/>
        <n v="-8.8415883254499242E-2"/>
        <n v="0.75114284311950053"/>
        <n v="-0.21432154392770991"/>
        <n v="0.16765073975594985"/>
        <n v="0.10999811380793392"/>
        <n v="0.53557008093574032"/>
        <n v="-0.16869922860650416"/>
        <n v="0.1224391052644016"/>
        <n v="-7.0378342997426027E-2"/>
        <n v="0.15687536987413289"/>
        <n v="-0.1248332524205867"/>
        <n v="-6.8567011381442999E-2"/>
        <n v="-0.2504695744951046"/>
        <n v="0.19823305619200371"/>
        <n v="0.17676608867285459"/>
        <n v="0.17591035861187609"/>
        <n v="0.15242472413104841"/>
        <n v="-0.16540989841408435"/>
        <n v="-1.7144903639536375E-2"/>
        <n v="-5.5259925930995692E-2"/>
        <n v="-4.021337000786912E-2"/>
        <n v="-0.12956228959004212"/>
        <n v="-0.24025534844275057"/>
        <n v="0.15811692403525412"/>
        <n v="0.10546120871980171"/>
        <n v="-0.24463932096856664"/>
        <n v="-8.8295737739943828E-2"/>
        <n v="-0.19701594788518495"/>
        <n v="0.12420051681033889"/>
        <n v="2.7522560208123055E-2"/>
        <n v="1.8023951597600694E-2"/>
        <n v="-6.9386970988762731E-2"/>
        <n v="0.21688652739997488"/>
        <n v="-0.14665758968738038"/>
        <n v="-0.17360896008036053"/>
        <n v="1.8935177365679522E-2"/>
        <n v="7.8572293877833516E-2"/>
        <n v="-3.3351419655608082E-2"/>
        <n v="-8.4717145925508247E-2"/>
        <n v="-0.25576642266566368"/>
        <n v="0.13026108735990896"/>
        <n v="7.0392439666318779E-2"/>
        <n v="-0.15551943234091906"/>
        <n v="-9.3622602715445299E-2"/>
        <n v="-5.7982617891798496E-2"/>
        <n v="-0.11204090761850406"/>
        <n v="-0.17324261353527845"/>
        <n v="0.18924561056540756"/>
        <n v="-4.1196022386358715E-2"/>
        <n v="0.49209265537362684"/>
        <n v="-0.13843442007591455"/>
        <n v="8.5097194923745324E-3"/>
        <n v="0.81808940370776595"/>
        <n v="-0.38060148052786841"/>
        <n v="5.3655798867965607E-2"/>
        <n v="-2.1159053389273298E-2"/>
        <n v="-7.4280772290991851E-2"/>
        <n v="-0.10812786053143664"/>
        <n v="1.8788089771802761E-2"/>
        <n v="-3.5818616633212563E-2"/>
        <n v="0.79242646295805885"/>
        <n v="-7.5845276591921824E-3"/>
        <n v="-7.6278225325695628E-2"/>
        <n v="-5.4881047415985339E-2"/>
        <n v="0.63249135457104455"/>
        <n v="8.6464378473047436E-3"/>
        <n v="-8.0898342561628561E-2"/>
        <n v="0.16563170947883218"/>
        <n v="-2.3853305159668471E-2"/>
        <n v="-0.25490368597213164"/>
        <n v="-0.23706273560392932"/>
        <n v="0.13567248968263121"/>
        <n v="1.8269675960023921E-2"/>
        <n v="-0.20036985463681289"/>
        <n v="3.0719943890159536E-2"/>
        <n v="0.1078527273052116"/>
        <n v="-0.13593367743246873"/>
        <n v="-0.16931206271984395"/>
        <n v="-0.11920690471443023"/>
        <n v="-0.12537707130952211"/>
        <n v="-0.20842297691485295"/>
        <n v="0.31416584299840267"/>
        <n v="-4.2672467921427745E-2"/>
        <n v="1.9315155611998217E-2"/>
        <n v="-0.25721851817517799"/>
        <n v="-0.22946445052880049"/>
        <n v="0.70463983899988913"/>
        <n v="-0.34855039568434137"/>
        <n v="9.3859641170231101E-2"/>
        <n v="-0.38921510573108636"/>
        <n v="3.6624567704313356E-3"/>
        <n v="-5.4503051868994533E-2"/>
        <n v="-5.5884296527694395E-2"/>
        <n v="0.15439676614067832"/>
        <n v="-0.24427869435275851"/>
        <n v="-0.20571433704701739"/>
        <n v="0.17160366959393972"/>
        <n v="0.15488858782706694"/>
        <n v="7.4270439834758339E-2"/>
        <n v="-0.17615477593841583"/>
        <n v="0.73379906058434841"/>
        <n v="3.3832760273485578E-2"/>
        <n v="8.2118482611681295E-2"/>
        <n v="8.7851648994615464E-2"/>
        <n v="0.10231030443228485"/>
        <n v="4.346788612484874E-2"/>
        <n v="-0.26344072260891144"/>
        <n v="0.15188240698635508"/>
        <n v="0.1530179229394503"/>
        <n v="5.0043107591199655E-2"/>
        <n v="6.9218817830785734E-2"/>
        <n v="0.12465366371395567"/>
        <n v="-0.13570375705568707"/>
        <n v="-0.2421179695896952"/>
        <n v="-0.10262306882583891"/>
        <n v="6.9839978745778021E-3"/>
        <n v="-0.14532238104511516"/>
        <n v="0.23704408687034131"/>
        <n v="7.618093072905191E-2"/>
        <n v="4.1534828260403167E-2"/>
        <n v="-0.2093110118295792"/>
        <n v="1.9967135406726341E-2"/>
        <n v="-0.23982120218538855"/>
        <n v="-0.1779359534228718"/>
        <n v="-0.16790952331543257"/>
        <n v="0.72144936898670509"/>
        <n v="-0.20417001729751955"/>
        <n v="-5.4459723442792339E-2"/>
        <n v="-2.7020524487998313E-2"/>
        <n v="-9.1072794951011227E-3"/>
        <n v="-0.15409523477038725"/>
        <n v="-0.13020980751284578"/>
        <n v="3.327986597484936E-2"/>
        <n v="0.6974449260996286"/>
        <n v="-0.20488720410085998"/>
        <n v="-1.2498153361909223E-2"/>
        <n v="-6.0531433681407822E-2"/>
        <n v="0.16750394001194491"/>
        <n v="-0.22700621310879004"/>
        <n v="0.29980491091291966"/>
        <n v="-0.15728082509049024"/>
        <n v="0.12455372525559728"/>
        <n v="-0.1649981052966126"/>
        <n v="-0.12011616495131214"/>
        <n v="-0.10434796461523135"/>
        <n v="-0.15015377680445954"/>
        <n v="7.6677129926679523E-4"/>
        <n v="8.9257281411365352E-2"/>
        <n v="-0.21436603488524325"/>
        <n v="-4.9561487518074973E-2"/>
        <n v="-0.14165410559849467"/>
        <n v="0.58034345032123646"/>
        <n v="4.4890335937551283E-2"/>
        <n v="-4.5391872051212735E-2"/>
        <n v="9.7985372199775947E-2"/>
        <n v="-7.2278201025677544E-2"/>
        <n v="5.0899611645140494E-2"/>
        <n v="2.3165069753266317E-2"/>
        <n v="0.439641051207179"/>
        <n v="-0.28413286623561945"/>
        <n v="-0.24165376853299109"/>
        <n v="0.20509698187600597"/>
        <n v="-0.11778566668455356"/>
        <n v="-9.0411558178165985E-2"/>
        <n v="-0.27253603671857379"/>
        <n v="-0.22464773474205318"/>
        <n v="0.25998965157032533"/>
        <n v="-0.1315058262609739"/>
        <n v="1.4764659401689209E-2"/>
        <n v="-0.29615674970697942"/>
        <n v="-7.4959132480815302E-2"/>
        <n v="0.17031493281978888"/>
        <n v="-5.083829311282325E-2"/>
        <n v="-0.23056870568384469"/>
        <n v="-9.2610897278431956E-2"/>
        <n v="3.7388870983207888E-2"/>
        <n v="-0.11337962506712042"/>
        <n v="-8.0506232105222952E-2"/>
        <n v="1.9446849247119462E-2"/>
        <n v="-4.5313253288642982E-2"/>
        <n v="-8.5385490059541283E-2"/>
        <n v="-6.0473980464867488E-2"/>
        <n v="0.16370469679928451"/>
        <n v="-0.1244118827520317"/>
        <n v="-0.32033125821505132"/>
        <n v="-0.21570977285262988"/>
        <n v="-0.28599769532336083"/>
        <n v="-6.149377572711906E-2"/>
        <n v="4.1012937882525774E-2"/>
        <n v="-0.23172168083308167"/>
        <n v="-7.3936650000874599E-2"/>
        <n v="9.5492448381244016E-2"/>
        <n v="8.3063552262244253E-2"/>
        <n v="-1.6130662937794544E-2"/>
        <n v="-7.969119537611831E-2"/>
        <n v="-0.24839914015188558"/>
        <n v="-2.0641009445706904E-2"/>
        <n v="7.6114159206853368E-2"/>
        <n v="7.2687185376009281E-2"/>
        <n v="-3.5812227054636228E-2"/>
        <n v="2.007401872898134E-2"/>
        <n v="0.11311099029063991"/>
        <n v="0.62500190899441799"/>
        <n v="0.13261168506047047"/>
        <n v="6.6053230333212006E-3"/>
        <n v="-3.5376731738405442E-2"/>
        <n v="8.4964711795367617E-2"/>
        <n v="-4.5428863256635817E-2"/>
        <n v="-0.2446927679416159"/>
        <n v="-0.13328222220182112"/>
        <n v="-0.23686581512231106"/>
        <n v="-0.29622183065775198"/>
        <n v="0.13787468820287244"/>
        <n v="0.30259631093124778"/>
        <n v="0.41478002484775506"/>
        <n v="-0.26166474884548074"/>
        <n v="-9.0231481932017202E-2"/>
        <n v="-0.14353750769187892"/>
        <n v="1.5719574543104128E-2"/>
        <n v="-0.30149768850060138"/>
        <n v="-4.6023801874074746E-2"/>
        <n v="4.9023678272613974E-2"/>
        <n v="-7.2191465082038081E-2"/>
        <n v="-4.0788477971487662E-5"/>
        <n v="-2.0232585385249923E-2"/>
        <n v="1.1625745977081024E-2"/>
        <n v="-6.7327403410325573E-2"/>
        <n v="-0.20487374756468413"/>
        <n v="-0.12966612564099603"/>
        <n v="-0.1624561039695917"/>
        <n v="8.6590704073969918E-2"/>
        <n v="6.1506486286647712E-2"/>
        <n v="0.28540983127576969"/>
        <n v="-2.2230954690768176E-2"/>
        <n v="-9.8973998428599025E-2"/>
        <n v="4.5173899707294234E-2"/>
        <n v="0.57536584225536491"/>
        <n v="-0.18932914412988899"/>
        <n v="-3.1408246925488235E-2"/>
        <n v="2.6381413034782027E-2"/>
        <n v="-0.14314934473950444"/>
        <n v="-0.21436602009982089"/>
        <n v="-2.9251687169942607E-2"/>
        <n v="-0.21501095494407882"/>
        <n v="4.8373444073816817E-3"/>
        <n v="-4.0311212122876042E-2"/>
        <n v="0.1890350087071398"/>
        <n v="-0.19666009952688338"/>
        <n v="5.8312230464504664E-2"/>
        <n v="-0.21639278924095287"/>
        <n v="-0.18154894136685554"/>
        <n v="-0.20291023433727265"/>
        <n v="-0.18647617717807319"/>
        <n v="-0.13245444761940095"/>
        <n v="0.56136628832078073"/>
        <n v="8.7265814129808134E-2"/>
        <n v="6.4377973382724898E-2"/>
        <n v="1.7438304164419303E-2"/>
        <n v="-7.1832592539626039E-2"/>
        <n v="-0.24907073675161287"/>
        <n v="0.10417301272111955"/>
        <n v="-0.11738693433333565"/>
        <n v="-8.6680451447249424E-2"/>
        <n v="-0.11923549528567258"/>
        <n v="-5.0472671692673332E-2"/>
        <n v="0.11115662483203824"/>
        <n v="-1.9647631320805554E-2"/>
        <n v="-4.7295996675221372E-2"/>
        <n v="-5.7347909333383164E-2"/>
        <n v="-5.2544351217182206E-2"/>
        <n v="-5.3147153850900235E-2"/>
        <n v="0.14353456707103218"/>
        <n v="-1.9267572338495294E-2"/>
        <n v="-7.0934201120262289E-2"/>
        <n v="0.10520096306239417"/>
        <n v="-0.16147408433679863"/>
        <n v="-0.20437338427167981"/>
        <n v="-2.13329581122906E-3"/>
        <n v="5.554795430440633E-2"/>
        <n v="-0.20603728393558318"/>
        <n v="-1.5473784931391135E-2"/>
        <n v="-1.2909383927372182E-2"/>
        <n v="-0.21239507727597276"/>
        <n v="-1.2937220009318072E-2"/>
        <n v="-0.29143572768664822"/>
        <n v="0.10458467051171694"/>
        <n v="-0.16642947796672655"/>
        <n v="-5.7847189259541852E-3"/>
        <n v="-0.3223944672801447"/>
        <n v="-2.7778349177816967E-2"/>
        <n v="0.3236478890831877"/>
        <n v="-8.5603902661607015E-2"/>
        <n v="-5.108708387534798E-2"/>
        <n v="5.2946034837882884E-2"/>
        <n v="-0.20264021657260312"/>
        <n v="-0.11728038970611818"/>
        <n v="9.6997877459646768E-3"/>
        <n v="9.33522080548599E-2"/>
        <n v="-0.15348753668206588"/>
        <n v="1.8291801445957774E-2"/>
        <n v="-0.27795474014254945"/>
        <n v="-0.1663941668029863"/>
        <n v="-0.16961800840035124"/>
        <n v="0.172339541083389"/>
        <n v="0.11127305472896826"/>
        <n v="-4.9926881505822654E-2"/>
        <n v="0.41921792404357788"/>
        <n v="-0.32314483794283821"/>
        <n v="0.14521750650805398"/>
        <n v="6.2291841159726448E-2"/>
        <n v="-1.2256177305486306E-2"/>
        <n v="-0.20411484916960318"/>
        <n v="3.6487152159997968E-2"/>
        <n v="0.56799771990879633"/>
        <n v="-6.7124627758140029E-2"/>
        <n v="0.64722517401158253"/>
        <n v="-0.34966716977927959"/>
        <n v="-0.14217683866037065"/>
        <n v="6.3013273720678636E-2"/>
        <n v="0.15731033982365764"/>
        <n v="-7.9194064605331183E-2"/>
        <n v="0.22765063205114563"/>
        <n v="4.4388156583649051E-2"/>
        <n v="-0.17877690260267926"/>
        <n v="3.8500043921066054E-2"/>
        <n v="-3.816509632820228E-2"/>
        <n v="-2.2538045475200687E-2"/>
        <n v="-0.20309117683827571"/>
        <n v="-0.15845531906485941"/>
        <n v="6.6198420609991662E-2"/>
        <n v="0.71382517556709035"/>
        <n v="-0.2261462099476414"/>
        <n v="4.8666391665716496E-3"/>
        <n v="-0.33967060082647099"/>
        <n v="-1.8040066927437043E-3"/>
        <n v="-4.2251287621089817E-2"/>
        <n v="1.665265569346349E-2"/>
        <n v="-5.335933716936362E-2"/>
        <n v="-0.22081378361382825"/>
        <n v="-0.13178740366398672"/>
        <n v="-0.21341174342301128"/>
        <n v="-0.24474645264615577"/>
        <n v="-0.1543215555760008"/>
        <n v="-0.28390585605111512"/>
        <n v="-0.32476811795884236"/>
        <n v="-0.19311201991507934"/>
        <n v="-0.11672954655863779"/>
        <n v="4.9175369748744278E-3"/>
        <n v="0.32862548755891086"/>
        <n v="-0.3653714247660908"/>
        <n v="-0.12461687742022284"/>
        <n v="-0.25854575081543812"/>
        <n v="-0.12354954095067336"/>
        <n v="0.10183537415956551"/>
        <n v="0.34690599314822013"/>
        <n v="-9.7190718579557592E-2"/>
        <n v="6.6367584983380579E-2"/>
        <n v="-8.7962185857357461E-2"/>
        <n v="-0.4022957970414856"/>
        <n v="-0.17884962731858242"/>
        <n v="0.39416035157345497"/>
        <n v="0.16543206505041952"/>
        <n v="-8.3876791673656442E-2"/>
        <n v="-0.16360392656124387"/>
        <n v="3.5415713012263215E-3"/>
        <n v="3.8762870381368969E-2"/>
        <n v="0.11365573811873969"/>
        <n v="0.48584218450623651"/>
        <n v="0.19739560800771122"/>
        <n v="0.42636106540982888"/>
        <n v="0.1925884707417338"/>
        <n v="3.5341262547712506E-2"/>
        <n v="3.3137190459682851E-2"/>
        <n v="0.18425530611887814"/>
        <n v="-0.11467050920104914"/>
        <n v="6.6674326218452984E-2"/>
        <n v="8.776692542552951E-2"/>
        <n v="0.82091321872291856"/>
        <n v="-0.14232785806875989"/>
        <n v="8.9399346447222153E-2"/>
        <n v="0.20379352675229334"/>
        <n v="0.13430946378553402"/>
        <n v="-0.29653498641062659"/>
        <n v="-6.6370790460183446E-2"/>
        <n v="0.15395591865199257"/>
        <n v="-5.1901025935724356E-2"/>
        <n v="-0.27816953067690531"/>
        <n v="1.0926435986566263E-2"/>
        <n v="-1.2882261908249974E-2"/>
        <n v="0.25936987141905538"/>
        <n v="0.28026303237245592"/>
        <n v="-4.8955162958118269E-2"/>
        <n v="0.24809365597844046"/>
        <n v="-2.5314640665754218E-2"/>
        <n v="-0.35785560702461872"/>
        <n v="8.3454671710681952E-2"/>
        <n v="9.222914801041654E-2"/>
        <n v="-0.11824416118365985"/>
        <n v="-9.8153883768373779E-2"/>
        <n v="-8.6179638392629557E-2"/>
        <n v="-0.19605365290807597"/>
        <n v="0.68173959377433502"/>
        <n v="-8.3739350887889405E-3"/>
        <n v="4.1702577563499661E-2"/>
        <n v="-1.9894268224819166E-2"/>
        <n v="-0.27186772537185128"/>
        <n v="-0.10371487392660127"/>
        <n v="3.837966394479044E-3"/>
        <n v="-2.5853969124770069E-3"/>
        <n v="0.20610200364298717"/>
        <n v="-0.14365788078731187"/>
        <n v="-3.5428817435140453E-2"/>
        <n v="-2.9307373436037395E-2"/>
        <n v="5.1124901776524387E-2"/>
        <n v="3.8260980445804629E-2"/>
        <n v="0.1334316814416871"/>
        <n v="-0.22904869862311156"/>
        <n v="4.0550716775765917E-2"/>
        <n v="9.149361958071188E-2"/>
        <n v="0.79489732781623412"/>
        <n v="-0.27909241312073352"/>
        <n v="0.22890016359922608"/>
        <n v="-6.1788182610925869E-2"/>
        <n v="-0.28887068520882309"/>
        <n v="1.9006778778342819E-2"/>
        <n v="0.31813162705881448"/>
        <n v="-0.28755419185061287"/>
        <n v="-0.27894516491886462"/>
        <n v="-0.27927640445541607"/>
        <n v="-0.19621753277747939"/>
        <n v="0.13654703284529243"/>
        <n v="5.6466130292259975E-3"/>
        <n v="-4.5942684162163724E-2"/>
      </sharedItems>
    </cacheField>
    <cacheField name="Unit_Margin" numFmtId="0">
      <sharedItems containsSemiMixedTypes="0" containsString="0" containsNumber="1" minValue="10.309999999999945" maxValue="499.92999999999938" count="998">
        <n v="114.47000000000003"/>
        <n v="393.04999999999973"/>
        <n v="109.83999999999997"/>
        <n v="137.72000000000025"/>
        <n v="55.340000000000032"/>
        <n v="205.72000000000003"/>
        <n v="215.2800000000002"/>
        <n v="262.13999999999987"/>
        <n v="357.3899999999901"/>
        <n v="453.99000000000024"/>
        <n v="77.489999999999782"/>
        <n v="36.630000000000109"/>
        <n v="19.080000000000041"/>
        <n v="80.369999999999891"/>
        <n v="332.40000000000009"/>
        <n v="366.46"/>
        <n v="395.38999999999942"/>
        <n v="129.42000000000007"/>
        <n v="159.88999999999987"/>
        <n v="246.73999999999978"/>
        <n v="40.960000000000036"/>
        <n v="309.46000000000004"/>
        <n v="492.02999999999975"/>
        <n v="186.80000000000018"/>
        <n v="378.90000000000009"/>
        <n v="255.01999999999998"/>
        <n v="72.63"/>
        <n v="295.29999999999973"/>
        <n v="156.9399999999905"/>
        <n v="26.860000000000127"/>
        <n v="321.11999999999989"/>
        <n v="430.88000000000011"/>
        <n v="178.93999999999994"/>
        <n v="201.24"/>
        <n v="446.60000000000036"/>
        <n v="408.67000000000007"/>
        <n v="360.32999999999993"/>
        <n v="131.90999999999985"/>
        <n v="456.01"/>
        <n v="85.660000000000082"/>
        <n v="317.11999999999989"/>
        <n v="24.110000000000127"/>
        <n v="325.42000000000007"/>
        <n v="145.80000000000018"/>
        <n v="230.33999999999992"/>
        <n v="179.17999999999984"/>
        <n v="94.649999999999636"/>
        <n v="314.76999999999953"/>
        <n v="442.16999999999962"/>
        <n v="479.94999999999982"/>
        <n v="104.25"/>
        <n v="361.50999999999021"/>
        <n v="335.52999999999975"/>
        <n v="178.25999999999976"/>
        <n v="19.360000000000127"/>
        <n v="348"/>
        <n v="473.28999999999041"/>
        <n v="319.73999999999978"/>
        <n v="223.28999999999996"/>
        <n v="267.32999999999993"/>
        <n v="107.81999999999971"/>
        <n v="377.76999999999953"/>
        <n v="375.75"/>
        <n v="81.300000000000182"/>
        <n v="440.21000000000004"/>
        <n v="141.90000000000009"/>
        <n v="491.3100000000004"/>
        <n v="197.61999999999989"/>
        <n v="97.159999999999854"/>
        <n v="182.33999999999014"/>
        <n v="225.69000000000005"/>
        <n v="43.960000000000036"/>
        <n v="293.32999999999993"/>
        <n v="302.83999999999969"/>
        <n v="372.07999999999993"/>
        <n v="24.289999999999964"/>
        <n v="275.21000000000004"/>
        <n v="35.920000000000073"/>
        <n v="353.55999999999995"/>
        <n v="37.310000000000059"/>
        <n v="456.75"/>
        <n v="354.02"/>
        <n v="258.61999999999989"/>
        <n v="226.34000000000015"/>
        <n v="74.029999999999745"/>
        <n v="152.58999999999992"/>
        <n v="435.78999999999996"/>
        <n v="453.18000000000006"/>
        <n v="10.369999999990341"/>
        <n v="301.13000000000011"/>
        <n v="362.46000000000004"/>
        <n v="313.18999999999983"/>
        <n v="50.019999999999982"/>
        <n v="116.68999999999983"/>
        <n v="132.67000000000007"/>
        <n v="417.54999999999995"/>
        <n v="236.9699999999998"/>
        <n v="248.54999999999995"/>
        <n v="468.10000000000036"/>
        <n v="322.16999999999985"/>
        <n v="450.34999999999991"/>
        <n v="233.6899999999996"/>
        <n v="83.220000000000027"/>
        <n v="465.66999999999996"/>
        <n v="234.76999999999998"/>
        <n v="99"/>
        <n v="158.17000000000007"/>
        <n v="34.8900000000001"/>
        <n v="239.4699999999998"/>
        <n v="428.03"/>
        <n v="467.44999999999993"/>
        <n v="466.97999999999047"/>
        <n v="71.360000000000127"/>
        <n v="197.21000000000004"/>
        <n v="23.829999999999927"/>
        <n v="429.03"/>
        <n v="185.78999999999996"/>
        <n v="319.25"/>
        <n v="360.3"/>
        <n v="220.61999999999989"/>
        <n v="160.15999999999985"/>
        <n v="481.48"/>
        <n v="482.59999999999997"/>
        <n v="151.81999999999994"/>
        <n v="245.01999999999998"/>
        <n v="486.69000000000005"/>
        <n v="12.390000000000327"/>
        <n v="212.20999999999998"/>
        <n v="59.2199999999998"/>
        <n v="259.48999999999978"/>
        <n v="22.089999999999918"/>
        <n v="209.38000000000011"/>
        <n v="118.14000000000033"/>
        <n v="271.32000000000005"/>
        <n v="498.03999999999996"/>
        <n v="402.25999999999976"/>
        <n v="424.3599999999999"/>
        <n v="321.2799999999902"/>
        <n v="30.359999999990123"/>
        <n v="111.32999999999993"/>
        <n v="463.2800000000002"/>
        <n v="189.39999999999964"/>
        <n v="60.779999999999745"/>
        <n v="354.17999999999984"/>
        <n v="156.73000000000002"/>
        <n v="141.74"/>
        <n v="499.01000000000022"/>
        <n v="430.49"/>
        <n v="209.88999999999987"/>
        <n v="490.32999999999993"/>
        <n v="328.56"/>
        <n v="373.59"/>
        <n v="25.440000000000055"/>
        <n v="69.590000000000146"/>
        <n v="320.21000000000004"/>
        <n v="450.52"/>
        <n v="315.63000000000011"/>
        <n v="75.670000000000073"/>
        <n v="66.720000000000027"/>
        <n v="423.65"/>
        <n v="78.260000000000218"/>
        <n v="264.90999999999985"/>
        <n v="28.189999999999998"/>
        <n v="49.529999999999973"/>
        <n v="339.44999999999993"/>
        <n v="347.69999999999027"/>
        <n v="177.32000000000016"/>
        <n v="115.65000000000009"/>
        <n v="408.7199999999998"/>
        <n v="116.3799999999901"/>
        <n v="275.59000000000015"/>
        <n v="484.42000000000007"/>
        <n v="82.449999999999818"/>
        <n v="471.0299999999902"/>
        <n v="99.619999999999891"/>
        <n v="288.05000000000018"/>
        <n v="194.73000000000002"/>
        <n v="482.81999999999994"/>
        <n v="144.04000000000002"/>
        <n v="205.82999999999993"/>
        <n v="491.59999999999991"/>
        <n v="272.87000000000012"/>
        <n v="256.29000000000008"/>
        <n v="136.30999999999995"/>
        <n v="353.67000000000007"/>
        <n v="17.039999999999964"/>
        <n v="34.259999999999764"/>
        <n v="303.69000000000005"/>
        <n v="177.42000000000007"/>
        <n v="477.13000000000011"/>
        <n v="452.55999999999017"/>
        <n v="359.72000000000025"/>
        <n v="410.88999999999987"/>
        <n v="336.98999999999023"/>
        <n v="71.539999999990073"/>
        <n v="385.12"/>
        <n v="112.98999999999978"/>
        <n v="168.48999999999978"/>
        <n v="411.42000000000007"/>
        <n v="272.89999999999998"/>
        <n v="431.36999999999989"/>
        <n v="114.38999999999987"/>
        <n v="307.80999999999017"/>
        <n v="51.0600000000004"/>
        <n v="325.10000000000002"/>
        <n v="383.6400000000001"/>
        <n v="296.61999999999989"/>
        <n v="140.44999999999982"/>
        <n v="25.359999999990578"/>
        <n v="68.5300000000002"/>
        <n v="314.93000000000029"/>
        <n v="467.87"/>
        <n v="111.19999999999993"/>
        <n v="370.16000000000008"/>
        <n v="434.55999999999995"/>
        <n v="265.23"/>
        <n v="337.9399999999905"/>
        <n v="409.36000000000013"/>
        <n v="137.72999999999956"/>
        <n v="155.48000000000002"/>
        <n v="10.309999999999945"/>
        <n v="481.91999999999985"/>
        <n v="459.59999999999991"/>
        <n v="384.63999999999987"/>
        <n v="48.750000000000057"/>
        <n v="229.2800000000002"/>
        <n v="59.930000000000291"/>
        <n v="17.799999999999955"/>
        <n v="311.92999999999984"/>
        <n v="480.80999999999995"/>
        <n v="452.40999999999985"/>
        <n v="351.41"/>
        <n v="57.350000000000023"/>
        <n v="144.33999999999969"/>
        <n v="166.82999999999993"/>
        <n v="383.9399999999905"/>
        <n v="403.09999999999991"/>
        <n v="198.69999999999993"/>
        <n v="214.76"/>
        <n v="31.809999999999945"/>
        <n v="151.68000000000006"/>
        <n v="231.1299999999901"/>
        <n v="67.320000000000164"/>
        <n v="232.1"/>
        <n v="428.05999999999995"/>
        <n v="294.84999999999991"/>
        <n v="48.680000000000064"/>
        <n v="103.91999999999905"/>
        <n v="242.5300000000002"/>
        <n v="187.13000000000011"/>
        <n v="185.77999999999997"/>
        <n v="269.34000000000015"/>
        <n v="296.35000000000014"/>
        <n v="400.46000000000004"/>
        <n v="177.06999999999971"/>
        <n v="404.67999999999984"/>
        <n v="175.92000000000007"/>
        <n v="37.159999999999968"/>
        <n v="281.54999999999995"/>
        <n v="298.06999999999971"/>
        <n v="467.91999999999985"/>
        <n v="365.77"/>
        <n v="459.71000000000004"/>
        <n v="455.09000000000015"/>
        <n v="306.23999999999069"/>
        <n v="268.59999999999991"/>
        <n v="283.14999999999054"/>
        <n v="489.38"/>
        <n v="388.84999999999997"/>
        <n v="62.069999999999709"/>
        <n v="391.42999999999995"/>
        <n v="93.559999999990168"/>
        <n v="229.19999999999027"/>
        <n v="113.12999999999988"/>
        <n v="347.90000000000009"/>
        <n v="439.87999999999988"/>
        <n v="152.2800000000002"/>
        <n v="50.190000000000055"/>
        <n v="156.25999999999021"/>
        <n v="339.46000000000004"/>
        <n v="171.09000000000015"/>
        <n v="146.26999999999953"/>
        <n v="100.37"/>
        <n v="253.77999999999997"/>
        <n v="145.21000000000004"/>
        <n v="368.20000000000005"/>
        <n v="47.539999999999964"/>
        <n v="335.38000000000011"/>
        <n v="126.39999999999964"/>
        <n v="249.75"/>
        <n v="150.17999999999984"/>
        <n v="364.15999999999985"/>
        <n v="473.19999999999982"/>
        <n v="459.36999999999989"/>
        <n v="295.88000000000011"/>
        <n v="236.67999999999984"/>
        <n v="410.97"/>
        <n v="344.8299999999997"/>
        <n v="99.949999999999818"/>
        <n v="412.25"/>
        <n v="220.14999999999986"/>
        <n v="102.59999999999036"/>
        <n v="148.07999999999993"/>
        <n v="141.09000000000015"/>
        <n v="264.40999999999985"/>
        <n v="124.83999999999992"/>
        <n v="70.550000000000182"/>
        <n v="70.609999999990578"/>
        <n v="295.8100000000004"/>
        <n v="370.0300000000002"/>
        <n v="167.55000000000018"/>
        <n v="26.980000000000018"/>
        <n v="72.340000000000146"/>
        <n v="458.19999999999982"/>
        <n v="251.83999999999969"/>
        <n v="232.25"/>
        <n v="28.6400000000001"/>
        <n v="367.03"/>
        <n v="268.75"/>
        <n v="109.01999999999907"/>
        <n v="63.940000000000055"/>
        <n v="197.86"/>
        <n v="420.21000000000004"/>
        <n v="433.98999999999978"/>
        <n v="305.3899999999901"/>
        <n v="366.49000000000007"/>
        <n v="66.430000000000064"/>
        <n v="298.18000000000006"/>
        <n v="336.80999999999995"/>
        <n v="108.35000000000002"/>
        <n v="441.2800000000002"/>
        <n v="105.55000000000018"/>
        <n v="163.59999999999991"/>
        <n v="314.07000000000016"/>
        <n v="322.78999999999996"/>
        <n v="352.69999999999027"/>
        <n v="64.89"/>
        <n v="426.23999999999978"/>
        <n v="271.10000000000036"/>
        <n v="240.95000000000005"/>
        <n v="490.73999999999995"/>
        <n v="372.78999999999996"/>
        <n v="67.819999999999709"/>
        <n v="380.70000000000005"/>
        <n v="56.670000000000073"/>
        <n v="23.460000000000036"/>
        <n v="207.77999999999975"/>
        <n v="496.84999999999991"/>
        <n v="95.690000000000055"/>
        <n v="339.60000000000036"/>
        <n v="94.960000000000036"/>
        <n v="365.14999999999964"/>
        <n v="257.61999999999989"/>
        <n v="343.18999999999983"/>
        <n v="109.4099999999903"/>
        <n v="375.36000000000013"/>
        <n v="497.84999999999991"/>
        <n v="336.17000000000007"/>
        <n v="251.80999999999995"/>
        <n v="462.35999999999967"/>
        <n v="17.770000000000437"/>
        <n v="367.6599999999903"/>
        <n v="445.49"/>
        <n v="40.2199999999998"/>
        <n v="230.52999999999065"/>
        <n v="110.30999999999995"/>
        <n v="287.59000000000015"/>
        <n v="328.28"/>
        <n v="158.28999999999087"/>
        <n v="235.39000000000033"/>
        <n v="146.88000000000011"/>
        <n v="191"/>
        <n v="88.17"/>
        <n v="443.92000000000007"/>
        <n v="14.909999999999854"/>
        <n v="442.38"/>
        <n v="290.11999999999989"/>
        <n v="172.51000000000022"/>
        <n v="364.29999999999973"/>
        <n v="258.80000000000018"/>
        <n v="254.55999999999995"/>
        <n v="63.970000000000255"/>
        <n v="200.86000000000013"/>
        <n v="128.11999999999989"/>
        <n v="17.690000000000055"/>
        <n v="186.44999999999982"/>
        <n v="54.009999999999991"/>
        <n v="135.84999999999991"/>
        <n v="55.329999999999927"/>
        <n v="59.460000000000036"/>
        <n v="107.51999999999998"/>
        <n v="499.92999999999938"/>
        <n v="11.069999999999709"/>
        <n v="322.94999999999902"/>
        <n v="79.209999999999809"/>
        <n v="461.11000000000013"/>
        <n v="55.880000000000109"/>
        <n v="477.98"/>
        <n v="309.34999999999991"/>
        <n v="10.619999999999891"/>
        <n v="448.05999999999949"/>
        <n v="265.64"/>
        <n v="138.71000000000004"/>
        <n v="385.97000000000025"/>
        <n v="464.06999999999016"/>
        <n v="247.00999999999976"/>
        <n v="164.61999999999989"/>
        <n v="396.57999999999993"/>
        <n v="344.06999999999971"/>
        <n v="445.48999999999023"/>
        <n v="349.32999999999993"/>
        <n v="129.32999999999993"/>
        <n v="466.50999999999976"/>
        <n v="61.369999999999891"/>
        <n v="141.28999999999905"/>
        <n v="264.89999999999009"/>
        <n v="287.20999999999981"/>
        <n v="17.5"/>
        <n v="392.48"/>
        <n v="187.19000000000005"/>
        <n v="209.14999999999986"/>
        <n v="406.58999999999969"/>
        <n v="195.85000000000002"/>
        <n v="33.140000000000327"/>
        <n v="96.460000000000036"/>
        <n v="478.38999999999032"/>
        <n v="44.5"/>
        <n v="183.92"/>
        <n v="256.55999999999995"/>
        <n v="251.70999999999958"/>
        <n v="11.939999999999998"/>
        <n v="255.56999999999994"/>
        <n v="198.05000000000018"/>
        <n v="486.31999999999994"/>
        <n v="87.989999999990687"/>
        <n v="183.53999999999996"/>
        <n v="215.54999999999973"/>
        <n v="201.44000000000005"/>
        <n v="336.25999999999976"/>
        <n v="115.59999999999013"/>
        <n v="118.32999999999038"/>
        <n v="367.3100000000004"/>
        <n v="255.13999999999987"/>
        <n v="213.43000000000006"/>
        <n v="92.909999999990305"/>
        <n v="101.88999999999032"/>
        <n v="15.170000000000073"/>
        <n v="54.800000000000182"/>
        <n v="282.84999999999991"/>
        <n v="447.02"/>
        <n v="150.71000000000004"/>
        <n v="170.59999999999991"/>
        <n v="66.649999999999636"/>
        <n v="200.43000000000029"/>
        <n v="28.239999999990232"/>
        <n v="459.61999999999989"/>
        <n v="339.82"/>
        <n v="495.47000000000025"/>
        <n v="442.57999999999993"/>
        <n v="241.76999999999998"/>
        <n v="264.64999999999998"/>
        <n v="103.38"/>
        <n v="236.39999999999964"/>
        <n v="452.48"/>
        <n v="34.920000000000073"/>
        <n v="433.13999999999987"/>
        <n v="177.0600000000004"/>
        <n v="450.76000000000022"/>
        <n v="471.02999999999975"/>
        <n v="338.71999999999991"/>
        <n v="335.57000000000016"/>
        <n v="231.84999999999991"/>
        <n v="419.40999999999985"/>
        <n v="481.19000000000005"/>
        <n v="389.78999999999996"/>
        <n v="314.75"/>
        <n v="307.33000000000015"/>
        <n v="275.18999999999903"/>
        <n v="403.88999999999987"/>
        <n v="259.34999999999991"/>
        <n v="40.600000000000023"/>
        <n v="198.13000000000011"/>
        <n v="227.77999999999997"/>
        <n v="79.3900000000001"/>
        <n v="60.2199999999998"/>
        <n v="272.38000000000011"/>
        <n v="51.720000000000027"/>
        <n v="158.4399999999996"/>
        <n v="374.84999999999991"/>
        <n v="482.56999999999971"/>
        <n v="361.76"/>
        <n v="496.38999999999902"/>
        <n v="352.18999999999994"/>
        <n v="153.96000000000004"/>
        <n v="339.30999999999995"/>
        <n v="354.05999999999949"/>
        <n v="192.15000000000009"/>
        <n v="18.680000000000064"/>
        <n v="354.57000000000016"/>
        <n v="20.629999999999995"/>
        <n v="319.27999999999975"/>
        <n v="90.170000000000073"/>
        <n v="287.14999999999054"/>
        <n v="256.92000000000007"/>
        <n v="16.619999999990114"/>
        <n v="187.79999999999973"/>
        <n v="304.52999999999975"/>
        <n v="425.82000000000016"/>
        <n v="445.42999999999029"/>
        <n v="247.09000000000015"/>
        <n v="366.93"/>
        <n v="165.0600000000004"/>
        <n v="177.66999999999899"/>
        <n v="105.28999999999996"/>
        <n v="285.34999999999945"/>
        <n v="164.13999999999987"/>
        <n v="51.339999999999691"/>
        <n v="345.64999999999986"/>
        <n v="356.80000000000018"/>
        <n v="186.39999999999964"/>
        <n v="47.590000000000146"/>
        <n v="218.88999999999987"/>
        <n v="226.73999999999978"/>
        <n v="337.64999999999986"/>
        <n v="164.54999999999973"/>
        <n v="344.4699999999998"/>
        <n v="437.03"/>
        <n v="126.37"/>
        <n v="489.67"/>
        <n v="199.31999999999903"/>
        <n v="140.96000000000004"/>
        <n v="216.53999999999996"/>
        <n v="56.25"/>
        <n v="71.599999999999909"/>
        <n v="213.06999999999016"/>
        <n v="383.59999999999991"/>
        <n v="451.14999999999054"/>
        <n v="335.75999999999976"/>
        <n v="61.5600000000004"/>
        <n v="339.28999999999996"/>
        <n v="321.36000000000013"/>
        <n v="404.82000000000016"/>
        <n v="414.36999999999989"/>
        <n v="435.42000000000007"/>
        <n v="212.91999999999899"/>
        <n v="351.94999999999027"/>
        <n v="141.4399999999996"/>
        <n v="499.66999999999962"/>
        <n v="95.910000000000082"/>
        <n v="14.960000000000036"/>
        <n v="82.920000000000073"/>
        <n v="390.18000000000006"/>
        <n v="228.92000000000007"/>
        <n v="229.27999999999906"/>
        <n v="477.96000000000004"/>
        <n v="460.62"/>
        <n v="162.49"/>
        <n v="112.4399999999996"/>
        <n v="425.75999999999993"/>
        <n v="453.95000000000005"/>
        <n v="275.38"/>
        <n v="318.42000000000007"/>
        <n v="135.88999999999999"/>
        <n v="402.38999999999032"/>
        <n v="319.74"/>
        <n v="256.71999999999935"/>
        <n v="39.450000000000273"/>
        <n v="458.81000000000006"/>
        <n v="311.56999999999971"/>
        <n v="104.41999999999999"/>
        <n v="307.13000000000011"/>
        <n v="341.95999999999992"/>
        <n v="267.62999999999988"/>
        <n v="361.86999999999034"/>
        <n v="294.91000000000031"/>
        <n v="474.41000000000008"/>
        <n v="36.309999999999945"/>
        <n v="62.060000000000059"/>
        <n v="95.099999999999909"/>
        <n v="348.17999999999984"/>
        <n v="326.33999999999014"/>
        <n v="447.11000000000013"/>
        <n v="369.1099999999999"/>
        <n v="259.09000000000015"/>
        <n v="496"/>
        <n v="140.39000000000004"/>
        <n v="418.25999999999021"/>
        <n v="219.12999999999965"/>
        <n v="327.88000000000011"/>
        <n v="366.35999999999012"/>
        <n v="320.53999999999996"/>
        <n v="78.849999999999454"/>
        <n v="227.05000000000018"/>
        <n v="285.09999999999991"/>
        <n v="426.03"/>
        <n v="227.3900000000001"/>
        <n v="460.19000000000005"/>
        <n v="225.7800000000002"/>
        <n v="278.89999999999998"/>
        <n v="400.17999999999984"/>
        <n v="295.69999999999027"/>
        <n v="480.51000000000022"/>
        <n v="333.55999999999995"/>
        <n v="266.13000000000011"/>
        <n v="21.559999999999945"/>
        <n v="212.72999999999047"/>
        <n v="156.63"/>
        <n v="376.56999999999994"/>
        <n v="112.05999999999995"/>
        <n v="110.56000000000006"/>
        <n v="102.85999999999012"/>
        <n v="71.549999999999955"/>
        <n v="162.39000000000033"/>
        <n v="444.1"/>
        <n v="389.71000000000004"/>
        <n v="370.27000000000004"/>
        <n v="400.69999999999982"/>
        <n v="142.01000000000022"/>
        <n v="444.85"/>
        <n v="77.279999999999745"/>
        <n v="174.80999999999995"/>
        <n v="297.50999999999976"/>
        <n v="60.420000000000073"/>
        <n v="367.75999999999976"/>
        <n v="199.75"/>
        <n v="394.35999999999967"/>
        <n v="251.52"/>
        <n v="98.630000000000109"/>
        <n v="370.03"/>
        <n v="133.55000000000018"/>
        <n v="250.5"/>
        <n v="47.009999999999764"/>
        <n v="312.75"/>
        <n v="336.27"/>
        <n v="195.54999999999995"/>
        <n v="477.67000000000007"/>
        <n v="438.33999999999969"/>
        <n v="356.88999999999987"/>
        <n v="359.69000000000005"/>
        <n v="133.68000000000029"/>
        <n v="331.84000000000015"/>
        <n v="107.12"/>
        <n v="80.56"/>
        <n v="499.73999999999978"/>
        <n v="314.96000000000004"/>
        <n v="221.18000000000006"/>
        <n v="151.19999999999982"/>
        <n v="305.91999999999996"/>
        <n v="34.299999999999727"/>
        <n v="56.389999999999873"/>
        <n v="26.099999999999909"/>
        <n v="254.59000000000015"/>
        <n v="304.29999999999995"/>
        <n v="40.619999999990341"/>
        <n v="363.4"/>
        <n v="122.89000000000033"/>
        <n v="345.75"/>
        <n v="491.13000000000011"/>
        <n v="348.63999999999987"/>
        <n v="442.76"/>
        <n v="474.61999999999034"/>
        <n v="248.51000000000022"/>
        <n v="354.1400000000001"/>
        <n v="427.46000000000004"/>
        <n v="184.74"/>
        <n v="138.07999999999993"/>
        <n v="473.82999999999993"/>
        <n v="365.88999999999032"/>
        <n v="117.63999999999999"/>
        <n v="230.04999999999995"/>
        <n v="400.25999999999976"/>
        <n v="278.0600000000004"/>
        <n v="328.48000000000047"/>
        <n v="379.34999999999991"/>
        <n v="314.77999999999986"/>
        <n v="274.63999999999942"/>
        <n v="377.30999999999995"/>
        <n v="366.5100000000001"/>
        <n v="318.64000000000033"/>
        <n v="186.30000000000018"/>
        <n v="208.84999999999945"/>
        <n v="485.51000000000022"/>
        <n v="65.069999999990614"/>
        <n v="141.57"/>
        <n v="251.27999999999997"/>
        <n v="420"/>
        <n v="90.199999999999818"/>
        <n v="145.71000000000004"/>
        <n v="42.240000000000009"/>
        <n v="355.92999999999029"/>
        <n v="126.7199999999998"/>
        <n v="200.45000000000002"/>
        <n v="227.41000000000008"/>
        <n v="446.73999999999978"/>
        <n v="211.55000000000018"/>
        <n v="81.159999999999968"/>
        <n v="266.90999999999985"/>
        <n v="481.84999999999991"/>
        <n v="307.77"/>
        <n v="491.85999999999996"/>
        <n v="422.13999999999987"/>
        <n v="27.619999999999891"/>
        <n v="332.61999999999989"/>
        <n v="150.51999999999998"/>
        <n v="284.20999999999958"/>
        <n v="146.88"/>
        <n v="180.94999999999982"/>
        <n v="462.34999999999036"/>
        <n v="111.25999999999999"/>
        <n v="438.30999999999995"/>
        <n v="24.919999999999959"/>
        <n v="54.529999999999973"/>
        <n v="428.78999999999996"/>
        <n v="318.97000000000003"/>
        <n v="376.14999999999054"/>
        <n v="112.60999999999967"/>
        <n v="273.17000000000007"/>
        <n v="371.24"/>
        <n v="317.37999999999965"/>
        <n v="241.13000000000011"/>
        <n v="480.28999999999996"/>
        <n v="341.32000000000016"/>
        <n v="454.79999999999995"/>
        <n v="367.59000000000015"/>
        <n v="370.38000000000005"/>
        <n v="49.210000000000036"/>
        <n v="186.13999999999032"/>
        <n v="430.60000000000014"/>
        <n v="123.98000000000002"/>
        <n v="66.599999999990359"/>
        <n v="169.78999999999996"/>
        <n v="118.00999999999021"/>
        <n v="463.39"/>
        <n v="435.29999999999973"/>
        <n v="254.84000000000015"/>
        <n v="40.059999999999945"/>
        <n v="360.13999999999987"/>
        <n v="315.47000000000003"/>
        <n v="485.56999999999971"/>
        <n v="283.88999999999987"/>
        <n v="174.82999999999993"/>
        <n v="264.31999999999971"/>
        <n v="489.84000000000015"/>
        <n v="351.22"/>
        <n v="339.27"/>
        <n v="127.93000000000006"/>
        <n v="374.36999999999034"/>
        <n v="377.63000000000011"/>
        <n v="165.47000000000003"/>
        <n v="247.01999999999998"/>
        <n v="154.35999999999058"/>
        <n v="136.77000000000044"/>
        <n v="22.690000000000055"/>
        <n v="149.75"/>
        <n v="281.44999999999982"/>
        <n v="10.779999999999745"/>
        <n v="148.77999999999975"/>
        <n v="441.88999999999987"/>
        <n v="300.88999999999032"/>
        <n v="307.84999999999991"/>
        <n v="207.65000000000009"/>
        <n v="341.4699999999998"/>
        <n v="103.07000000000016"/>
        <n v="411.1899999999996"/>
        <n v="67.180000000000007"/>
        <n v="331.43999999999983"/>
        <n v="177.15999999999985"/>
        <n v="376.2800000000002"/>
        <n v="279.38"/>
        <n v="231.65000000000003"/>
        <n v="93.019999999999982"/>
        <n v="322.03999999999996"/>
        <n v="487.63999999999987"/>
        <n v="414.55000000000018"/>
        <n v="39.399999999999864"/>
        <n v="194.34999999999036"/>
        <n v="463.53999999999996"/>
        <n v="256.48999999999023"/>
        <n v="334.42999999999984"/>
        <n v="457.16999999999996"/>
        <n v="438.15999999999997"/>
        <n v="255.88999999999987"/>
        <n v="224.44999999999982"/>
        <n v="176.44999999999982"/>
        <n v="362.32000000000016"/>
        <n v="150.61999999999034"/>
        <n v="132.4399999999996"/>
        <n v="184.55999999999017"/>
        <n v="96.839999999999691"/>
        <n v="350.60999999999058"/>
        <n v="311.96000000000004"/>
        <n v="246.60999999999058"/>
        <n v="201.26000000000022"/>
        <n v="455.44000000000005"/>
        <n v="24.269999999999982"/>
        <n v="386.85999999999967"/>
        <n v="451.94000000000005"/>
        <n v="228.71000000000004"/>
        <n v="279.84000000000003"/>
        <n v="472.79000000000019"/>
        <n v="114.01999999999998"/>
        <n v="264.87"/>
        <n v="242.61"/>
        <n v="136.61000000000001"/>
        <n v="411.11000000000013"/>
        <n v="450.80000000000018"/>
        <n v="393.14999999999964"/>
        <n v="105.73000000000002"/>
        <n v="52.510000000000218"/>
        <n v="306.67000000000007"/>
        <n v="37.980000000000018"/>
        <n v="339.67999999999029"/>
        <n v="269.90999999999997"/>
        <n v="334.76999999999953"/>
        <n v="299.18000000000006"/>
        <n v="217.11999999999989"/>
        <n v="108.42999999999029"/>
        <n v="159.78999999999996"/>
        <n v="267.01"/>
        <n v="329.42000000000007"/>
        <n v="391.95000000000005"/>
        <n v="385.90999999999985"/>
        <n v="486.61999999999989"/>
        <n v="150.05999999999995"/>
        <n v="44.840000000000146"/>
        <n v="179.36999999999989"/>
        <n v="374.21000000000004"/>
        <n v="224.67000000000007"/>
        <n v="410.7199999999998"/>
        <n v="279.17000000000007"/>
        <n v="465.59999999999945"/>
        <n v="474.45000000000005"/>
        <n v="43.959999999999809"/>
        <n v="233.63999999999942"/>
        <n v="308.75"/>
        <n v="135.38"/>
        <n v="209.46999999999025"/>
        <n v="342.05999999999995"/>
        <n v="121.09999999999013"/>
        <n v="304.96999999999935"/>
        <n v="351.75"/>
        <n v="54.339999999990141"/>
        <n v="253.78999999999996"/>
        <n v="138.90999999999985"/>
        <n v="364.94999999999027"/>
        <n v="102.88000000000011"/>
        <n v="447.19999999999982"/>
        <n v="221.15999999999985"/>
        <n v="107.01999999999998"/>
        <n v="224.63000000000011"/>
        <n v="210.27999999999975"/>
        <n v="220.17000000000007"/>
        <n v="296.92999999999029"/>
        <n v="265.3799999999901"/>
        <n v="83.389999999999873"/>
        <n v="42.130000000000109"/>
        <n v="367.41"/>
        <n v="284.26000000000022"/>
        <n v="185.91000000000008"/>
        <n v="406.09999999999991"/>
        <n v="200.15000000000009"/>
        <n v="400.02"/>
        <n v="159.82000000000016"/>
        <n v="45.69"/>
        <n v="466.98999999999978"/>
        <n v="203.32999999999993"/>
        <n v="398.42000000000007"/>
        <n v="146.77999999999975"/>
        <n v="326.71999999999935"/>
        <n v="437.91999999999985"/>
        <n v="30.409999999999997"/>
        <n v="417.00999999999021"/>
        <n v="289.95000000000005"/>
        <n v="307.65999999999985"/>
        <n v="266.35000000000014"/>
        <n v="438.49000000000024"/>
        <n v="31.279999999999745"/>
        <n v="137.90000000000009"/>
        <n v="439.11999999999989"/>
        <n v="378.65"/>
        <n v="18.650000000000091"/>
        <n v="263.33"/>
        <n v="269.48999999999978"/>
        <n v="206.43000000000029"/>
        <n v="155.72000000000003"/>
        <n v="344.04999999999018"/>
        <n v="111.82000000000016"/>
        <n v="401.48"/>
        <n v="403.48999999999978"/>
        <n v="213.48000000000002"/>
        <n v="148.94000000000005"/>
        <n v="149.10000000000036"/>
        <n v="246.31999999999971"/>
        <n v="362.59000000000015"/>
        <n v="185.85000000000036"/>
        <n v="308.91999999999996"/>
        <n v="197.41999999999899"/>
        <n v="159.22000000000025"/>
        <n v="22.180000000000291"/>
        <n v="11.920000000000016"/>
        <n v="121.32999999999993"/>
        <n v="209.13999999999987"/>
        <n v="427.12000000000012"/>
        <n v="401.26000000000022"/>
        <n v="140.91000000000008"/>
        <n v="129.81999999999971"/>
        <n v="121.3900000000001"/>
        <n v="176.23000000000002"/>
        <n v="254.12000000000012"/>
        <n v="224.94999999999027"/>
        <n v="116.94999999999027"/>
        <n v="73.919999999999959"/>
        <n v="16.159999999999854"/>
        <n v="85.440000000000055"/>
        <n v="355.62"/>
        <n v="129.38000000000011"/>
        <n v="239.6099999999999"/>
        <n v="299.74000000000024"/>
        <n v="444.55000000000018"/>
        <n v="445.53999999999996"/>
        <n v="375.40999999999997"/>
        <n v="27.230000000000018"/>
        <n v="291.7800000000002"/>
        <n v="395.42999999999984"/>
        <n v="18.470000000000255"/>
        <n v="279.34999999999036"/>
        <n v="430.3"/>
        <n v="242.30999999999995"/>
        <n v="12.009999999999991"/>
        <n v="15.399999999999977"/>
        <n v="214.14999999999986"/>
        <n v="85.950000000000045"/>
        <n v="335.57999999999015"/>
        <n v="357.30999999999995"/>
        <n v="97.16"/>
        <n v="445.38"/>
        <n v="226.53000000000009"/>
        <n v="79.989999999990232"/>
        <n v="384.48"/>
        <n v="397.09000000000003"/>
        <n v="323.25"/>
        <n v="428.20000000000005"/>
        <n v="371.30999999999995"/>
        <n v="442.28"/>
        <n v="222.61000000000013"/>
        <n v="376.32000000000016"/>
        <n v="499.8799999999901"/>
        <n v="365.22"/>
        <n v="65.949999999990723"/>
        <n v="263.98"/>
        <n v="297.79999999999995"/>
        <n v="95.359999999999673"/>
        <n v="481.82000000000016"/>
        <n v="96.029999999999745"/>
        <n v="97"/>
        <n v="458.43000000000006"/>
        <n v="237.95"/>
        <n v="303.11"/>
        <n v="304.88999999999032"/>
        <n v="41.609999999999673"/>
        <n v="486.53999999999996"/>
        <n v="276.56999999999994"/>
        <n v="284.29999999999973"/>
        <n v="264.86000000000013"/>
        <n v="309.25999999999931"/>
        <n v="139.51"/>
        <n v="150.74999999999898"/>
        <n v="260.56000000000006"/>
        <n v="405.28"/>
        <n v="34.430000000000064"/>
        <n v="305.67000000000007"/>
        <n v="405.31999999999971"/>
        <n v="86.8900000000001"/>
        <n v="17.360000000000127"/>
        <n v="163.23000000000002"/>
        <n v="298.1899999999905"/>
        <n v="77.759999999999309"/>
        <n v="218.80000000000018"/>
        <n v="280.63999999999942"/>
        <n v="303.44999999999993"/>
        <n v="144.45999999999998"/>
        <n v="206.01000000000022"/>
        <n v="391.38999999999942"/>
        <n v="471.19999999999993"/>
        <n v="432.31999999999994"/>
        <n v="286.5"/>
        <n v="211.03999999999996"/>
        <n v="173.14999999999964"/>
        <n v="71.230000000000018"/>
        <n v="62.209999999999809"/>
        <n v="347.29999999999995"/>
        <n v="137.29999999999973"/>
        <n v="134.7800000000002"/>
        <n v="499.11999999999989"/>
        <n v="102.07999999999015"/>
        <n v="82.549999999999955"/>
        <n v="58.359999999999673"/>
        <n v="294.09999999999991"/>
      </sharedItems>
    </cacheField>
    <cacheField name="Unit_Margin_Percent" numFmtId="10">
      <sharedItems containsSemiMixedTypes="0" containsString="0" containsNumber="1" minValue="2.214540347844816E-3" maxValue="0.84173778122575638" count="1000">
        <n v="0.42837362472868801"/>
        <n v="9.3373465354061297E-2"/>
        <n v="0.29574582660204624"/>
        <n v="3.0825359521011751E-2"/>
        <n v="7.9889131093819968E-2"/>
        <n v="0.18591788596578435"/>
        <n v="8.2039869059369219E-2"/>
        <n v="6.6119329575120095E-2"/>
        <n v="0.32624948651238611"/>
        <n v="0.1692514744588681"/>
        <n v="3.077931363203042E-2"/>
        <n v="3.2203896469264408E-2"/>
        <n v="2.9761811914083888E-2"/>
        <n v="1.8819149309824007E-2"/>
        <n v="0.11583495957624759"/>
        <n v="0.75148159540654158"/>
        <n v="8.9451715439521157E-2"/>
        <n v="2.5707390229125916E-2"/>
        <n v="4.9822075145985592E-2"/>
        <n v="8.8434106304433463E-2"/>
        <n v="9.227054010704833E-3"/>
        <n v="6.0984309536853479E-2"/>
        <n v="0.1150411855066296"/>
        <n v="7.6501255226698525E-2"/>
        <n v="0.11275443399595289"/>
        <n v="6.7561230842594674E-2"/>
        <n v="6.6984542738038139E-2"/>
        <n v="0.11539889407764893"/>
        <n v="3.6374508640508153E-2"/>
        <n v="8.0958480898199459E-3"/>
        <n v="0.13343416798942895"/>
        <n v="0.11445815137122399"/>
        <n v="0.21979020807232164"/>
        <n v="8.9893462577892921E-2"/>
        <n v="0.10098155153428202"/>
        <n v="0.26362574910172304"/>
        <n v="0.27075380962399681"/>
        <n v="2.6983958138145726E-2"/>
        <n v="0.29515210355987054"/>
        <n v="6.0019198295976121E-2"/>
        <n v="6.137743094264831E-2"/>
        <n v="6.4970411649941592E-3"/>
        <n v="8.4779674970430555E-2"/>
        <n v="3.3002926802767944E-2"/>
        <n v="0.26982639458332347"/>
        <n v="4.8119323461325643E-2"/>
        <n v="3.5880678264231775E-2"/>
        <n v="7.0432998364312827E-2"/>
        <n v="0.14702391046294713"/>
        <n v="0.13331426000099991"/>
        <n v="4.1384320403958598E-2"/>
        <n v="0.1301144543622198"/>
        <n v="8.0136518445275542E-2"/>
        <n v="5.3376691040405246E-2"/>
        <n v="6.0424280823093953E-3"/>
        <n v="0.13247554151280977"/>
        <n v="0.15014211935487706"/>
        <n v="7.8733526387329306E-2"/>
        <n v="5.1193342045532698E-2"/>
        <n v="7.0998138267499872E-2"/>
        <n v="2.278538793486019E-2"/>
        <n v="8.4166412305580765E-2"/>
        <n v="0.11716630599504831"/>
        <n v="2.3532749018745202E-2"/>
        <n v="8.6733366959317826E-2"/>
        <n v="4.3570643396238028E-2"/>
        <n v="0.10624986483856326"/>
        <n v="5.4035431186991216E-2"/>
        <n v="3.3745016045900952E-2"/>
        <n v="0.12756044325049767"/>
        <n v="9.4653536768468133E-2"/>
        <n v="9.0002845858865952E-3"/>
        <n v="8.1497081352607595E-2"/>
        <n v="9.6243564482298261E-2"/>
        <n v="7.3822174428893952E-2"/>
        <n v="8.1577957494827786E-3"/>
        <n v="9.3950131771196058E-2"/>
        <n v="9.3431932808082357E-3"/>
        <n v="8.9935771065182815E-2"/>
        <n v="3.5756385068762331E-2"/>
        <n v="0.16084275617752392"/>
        <n v="0.12906448120103392"/>
        <n v="0.11858787709266651"/>
        <n v="7.9783146629819501E-2"/>
        <n v="3.4132352195342247E-2"/>
        <n v="0.12829696893261019"/>
        <n v="0.17245350217649386"/>
        <n v="0.52637203089610318"/>
        <n v="3.5629494487187385E-3"/>
        <n v="6.5796028596899106E-2"/>
        <n v="9.055545978519125E-2"/>
        <n v="0.1458638002179643"/>
        <n v="9.4196075477383123E-2"/>
        <n v="9.9963163801152916E-2"/>
        <n v="4.6020431170543066E-2"/>
        <n v="0.27976924313893647"/>
        <n v="7.9529741848008415E-2"/>
        <n v="0.17201049156729895"/>
        <n v="9.9168056064589588E-2"/>
        <n v="0.13775837445374697"/>
        <n v="0.26246772698927046"/>
        <n v="5.4287174483703765E-2"/>
        <n v="4.5468701339146697E-2"/>
        <n v="0.43621256545483494"/>
        <n v="7.5530032493646038E-2"/>
        <n v="3.2697655677171755E-2"/>
        <n v="4.2224719761019373E-2"/>
        <n v="2.7386615174492614E-2"/>
        <n v="9.6322009219110674E-2"/>
        <n v="0.22819139011062239"/>
        <n v="0.50911051330363655"/>
        <n v="9.6161211806712096E-2"/>
        <n v="1.9135112233761603E-2"/>
        <n v="0.11337491735893532"/>
        <n v="7.8369338941635478E-3"/>
        <n v="0.29081062028482535"/>
        <n v="4.0019730918521637E-2"/>
        <n v="0.34033729904908105"/>
        <n v="0.83929278576253818"/>
        <n v="8.0063580542611992E-2"/>
        <n v="5.1720574558230814E-2"/>
        <n v="0.14172180752113406"/>
        <n v="0.60142317709956006"/>
        <n v="8.6441121878451752E-2"/>
        <n v="8.858118978326493E-2"/>
        <n v="0.30252492602998587"/>
        <n v="2.8275470173829845E-3"/>
        <n v="0.30604268820305736"/>
        <n v="2.3483505632948206E-2"/>
        <n v="6.953108252947475E-2"/>
        <n v="1.6150494238755277E-2"/>
        <n v="6.2513248760214649E-2"/>
        <n v="2.7644140771246797E-2"/>
        <n v="0.21473854165842235"/>
        <n v="9.7879833656952839E-2"/>
        <n v="0.12600669721868071"/>
        <n v="0.21700177954141009"/>
        <n v="0.12830517206263162"/>
        <n v="1.8674917420690228E-2"/>
        <n v="2.9683013253773347E-2"/>
        <n v="0.10399172160530827"/>
        <n v="4.3416069905832438E-2"/>
        <n v="1.2179555259872544E-2"/>
        <n v="8.1966378464443712E-2"/>
        <n v="4.9230740235835138E-2"/>
        <n v="7.5761139143077055E-2"/>
        <n v="0.15378949444643061"/>
        <n v="0.62957383953903301"/>
        <n v="5.3180195450963669E-2"/>
        <n v="0.17844392443436771"/>
        <n v="0.6878388845855925"/>
        <n v="0.50967257844474756"/>
        <n v="1.2762114979432153E-2"/>
        <n v="2.3138588808756733E-2"/>
        <n v="0.12001784094572006"/>
        <n v="0.1263525148783648"/>
        <n v="0.11506366907392761"/>
        <n v="2.2248684249213512E-2"/>
        <n v="5.5535671180882165E-2"/>
        <n v="0.41042607196140357"/>
        <n v="2.5404059585601622E-2"/>
        <n v="9.7604380056887638E-2"/>
        <n v="0.13348801969883511"/>
        <n v="2.4978314808464269E-2"/>
        <n v="0.37107688271368755"/>
        <n v="0.11483130333694133"/>
        <n v="8.1100611959275967E-2"/>
        <n v="3.6132156525814293E-2"/>
        <n v="9.1920520864959651E-2"/>
        <n v="7.0544449428389208E-2"/>
        <n v="5.4164701257861665E-2"/>
        <n v="0.15205552120182939"/>
        <n v="2.5822191738777703E-2"/>
        <n v="0.12107619860372598"/>
        <n v="2.887586450778851E-2"/>
        <n v="0.10045826125774238"/>
        <n v="8.2264871509984752E-2"/>
        <n v="0.60425010012014413"/>
        <n v="0.47481540084388191"/>
        <n v="0.10150709657056621"/>
        <n v="0.22414532057887487"/>
        <n v="0.12171046762654111"/>
        <n v="0.25856276671946415"/>
        <n v="3.5495177384746772E-2"/>
        <n v="7.6129446104304263E-2"/>
        <n v="3.6150099285483872E-3"/>
        <n v="1.3587419936940954E-2"/>
        <n v="7.9438030018467276E-2"/>
        <n v="3.9758874148440322E-2"/>
        <n v="0.1836761405413313"/>
        <n v="0.22248113462625291"/>
        <n v="7.1280944652839337E-2"/>
        <n v="0.13635021188057697"/>
        <n v="0.11830852408369309"/>
        <n v="7.1205334925839331E-2"/>
        <n v="0.39683046708363817"/>
        <n v="2.6086133415831245E-2"/>
        <n v="5.1708634473445897E-2"/>
        <n v="0.19834639026154036"/>
        <n v="0.21454571183735718"/>
        <n v="0.13350644366589495"/>
        <n v="3.7446109225184016E-2"/>
        <n v="0.22265865179429872"/>
        <n v="1.1831714370458345E-2"/>
        <n v="0.41037098749069062"/>
        <n v="0.1746755907662888"/>
        <n v="7.985419381239027E-2"/>
        <n v="9.0768087375189724E-2"/>
        <n v="6.0781094586960915E-3"/>
        <n v="1.8125409957470272E-2"/>
        <n v="7.3743908921249823E-2"/>
        <n v="0.42247505530723733"/>
        <n v="0.12976858713283768"/>
        <n v="0.20136981084859731"/>
        <n v="0.14252354839556056"/>
        <n v="6.6011931576366825E-2"/>
        <n v="7.462070275151779E-2"/>
        <n v="0.10374522912854618"/>
        <n v="2.878803080087277E-2"/>
        <n v="4.0256223040396041E-2"/>
        <n v="6.5404671581003751E-3"/>
        <n v="0.26133498186077525"/>
        <n v="0.11618529987992161"/>
        <n v="0.27684888616979153"/>
        <n v="8.7414154817192447E-2"/>
        <n v="7.8688164514822731E-2"/>
        <n v="1.4347411815966321E-2"/>
        <n v="3.1248354194828142E-2"/>
        <n v="7.2850373325174717E-2"/>
        <n v="0.10571690533828484"/>
        <n v="0.15656112981759157"/>
        <n v="0.51293241862501826"/>
        <n v="5.9028170898648598E-2"/>
        <n v="3.9051973702010141E-2"/>
        <n v="4.460540141652828E-2"/>
        <n v="7.8663333879690073E-2"/>
        <n v="0.12078264517288904"/>
        <n v="0.23023533365004686"/>
        <n v="0.2480595084087969"/>
        <n v="8.7116792918919064E-3"/>
        <n v="0.13647528814748838"/>
        <n v="0.12122372340871444"/>
        <n v="2.6619006571715592E-2"/>
        <n v="0.57352541451481376"/>
        <n v="0.25036994578027849"/>
        <n v="0.12473031854139342"/>
        <n v="3.282801035822188E-2"/>
        <n v="0.12536341154472425"/>
        <n v="6.2247990986065926E-2"/>
        <n v="4.3904453323510596E-2"/>
        <n v="0.12300867377342248"/>
        <n v="6.4858695023984309E-2"/>
        <n v="0.13142839403239259"/>
        <n v="0.13535684710415577"/>
        <n v="3.9663730769575321E-2"/>
        <n v="9.7116596071467109E-2"/>
        <n v="4.1773820124666093E-2"/>
        <n v="4.8604389567583083E-2"/>
        <n v="0.41608784322998249"/>
        <n v="6.2482967956699768E-2"/>
        <n v="0.19195142962628703"/>
        <n v="0.19870488980155043"/>
        <n v="0.11220758806529721"/>
        <n v="9.7966783988289383E-2"/>
        <n v="6.6206037755426661E-2"/>
        <n v="0.14266062598590384"/>
        <n v="6.2208893575883453E-2"/>
        <n v="0.65954177897574129"/>
        <n v="0.56793783866680292"/>
        <n v="1.9406032221454411E-2"/>
        <n v="0.51926878125787668"/>
        <n v="5.3451250585581818E-2"/>
        <n v="6.3501914477436569E-2"/>
        <n v="6.1731965513478058E-2"/>
        <n v="0.27033537438224603"/>
        <n v="0.23365930616125821"/>
        <n v="6.1719788593106652E-2"/>
        <n v="2.0457741455560789E-2"/>
        <n v="3.8279223244839213E-2"/>
        <n v="8.2740230871226894E-2"/>
        <n v="6.8922871161887625E-2"/>
        <n v="3.3377297869621465E-2"/>
        <n v="0.14021289673670093"/>
        <n v="0.16187220145683703"/>
        <n v="3.3819395438422439E-2"/>
        <n v="0.16083729747910908"/>
        <n v="9.5955304285694019E-3"/>
        <n v="0.12452243133964279"/>
        <n v="3.0855759090731471E-2"/>
        <n v="0.1090054426341127"/>
        <n v="6.5190780049485544E-2"/>
        <n v="0.15768393066687444"/>
        <n v="0.11590596234770804"/>
        <n v="0.14268010113120341"/>
        <n v="5.8968666169747191E-2"/>
        <n v="0.15483550199857374"/>
        <n v="0.4286474195836289"/>
        <n v="0.14727073163440049"/>
        <n v="3.1208238100590702E-2"/>
        <n v="8.7281927506775075E-2"/>
        <n v="0.11097276970692899"/>
        <n v="3.0275846602374458E-2"/>
        <n v="7.6663422311499474E-2"/>
        <n v="4.3461385626230281E-2"/>
        <n v="5.632683667752398E-2"/>
        <n v="9.4571458873081465E-2"/>
        <n v="3.3253988828922332E-2"/>
        <n v="1.4017513454706759E-2"/>
        <n v="6.368120004219445E-2"/>
        <n v="0.11509486780715403"/>
        <n v="6.0381424648450796E-2"/>
        <n v="1.8159178865892658E-2"/>
        <n v="2.6967079585316897E-2"/>
        <n v="9.7350585335797865E-2"/>
        <n v="6.8185571755404753E-2"/>
        <n v="0.13518862378272031"/>
        <n v="2.6619821728987254E-2"/>
        <n v="0.21217937230100414"/>
        <n v="0.23186892826945973"/>
        <n v="0.17237998861551965"/>
        <n v="2.9214222400921138E-2"/>
        <n v="0.24466730143812834"/>
        <n v="0.31805658577937906"/>
        <n v="0.13590855711265945"/>
        <n v="0.26098140425240368"/>
        <n v="0.50019790088577709"/>
        <n v="3.9365925925925964E-2"/>
        <n v="0.20724790792070955"/>
        <n v="0.11465599117638045"/>
        <n v="0.16291518186055606"/>
        <n v="0.10475365277563475"/>
        <n v="2.2740934328146011E-2"/>
        <n v="4.2017670022601171E-2"/>
        <n v="0.10463558949346345"/>
        <n v="6.9670415056873353E-2"/>
        <n v="9.1788005361020983E-2"/>
        <n v="0.38828386787936814"/>
        <n v="0.17562495107107975"/>
        <n v="5.9801778391506501E-2"/>
        <n v="0.12029756109738138"/>
        <n v="0.68629205940760218"/>
        <n v="9.0562581685850171E-2"/>
        <n v="1.6590384817669595E-2"/>
        <n v="0.31061323063868673"/>
        <n v="2.0484292484032253E-2"/>
        <n v="2.291821343441057E-2"/>
        <n v="5.4421305451297607E-2"/>
        <n v="0.26274180072130382"/>
        <n v="5.5927993220140887E-2"/>
        <n v="7.4274803650751023E-2"/>
        <n v="3.7942111908453077E-2"/>
        <n v="9.7884158126542956E-2"/>
        <n v="0.11203938470102676"/>
        <n v="0.18368908966344086"/>
        <n v="3.3607431048090677E-2"/>
        <n v="0.31492574880442997"/>
        <n v="0.2079400217191546"/>
        <n v="0.23658948553733553"/>
        <n v="6.7221035771489579E-2"/>
        <n v="8.9152152157942477E-2"/>
        <n v="3.5571658776311788E-3"/>
        <n v="0.13892153121256576"/>
        <n v="0.25521907511801639"/>
        <n v="1.7623114234761528E-2"/>
        <n v="5.1520725174374657E-2"/>
        <n v="9.3479882037896977E-2"/>
        <n v="5.6943327934485206E-2"/>
        <n v="0.15854954310994337"/>
        <n v="3.1110333685793523E-2"/>
        <n v="5.3057590442916788E-2"/>
        <n v="3.4977258114447671E-2"/>
        <n v="0.10525561684751161"/>
        <n v="0.48546415592996367"/>
        <n v="0.18609252645169946"/>
        <n v="9.5646205264068567E-3"/>
        <n v="0.65295940959409593"/>
        <n v="0.10209453562681227"/>
        <n v="7.7794463159129024E-2"/>
        <n v="0.10246529877508537"/>
        <n v="7.6485000014776913E-2"/>
        <n v="0.28213596967614651"/>
        <n v="1.2923362862251186E-2"/>
        <n v="0.17077463291871084"/>
        <n v="5.3781540825193153E-2"/>
        <n v="7.121950826734111E-3"/>
        <n v="4.375620436928402E-2"/>
        <n v="9.0742607526881694E-2"/>
        <n v="5.8869667712468113E-2"/>
        <n v="1.7202355413783003E-2"/>
        <n v="5.0626660309243267E-2"/>
        <n v="3.2946324333765382E-2"/>
        <n v="9.7603117489608579E-2"/>
        <n v="2.214540347844816E-3"/>
        <n v="0.60525132126391468"/>
        <n v="6.11485521511227E-2"/>
        <n v="0.22524705319154137"/>
        <n v="2.6845379644976148E-2"/>
        <n v="0.27674492661320671"/>
        <n v="0.22636138794983238"/>
        <n v="2.2191296498288412E-3"/>
        <n v="8.8817263129516988E-2"/>
        <n v="0.48452348381212945"/>
        <n v="7.4342249829834464E-2"/>
        <n v="0.15808983149426992"/>
        <n v="0.27343432379403182"/>
        <n v="7.2438437152668761E-2"/>
        <n v="4.8639385433594293E-2"/>
        <n v="8.51655077331432E-2"/>
        <n v="8.4717718405365613E-2"/>
        <n v="0.14003702970234519"/>
        <n v="9.6112893374200023E-2"/>
        <n v="8.4222796746484974E-2"/>
        <n v="0.13513646607611504"/>
        <n v="2.4227805324827042E-2"/>
        <n v="0.16595994596816729"/>
        <n v="0.1747949508079841"/>
        <n v="0.16125518643078104"/>
        <n v="3.7692528048625515E-3"/>
        <n v="0.24795153169203166"/>
        <n v="0.11216034033374281"/>
        <n v="0.1001940166231526"/>
        <n v="0.10865231473068734"/>
        <n v="0.2356430401982843"/>
        <n v="6.8967383047842902E-3"/>
        <n v="2.1769155773813831E-2"/>
        <n v="0.14130097678113893"/>
        <n v="1.2970017400225591E-2"/>
        <n v="0.58130787951578744"/>
        <n v="0.12929235917231924"/>
        <n v="5.936234591048118E-2"/>
        <n v="2.6802550058364006E-2"/>
        <n v="0.15006870148324739"/>
        <n v="6.2967567172293695E-2"/>
        <n v="0.26934579853341895"/>
        <n v="1.8480712764480836E-2"/>
        <n v="0.20802919708029194"/>
        <n v="5.1167317484243822E-2"/>
        <n v="7.2832716872936867E-2"/>
        <n v="8.2006633499170756E-2"/>
        <n v="6.7854711089191846E-2"/>
        <n v="4.35829911051328E-2"/>
        <n v="7.8844898940463398E-2"/>
        <n v="9.7523497911084389E-2"/>
        <n v="0.10441576485783061"/>
        <n v="3.3219158490886497E-2"/>
        <n v="2.7516716898378164E-2"/>
        <n v="6.7099844745909971E-3"/>
        <n v="1.1531404137838194E-2"/>
        <n v="0.15776732874840332"/>
        <n v="0.15681830938482264"/>
        <n v="3.8178594046865112E-2"/>
        <n v="4.6974599022509785E-2"/>
        <n v="1.5176459069101193E-2"/>
        <n v="3.865842179977786E-2"/>
        <n v="1.2887974114517847E-2"/>
        <n v="0.43367741691985423"/>
        <n v="0.62885376956956218"/>
        <n v="0.11957736315346174"/>
        <n v="9.1841583747496847E-2"/>
        <n v="0.17465144838546556"/>
        <n v="0.24081640081166908"/>
        <n v="0.22410578799046171"/>
        <n v="5.423535943543828E-2"/>
        <n v="0.22138935914121596"/>
        <n v="1.6842552042135354E-2"/>
        <n v="0.14575250273407919"/>
        <n v="4.0402980136228367E-2"/>
        <n v="0.12109456852873704"/>
        <n v="0.13210399371774731"/>
        <n v="0.26918858777715959"/>
        <n v="0.11469106519108917"/>
        <n v="6.0646248093769513E-2"/>
        <n v="7.932779149052871E-2"/>
        <n v="0.31488401007754474"/>
        <n v="0.80034084142660611"/>
        <n v="0.42678544793827711"/>
        <n v="0.13857426278293811"/>
        <n v="9.3928081905005317E-2"/>
        <n v="0.76327175902812394"/>
        <n v="0.14877832254642295"/>
        <n v="0.13375175344500367"/>
        <n v="0.11587419373251905"/>
        <n v="7.9994347545219682E-2"/>
        <n v="0.14802539657783062"/>
        <n v="4.2426865894977663E-2"/>
        <n v="1.6713756792912558E-2"/>
        <n v="9.3792827971873896E-2"/>
        <n v="7.196126447016922E-2"/>
        <n v="3.189570482985192E-2"/>
        <n v="0.10492329137521306"/>
        <n v="0.11161249138453419"/>
        <n v="0.45002301367136477"/>
        <n v="0.63694455493821567"/>
        <n v="0.70655619307466988"/>
        <n v="0.13523175434127663"/>
        <n v="0.13902557946104077"/>
        <n v="7.0300214438884817E-2"/>
        <n v="7.6718837339295728E-2"/>
        <n v="1.2408332447656541E-2"/>
        <n v="0.11128477943599648"/>
        <n v="3.3023322821789304E-2"/>
        <n v="9.4284963367421301E-2"/>
        <n v="3.0525642284294403E-2"/>
        <n v="6.7445367256053101E-2"/>
        <n v="4.9493163193360855E-2"/>
        <n v="1.2702149124140381E-2"/>
        <n v="6.8028689415344387E-2"/>
        <n v="6.274557476083821E-2"/>
        <n v="9.7608945309007919E-2"/>
        <n v="0.15316926229930702"/>
        <n v="4.9649565573836402E-2"/>
        <n v="0.52399857193859334"/>
        <n v="3.4219964755882744E-2"/>
        <n v="0.37194356054262134"/>
        <n v="3.6757492712388054E-2"/>
        <n v="6.0161963976613997E-2"/>
        <n v="0.10837113184252044"/>
        <n v="2.1049869412087766E-2"/>
        <n v="0.17273172486857091"/>
        <n v="6.9688724997119131E-2"/>
        <n v="4.3213668872943846E-2"/>
        <n v="1.3193241201502611E-2"/>
        <n v="6.8884455130222386E-2"/>
        <n v="5.2260254870732221E-2"/>
        <n v="0.14495335648694707"/>
        <n v="6.7718000106998855E-2"/>
        <n v="8.5946037654878474E-2"/>
        <n v="0.19355424461451246"/>
        <n v="0.25649508808963223"/>
        <n v="0.53950398290052115"/>
        <n v="0.24296354084132682"/>
        <n v="3.135314999510664E-2"/>
        <n v="8.3154766019216134E-2"/>
        <n v="1.547446781585796E-2"/>
        <n v="3.4647955480280622E-2"/>
        <n v="0.1380264172210687"/>
        <n v="0.1782362233993123"/>
        <n v="0.10178573442981523"/>
        <n v="9.6466680840549504E-2"/>
        <n v="1.2952146908821682E-2"/>
        <n v="9.0385020099471733E-2"/>
        <n v="0.10062121136215624"/>
        <n v="0.11648524295814167"/>
        <n v="8.0787894975931487E-2"/>
        <n v="9.9252110207179847E-2"/>
        <n v="0.55749895266024185"/>
        <n v="0.11554725306473254"/>
        <n v="3.9302863240263095E-2"/>
        <n v="0.11741111395694738"/>
        <n v="7.9861111111111174E-2"/>
        <n v="3.4331690950524353E-3"/>
        <n v="1.7046505795236366E-2"/>
        <n v="0.24205915926348706"/>
        <n v="4.925266842661264E-2"/>
        <n v="0.3019543802349462"/>
        <n v="0.5946921153152257"/>
        <n v="0.40044163160274021"/>
        <n v="0.32608215769300236"/>
        <n v="2.587653184511814E-2"/>
        <n v="0.55433169283649708"/>
        <n v="0.24555225592176083"/>
        <n v="0.32823581296113091"/>
        <n v="0.17392776770303048"/>
        <n v="0.21428346158698119"/>
        <n v="0.10704680221653876"/>
        <n v="0.31051461090986782"/>
        <n v="5.6754271161260514E-2"/>
        <n v="9.5415462384056959E-3"/>
        <n v="0.79593713135799049"/>
        <n v="6.497241117566338E-2"/>
        <n v="0.35076757700964084"/>
        <n v="0.19899830242714048"/>
        <n v="0.61916746636730691"/>
        <n v="0.13516257083118688"/>
        <n v="0.12243910526440159"/>
        <n v="6.8770841592239423E-2"/>
        <n v="0.21589409398294365"/>
        <n v="1.0146737869883651E-2"/>
        <n v="5.9661029984330143E-2"/>
        <n v="2.463373189381849E-2"/>
        <n v="0.22228606450624369"/>
        <n v="0.30025117537192642"/>
        <n v="0.31600559764785713"/>
        <n v="0.27956101551139112"/>
        <n v="9.0980279237014405E-2"/>
        <n v="0.10491248479720798"/>
        <n v="0.24021285332968317"/>
        <n v="0.10541650179323266"/>
        <n v="6.2463299640265119E-2"/>
        <n v="6.9808488667937041E-2"/>
        <n v="0.22546757011243368"/>
        <n v="0.12335198454540555"/>
        <n v="1.6734936434832322E-2"/>
        <n v="6.4065665543648231E-2"/>
        <n v="0.12617835804381497"/>
        <n v="0.37818236693534069"/>
        <n v="0.14421985298314829"/>
        <n v="0.13586107740588863"/>
        <n v="5.8939465529888768E-2"/>
        <n v="0.29519787465997732"/>
        <n v="0.11707365594071711"/>
        <n v="9.632110073812232E-2"/>
        <n v="0.15628425253448433"/>
        <n v="8.7786570939055217E-2"/>
        <n v="5.9650208113396608E-2"/>
        <n v="1.290739720778751E-2"/>
        <n v="4.5617518774095589E-2"/>
        <n v="0.15635325473911177"/>
        <n v="0.29349825414640224"/>
        <n v="7.5584454127264597E-2"/>
        <n v="0.14697436988195264"/>
        <n v="7.9555122434135317E-2"/>
        <n v="0.11036727390519668"/>
        <n v="3.7941056901071551E-2"/>
        <n v="0.37571912013536379"/>
        <n v="9.4159460523867866E-2"/>
        <n v="0.56319968362131911"/>
        <n v="7.7868119738509212E-2"/>
        <n v="3.8254427907603264E-2"/>
        <n v="0.84173778122575638"/>
        <n v="1.9772948825213514E-2"/>
        <n v="6.3119240879285929E-2"/>
        <n v="7.0745261415761221E-2"/>
        <n v="2.2404497215197407E-2"/>
        <n v="0.10241643296953623"/>
        <n v="4.8224447078648702E-2"/>
        <n v="0.16098692052709773"/>
        <n v="0.79865366906931701"/>
        <n v="2.264300817058363E-2"/>
        <n v="0.16050298424595738"/>
        <n v="5.0607057325613186E-2"/>
        <n v="0.73906886174544173"/>
        <n v="1.8559973468831707E-2"/>
        <n v="5.9618441971383149E-2"/>
        <n v="0.19066275819446726"/>
        <n v="8.8770558407895134E-2"/>
        <n v="0.12156741981950801"/>
        <n v="9.6944203009131716E-2"/>
        <n v="0.14431576478580493"/>
        <n v="0.18516383104681994"/>
        <n v="2.7700417744181482E-2"/>
        <n v="8.887674725675003E-2"/>
        <n v="0.14353861821300318"/>
        <n v="0.17076841547429783"/>
        <n v="0.16978843546891079"/>
        <n v="0.21655516669989894"/>
        <n v="0.14471342580476318"/>
        <n v="3.3261618468117642E-2"/>
        <n v="0.38274925869856241"/>
        <n v="9.461155474643752E-3"/>
        <n v="3.892885249975829E-2"/>
        <n v="6.797370641609261E-3"/>
        <n v="6.5607017598111633E-2"/>
        <n v="0.7784798792499168"/>
        <n v="1.5558211150430701E-2"/>
        <n v="0.329456134465971"/>
        <n v="2.7549425988239614E-2"/>
        <n v="7.3406084796501125E-2"/>
        <n v="0.18803265006087433"/>
        <n v="0.1341748768472906"/>
        <n v="0.22204502484942401"/>
        <n v="0.11656212700954155"/>
        <n v="0.11982853395567739"/>
        <n v="0.2047395228101821"/>
        <n v="0.16333970194879635"/>
        <n v="0.26867364746945899"/>
        <n v="3.5553083730498952E-2"/>
        <n v="0.80833532362073079"/>
        <n v="0.10146446705434177"/>
        <n v="0.10965492813333085"/>
        <n v="0.16082351707504627"/>
        <n v="0.11128720138796204"/>
        <n v="5.3033207263600252E-2"/>
        <n v="7.768827249549462E-2"/>
        <n v="0.24517534221785603"/>
        <n v="0.2546557721867162"/>
        <n v="5.9542676515287718E-2"/>
        <n v="0.14368131240432286"/>
        <n v="0.33473678442260629"/>
        <n v="6.8722919214336473E-2"/>
        <n v="4.3569163415934711E-2"/>
        <n v="4.0717930121520057E-2"/>
        <n v="9.6355438065865717E-2"/>
        <n v="1.5022752301200934E-2"/>
        <n v="0.3133396781833071"/>
        <n v="0.30713569804678903"/>
        <n v="0.12779669371696684"/>
        <n v="3.2551190536336733E-2"/>
        <n v="5.9168449990457367E-2"/>
        <n v="2.0541250273542932E-2"/>
        <n v="0.1401067540013036"/>
        <n v="4.2314190881345227E-2"/>
        <n v="0.76880297625896521"/>
        <n v="0.14503928771876121"/>
        <n v="0.14588762401133812"/>
        <n v="5.5141117471041515E-2"/>
        <n v="8.1712375659457909E-2"/>
        <n v="8.8264764531394119E-2"/>
        <n v="0.11843635013998027"/>
        <n v="0.12028467803711289"/>
        <n v="0.72770043348966573"/>
        <n v="0.15657895712939809"/>
        <n v="1.7876791238948291E-2"/>
        <n v="6.6732338360361021E-2"/>
        <n v="0.18415386121170596"/>
        <n v="7.9745340168407591E-2"/>
        <n v="0.32081076358553207"/>
        <n v="7.4175339927607747E-2"/>
        <n v="0.14206265075048524"/>
        <n v="6.8001515762709783E-2"/>
        <n v="0.15991287628651588"/>
        <n v="2.8173791138596464E-2"/>
        <n v="3.3870827484254053E-2"/>
        <n v="0.1206747587433547"/>
        <n v="0.17122412608434254"/>
        <n v="7.7081813487215114E-2"/>
        <n v="3.4403431483371015E-2"/>
        <n v="0.10950979763317407"/>
        <n v="0.60552284330196215"/>
        <n v="0.11174801242192274"/>
        <n v="5.9147315153908635E-2"/>
        <n v="0.26034800520381612"/>
        <n v="7.78407471179174E-2"/>
        <n v="0.25970169708320956"/>
        <n v="8.1775165568070365E-2"/>
        <n v="0.439641051207179"/>
        <n v="1.1217692998573007E-2"/>
        <n v="6.8759673600256727E-2"/>
        <n v="0.22099504223848584"/>
        <n v="8.341575331866595E-2"/>
        <n v="2.9533713221432185E-2"/>
        <n v="3.2872612093884125E-2"/>
        <n v="9.3760676290880668E-2"/>
        <n v="0.45239234216204077"/>
        <n v="0.1287405137790501"/>
        <n v="9.3583486649554057E-2"/>
        <n v="1.4920870222695644E-2"/>
        <n v="9.7034328716115142E-2"/>
        <n v="0.18690863416339326"/>
        <n v="9.6279067922971931E-2"/>
        <n v="0.11399053190763185"/>
        <n v="0.20239404498674471"/>
        <n v="6.6267204853711667E-2"/>
        <n v="0.13156389244764602"/>
        <n v="0.17881526360003056"/>
        <n v="9.7891101307349834E-2"/>
        <n v="0.10103060217176708"/>
        <n v="0.14254546285296221"/>
        <n v="7.7387636995565334E-2"/>
        <n v="0.18879355589530614"/>
        <n v="0.11171461262589488"/>
        <n v="3.6158181503012615E-2"/>
        <n v="2.743218171789609E-2"/>
        <n v="9.7817746010122591E-3"/>
        <n v="5.5270539602864099E-2"/>
        <n v="8.8962290988399612E-2"/>
        <n v="2.30543852520365E-3"/>
        <n v="3.3457014999212879E-2"/>
        <n v="0.33066441180212058"/>
        <n v="0.11974101017175447"/>
        <n v="0.11596632324411878"/>
        <n v="4.9871748069015891E-2"/>
        <n v="0.10115261909064242"/>
        <n v="3.0391041026578573E-2"/>
        <n v="7.6114159206853327E-2"/>
        <n v="0.13759908239968868"/>
        <n v="0.22314082970902274"/>
        <n v="7.8869577605242477E-2"/>
        <n v="0.17519322097029527"/>
        <n v="0.64000183263464139"/>
        <n v="0.31476323119777161"/>
        <n v="2.6473216572654775E-2"/>
        <n v="6.8160941435435052E-2"/>
        <n v="0.15816753485173818"/>
        <n v="0.13229404349699228"/>
        <n v="2.9139641005539393E-2"/>
        <n v="4.8042933350470128E-2"/>
        <n v="0.10945661311193598"/>
        <n v="7.9682500232996056E-2"/>
        <n v="0.23270847250055657"/>
        <n v="0.46299915941706077"/>
        <n v="0.54352841938124885"/>
        <n v="7.8984733342799082E-2"/>
        <n v="5.1498610719144959E-2"/>
        <n v="3.9428493538821781E-2"/>
        <n v="0.13383322559793154"/>
        <n v="3.6891710509554983E-2"/>
        <n v="2.7197864257110505E-2"/>
        <n v="0.11559202079353102"/>
        <n v="4.5749596076986171E-2"/>
        <n v="6.9962066715486645E-2"/>
        <n v="0.15320695413024263"/>
        <n v="5.1160716137997858E-2"/>
        <n v="3.9405336930706872E-2"/>
        <n v="0.12044216427778073"/>
        <n v="5.8938094359233346E-3"/>
        <n v="9.3284238903718425E-2"/>
        <n v="0.11399298295175087"/>
        <n v="0.12720103224658239"/>
        <n v="0.45691147176958496"/>
        <n v="0.21288216488810849"/>
        <n v="3.2902881382832899E-2"/>
        <n v="0.32207346879217891"/>
        <n v="0.69001706484641634"/>
        <n v="0.15557630766777894"/>
        <n v="0.10267482517482521"/>
        <n v="8.4798528252695127E-2"/>
        <n v="7.4049030761001347E-2"/>
        <n v="4.0650844121141297E-2"/>
        <n v="1.1918380316855104E-2"/>
        <n v="7.6591674242499949E-2"/>
        <n v="1.4788970963307939E-2"/>
        <n v="0.10533235757432657"/>
        <n v="0.27013150783642587"/>
        <n v="6.6605122369030934E-2"/>
        <n v="0.14306412972269911"/>
        <n v="8.7705408069285284E-2"/>
        <n v="3.1129868079178502E-2"/>
        <n v="8.5788221903672787E-2"/>
        <n v="0.16946667597534892"/>
        <n v="9.4036441904479184E-2"/>
        <n v="0.69295640182454654"/>
        <n v="9.6393155988510018E-2"/>
        <n v="0.15794017604445248"/>
        <n v="4.6915155039486747E-2"/>
        <n v="1.3914014863544023E-2"/>
        <n v="6.3196947436290382E-2"/>
        <n v="0.11313128259390826"/>
        <n v="6.1394975159998054E-2"/>
        <n v="9.8055225298782855E-2"/>
        <n v="7.1034538912891937E-2"/>
        <n v="9.659350234430096E-2"/>
        <n v="0.32447903487234903"/>
        <n v="2.1138273932026608E-2"/>
        <n v="4.6960643025548456E-2"/>
        <n v="0.13297471434662578"/>
        <n v="0.1684899625384261"/>
        <n v="7.3230504611207781E-2"/>
        <n v="0.36621557963256385"/>
        <n v="0.10304453634212417"/>
        <n v="5.7577903014169214E-2"/>
        <n v="0.11414895343177024"/>
        <n v="3.5976510000457151E-2"/>
        <n v="4.8545026425372936E-2"/>
        <n v="2.7930703063107958E-2"/>
        <n v="0.14054863841700974"/>
        <n v="7.1351291369600875E-2"/>
        <n v="9.6228331411061921E-2"/>
        <n v="5.7994272947543939E-2"/>
        <n v="3.0083938179221781E-2"/>
        <n v="4.7839013191241071E-2"/>
        <n v="5.7251918788746671E-2"/>
        <n v="0.13144713039636535"/>
        <n v="7.8520712406286067E-2"/>
        <n v="0.14508298891293903"/>
        <n v="2.1428094212692882E-2"/>
        <n v="1.333278478929583E-2"/>
        <n v="0.45891831126655008"/>
        <n v="9.8948760790866119E-2"/>
        <n v="9.6065107867200669E-2"/>
        <n v="0.19500412961220057"/>
        <n v="6.1940631073369425E-2"/>
        <n v="0.19555811941159504"/>
        <n v="3.9408794113585742E-2"/>
        <n v="0.10241868597431127"/>
        <n v="0.12334947212162989"/>
        <n v="4.7743047402579085E-2"/>
        <n v="0.10543168190021542"/>
        <n v="5.5220724889581026E-2"/>
        <n v="6.4305593279718964E-2"/>
        <n v="0.22199916861838564"/>
        <n v="0.17348394089794053"/>
        <n v="0.16005849479534184"/>
        <n v="0.5760290845518119"/>
        <n v="6.0567165060584856E-2"/>
        <n v="0.19650445611757078"/>
        <n v="9.9800167513337382E-2"/>
        <n v="7.9889462406235231E-3"/>
        <n v="0.10895501161449368"/>
        <n v="0.12320330846559804"/>
        <n v="0.56799771990879633"/>
        <n v="7.5740961849298186E-3"/>
        <n v="0.68250265661042431"/>
        <n v="5.5232981154504333E-2"/>
        <n v="4.0571455525288673E-2"/>
        <n v="0.11923247729743804"/>
        <n v="0.24157930584129184"/>
        <n v="2.8725341855201918E-2"/>
        <n v="0.23537412573063418"/>
        <n v="8.2612630320303304E-2"/>
        <n v="6.8766246943883433E-2"/>
        <n v="7.6960042164223474E-2"/>
        <n v="3.45064604147719E-2"/>
        <n v="8.9941139527071334E-2"/>
        <n v="7.3619793834527561E-2"/>
        <n v="3.848208517616665E-2"/>
        <n v="0.26229675228189342"/>
        <n v="0.76247489572068505"/>
        <n v="3.1344494141363283E-2"/>
        <n v="4.8666391665716496E-3"/>
        <n v="3.5437167404941038E-2"/>
        <n v="2.8250113508038677E-2"/>
        <n v="8.2818866893441048E-2"/>
        <n v="0.2428225448839669"/>
        <n v="8.3577376662653705E-2"/>
        <n v="0.1210140757980437"/>
        <n v="2.6662832848971484E-2"/>
        <n v="0.10207530986697171"/>
        <n v="5.3992695988921438E-2"/>
        <n v="0.18043169554103955"/>
        <n v="7.5587783643197098E-2"/>
        <n v="3.2919273890045009E-2"/>
        <n v="6.9372624466238056E-2"/>
        <n v="6.1107035628123812E-3"/>
        <n v="3.477001086562842E-2"/>
        <n v="0.46961413517153949"/>
        <n v="3.0586288416075677E-2"/>
        <n v="0.12279883561222601"/>
        <n v="9.3847059412884556E-2"/>
        <n v="0.14610234887748838"/>
        <n v="0.14674360545158718"/>
        <n v="0.3926225736278447"/>
        <n v="1.2528353278398147E-2"/>
        <n v="0.11304920573421162"/>
        <n v="9.6991385738393276E-2"/>
        <n v="4.3699841005451837E-3"/>
        <n v="9.2285786964691641E-2"/>
        <n v="0.4729195058689058"/>
        <n v="0.16543206505041949"/>
        <n v="1.3672119576972544E-2"/>
        <n v="2.2572701688555314E-2"/>
        <n v="0.10318741417110361"/>
        <n v="6.7599984269928068E-2"/>
        <n v="0.22888049216330356"/>
        <n v="0.52697480974573763"/>
        <n v="0.41409879384562931"/>
        <n v="0.44357023344753405"/>
        <n v="0.20066258603431636"/>
        <n v="3.5341262547712506E-2"/>
        <n v="0.12982347141371439"/>
        <n v="0.34740424489510247"/>
        <n v="0.13055700282318161"/>
        <n v="0.19733992054786945"/>
        <n v="0.2793358710861682"/>
        <n v="0.84061276466339752"/>
        <n v="8.6137713544992028E-2"/>
        <n v="9.850535298275008E-2"/>
        <n v="0.29933830354201807"/>
        <n v="0.3420751924770058"/>
        <n v="1.4633410327923934E-2"/>
        <n v="0.15756707553645508"/>
        <n v="0.20471856353287318"/>
        <n v="2.1732045879776316E-2"/>
        <n v="0.10528132852616633"/>
        <n v="4.0598642906969261E-2"/>
        <n v="3.7761851187162528E-2"/>
        <n v="0.28899507656229317"/>
        <n v="0.35223672913521037"/>
        <n v="1.3982146819368838E-2"/>
        <n v="0.36087960758167448"/>
        <n v="0.11822940902745133"/>
        <n v="8.7654068720283609E-3"/>
        <n v="9.2620124993575179E-2"/>
        <n v="0.18300623320937492"/>
        <n v="8.3039787829398873E-2"/>
        <n v="9.951381530993339E-2"/>
        <n v="6.5885510982338635E-2"/>
        <n v="9.0999223789862305E-2"/>
        <n v="0.68810480189884826"/>
        <n v="0.2336358093325204"/>
        <n v="0.18544719092897474"/>
        <n v="2.090150250417366E-2"/>
        <n v="7.1536560478548644E-2"/>
        <n v="0.10599095211945286"/>
        <n v="5.3646068074755103E-2"/>
        <n v="7.4404570566478203E-3"/>
        <n v="0.23785792349726778"/>
        <n v="6.2200537754404164E-2"/>
        <n v="1.6342623436616497E-2"/>
        <n v="4.274414270448524E-2"/>
        <n v="6.0613652758759094E-2"/>
        <n v="0.24984356474772754"/>
        <n v="0.34140807789568212"/>
        <n v="6.5922989046435121E-2"/>
        <n v="7.8928688104735328E-2"/>
        <n v="0.33679034229391958"/>
        <n v="0.83591786225298736"/>
        <n v="6.6262538421864553E-2"/>
        <n v="0.32914314233132658"/>
        <n v="7.6244281128494462E-2"/>
        <n v="2.0458279241294539E-2"/>
        <n v="4.8436575414992536E-2"/>
        <n v="0.42723056672940418"/>
        <n v="3.4334356112040464E-2"/>
        <n v="4.0791126310851564E-2"/>
        <n v="9.1713752836654616E-2"/>
        <n v="5.4988149105791154E-2"/>
        <n v="0.18835421087457493"/>
        <n v="1.5590146898933767E-2"/>
        <n v="0.10048929162053929"/>
      </sharedItems>
    </cacheField>
    <cacheField name="Unit_Margin_Status" numFmtId="0">
      <sharedItems count="1">
        <s v="Positive margin"/>
      </sharedItems>
    </cacheField>
    <cacheField name="Profit_Status" numFmtId="0">
      <sharedItems count="2">
        <s v="Profit"/>
        <s v="Loss"/>
      </sharedItems>
    </cacheField>
    <cacheField name="Effective_Unit_Price" numFmtId="0">
      <sharedItems containsSemiMixedTypes="0" containsString="0" containsNumber="1" minValue="127.134" maxValue="5402.28" count="1000">
        <n v="243.17020000000002"/>
        <n v="3746.4015999999997"/>
        <n v="297.12"/>
        <n v="4378.3949999999995"/>
        <n v="637.29320000000007"/>
        <n v="874.14290000000005"/>
        <n v="2256.7174"/>
        <n v="3488.8920000000003"/>
        <n v="1040.6774999999905"/>
        <n v="2333.6358"/>
        <n v="1938.5519999999999"/>
        <n v="1046.4448"/>
        <n v="641.09"/>
        <n v="3416.52"/>
        <n v="2037.4159999999999"/>
        <n v="399.87299999999999"/>
        <n v="4243.3439999999991"/>
        <n v="4530.9150000000009"/>
        <n v="2374.8227999999999"/>
        <n v="2594.7929999999997"/>
        <n v="3640.0784000000003"/>
        <n v="4465.4895999999999"/>
        <n v="4020.3705999999997"/>
        <n v="1855.7603999999999"/>
        <n v="2621.1120000000001"/>
        <n v="3019.7200000000003"/>
        <n v="1008.3803999999999"/>
        <n v="2482.1814999999997"/>
        <n v="3581.0847999999919"/>
        <n v="2753.7325000000001"/>
        <n v="2262.1851999999999"/>
        <n v="3689.2296000000001"/>
        <n v="797.85719999999992"/>
        <n v="1567.0550000000001"/>
        <n v="3361.1684"/>
        <n v="1116.1368"/>
        <n v="1250.9895999999999"/>
        <n v="3470.8065999999999"/>
        <n v="1483.2"/>
        <n v="1213.1285"/>
        <n v="3875.04"/>
        <n v="3339.828"/>
        <n v="3339.4254000000001"/>
        <n v="4241.0783999999994"/>
        <n v="819.51359999999988"/>
        <n v="3016.1646000000001"/>
        <n v="2110.328"/>
        <n v="3441.1839"/>
        <n v="2496.2000999999996"/>
        <n v="2916.1134000000002"/>
        <n v="2519.0700000000002"/>
        <n v="2639.4799999999905"/>
        <n v="2930.8859999999995"/>
        <n v="3272.8667999999998"/>
        <n v="2563.2080000000005"/>
        <n v="2495.5549999999998"/>
        <n v="2458.7783999999924"/>
        <n v="3208.2216000000003"/>
        <n v="4056.3809999999994"/>
        <n v="3464.0852"/>
        <n v="3785.5839999999998"/>
        <n v="3949.7655999999997"/>
        <n v="3014.5611999999996"/>
        <n v="2694.7128000000002"/>
        <n v="4821.6679999999997"/>
        <n v="2410.0172000000002"/>
        <n v="3930.4850000000001"/>
        <n v="3547.5131000000001"/>
        <n v="2274.5996"/>
        <n v="1200.7295999999917"/>
        <n v="2169.7858000000001"/>
        <n v="4249.3323"/>
        <n v="3275.3357000000001"/>
        <n v="2894.8719999999998"/>
        <n v="4788.2089999999998"/>
        <n v="2649.9928"/>
        <n v="2694.9744000000001"/>
        <n v="3037.1629000000003"/>
        <n v="3105.6875"/>
        <n v="886.9325"/>
        <n v="2186.5920999999998"/>
        <n v="2057.2275"/>
        <n v="1810.0888999999997"/>
        <n v="2297.9214000000002"/>
        <n v="1995.3971999999999"/>
        <n v="868.2254999999999"/>
        <n v="2501.73"/>
        <n v="774.85500000000002"/>
        <n v="2270.1977999999926"/>
        <n v="4485.1855999999998"/>
        <n v="3802.4985000000001"/>
        <n v="1760.6548"/>
        <n v="440.74659999999994"/>
        <n v="910.51739999999995"/>
        <n v="2190.9659999999999"/>
        <n v="1432.7808"/>
        <n v="2949.8435999999997"/>
        <n v="1141.5263"/>
        <n v="4295.4457000000002"/>
        <n v="1894.3145999999999"/>
        <n v="1630.0384999999999"/>
        <n v="3702.0419999999999"/>
        <n v="1555.7294999999999"/>
        <n v="875.3746000000001"/>
        <n v="2642.0550000000003"/>
        <n v="2573.5789999999997"/>
        <n v="3371.319"/>
        <n v="1248.5003999999999"/>
        <n v="2411.5557999999996"/>
        <n v="1631.9024999999999"/>
        <n v="817.17129999999997"/>
        <n v="4127.7869999999912"/>
        <n v="3393.6357000000003"/>
        <n v="1374.1655000000001"/>
        <n v="2250.1401999999998"/>
        <n v="1342.5138999999999"/>
        <n v="4363.9124000000002"/>
        <n v="909.89879999999994"/>
        <n v="352.01780000000002"/>
        <n v="2397.3371999999999"/>
        <n v="2910.8415999999997"/>
        <n v="2717.8880000000004"/>
        <n v="770.33279999999991"/>
        <n v="1457.7621999999999"/>
        <n v="2323.482"/>
        <n v="1254.8328000000001"/>
        <n v="4294.2521999999999"/>
        <n v="506.18199999999996"/>
        <n v="1992.1983"/>
        <n v="3508.08"/>
        <n v="1285.6943999999999"/>
        <n v="2913.9519"/>
        <n v="3205.2000000000003"/>
        <n v="947.61750000000006"/>
        <n v="4274.1551999999992"/>
        <n v="2362.3537999999999"/>
        <n v="1955.56"/>
        <n v="2478.9896999999901"/>
        <n v="1186.7682999999927"/>
        <n v="2887.9851000000003"/>
        <n v="3831.2742000000003"/>
        <n v="3359.0787999999998"/>
        <n v="3543.1342999999997"/>
        <n v="3327.2008000000001"/>
        <n v="2387.6849999999999"/>
        <n v="1440.5776000000001"/>
        <n v="3082.5219999999999"/>
        <n v="512.83500000000004"/>
        <n v="3709.9638"/>
        <n v="2005.9013"/>
        <n v="410.7962"/>
        <n v="586.4"/>
        <n v="1694.39"/>
        <n v="2917.3041000000003"/>
        <n v="2427.8982000000001"/>
        <n v="2495.9059999999999"/>
        <n v="1947.5939000000001"/>
        <n v="3060.99"/>
        <n v="840.97300000000007"/>
        <n v="774.16499999999996"/>
        <n v="2526.1002000000003"/>
        <n v="2686.9787999999999"/>
        <n v="154.16140000000001"/>
        <n v="1645.8235999999999"/>
        <n v="676.9298"/>
        <n v="2270.9399999999923"/>
        <n v="1639.8150000000001"/>
        <n v="2528.5925000000002"/>
        <n v="4046.2694999999999"/>
        <n v="1484.765999999991"/>
        <n v="4630.08"/>
        <n v="3153.9519"/>
        <n v="2650.1816999999996"/>
        <n v="3073.3843999999922"/>
        <n v="2552.9556000000002"/>
        <n v="2752.6655999999998"/>
        <n v="1988.3724"/>
        <n v="799.04"/>
        <n v="294.25920000000002"/>
        <n v="1987.1851999999999"/>
        <n v="1710.7115999999999"/>
        <n v="2197.1208000000001"/>
        <n v="783.05590000000007"/>
        <n v="3571.4231999999997"/>
        <n v="3437.7736"/>
        <n v="3582.3968000000004"/>
        <n v="1790.2294999999997"/>
        <n v="2790.7754"/>
        <n v="3212.9279999999994"/>
        <n v="1922.2758000000001"/>
        <n v="1606.9784999999922"/>
        <n v="4794.1845000000003"/>
        <n v="2772.4108000000001"/>
        <n v="2677.4959999999905"/>
        <n v="823.85399999999186"/>
        <n v="824.91650000000004"/>
        <n v="3205.2507999999998"/>
        <n v="2313.4994999999999"/>
        <n v="1825.34"/>
        <n v="1081.1914999999999"/>
        <n v="2294.0668000000001"/>
        <n v="2810.4068000000002"/>
        <n v="1050.6467999999925"/>
        <n v="4013.4336000000003"/>
        <n v="633.76800000000003"/>
        <n v="2020.5960000000002"/>
        <n v="2711.5996"/>
        <n v="1284.3004999999998"/>
        <n v="3922.0089999999909"/>
        <n v="3516.2183999999997"/>
        <n v="3630.0014999999999"/>
        <n v="786.28949999999998"/>
        <n v="659.82069999999999"/>
        <n v="1562.4784999999999"/>
        <n v="2744.136"/>
        <n v="3375.0443999999998"/>
        <n v="3532.4405999999926"/>
        <n v="2998.8232000000003"/>
        <n v="4305.8519999999999"/>
        <n v="3012.5628000000002"/>
        <n v="1261.0720000000001"/>
        <n v="1309.2896999999998"/>
        <n v="2848.14"/>
        <n v="1055.9059999999999"/>
        <n v="434.99820000000005"/>
        <n v="2680.6776000000004"/>
        <n v="3132.7950000000001"/>
        <n v="495.57810000000001"/>
        <n v="3939.2468000000003"/>
        <n v="4002.3192000000004"/>
        <n v="2167.2525000000001"/>
        <n v="657.69600000000003"/>
        <n v="835.55020000000002"/>
        <n v="3141.6849999999999"/>
        <n v="3702.7287000000001"/>
        <n v="4587.9519999999902"/>
        <n v="2503.0500000000002"/>
        <n v="647.27250000000004"/>
        <n v="787.84159999999997"/>
        <n v="2702.0508"/>
        <n v="855.78570000000013"/>
        <n v="1658.7767999999915"/>
        <n v="1972.6356000000001"/>
        <n v="287.32990000000001"/>
        <n v="1470.3506"/>
        <n v="2198.4270000000001"/>
        <n v="1067.6736000000001"/>
        <n v="679.73899999999924"/>
        <n v="3779.3042999999998"/>
        <n v="3537.6342999999997"/>
        <n v="1283.7549999999999"/>
        <n v="3073.0128"/>
        <n v="1894.0656000000001"/>
        <n v="2721.8660000000004"/>
        <n v="3571.424"/>
        <n v="3500.2379999999998"/>
        <n v="3916.4624999999996"/>
        <n v="634.56819999999993"/>
        <n v="507.495"/>
        <n v="4722.7157999999999"/>
        <n v="1974.537"/>
        <n v="1656.693"/>
        <n v="3728.2336"/>
        <n v="4087.9080000000004"/>
        <n v="4163.0039999999917"/>
        <n v="1412.0925"/>
        <n v="4187.4719999999916"/>
        <n v="578.76"/>
        <n v="664.12989999999991"/>
        <n v="2270.9278999999997"/>
        <n v="610.58609999999999"/>
        <n v="1382.8001999999922"/>
        <n v="3284.4993999999911"/>
        <n v="1612.6879999999999"/>
        <n v="1196.8355999999999"/>
        <n v="1355.4503999999999"/>
        <n v="2097.1880000000001"/>
        <n v="1987.2135000000001"/>
        <n v="3184.0457999999926"/>
        <n v="3651.4208000000003"/>
        <n v="1936.2252000000001"/>
        <n v="3505.8559999999998"/>
        <n v="565.5136"/>
        <n v="1332.6129999999998"/>
        <n v="3821.3840999999998"/>
        <n v="2129.0210999999999"/>
        <n v="3715.7925000000005"/>
        <n v="2208.5306"/>
        <n v="3563.9375999999997"/>
        <n v="1649.6424"/>
        <n v="2280.663"/>
        <n v="1708.9781999999998"/>
        <n v="2857.8339999999998"/>
        <n v="2350.2934"/>
        <n v="3813.3607999999999"/>
        <n v="1360.4450999999999"/>
        <n v="891.64679999999998"/>
        <n v="1826.3465999999999"/>
        <n v="2914.4387999999999"/>
        <n v="4487.04"/>
        <n v="1507.7031999999999"/>
        <n v="3083.8443999999913"/>
        <n v="1410.0388"/>
        <n v="2434.7474999999999"/>
        <n v="3520.6575000000003"/>
        <n v="1016.4462"/>
        <n v="1569.9470000000001"/>
        <n v="3828.3251999999929"/>
        <n v="3809.0394000000006"/>
        <n v="2925.65"/>
        <n v="2025.6478"/>
        <n v="1114.3125"/>
        <n v="2306.9758000000002"/>
        <n v="4659.6329999999998"/>
        <n v="2991.6945000000001"/>
        <n v="1683.6106"/>
        <n v="774.64080000000001"/>
        <n v="1228.1650999999999"/>
        <n v="1089.5164"/>
        <n v="505.95199999999926"/>
        <n v="2123.0001999999999"/>
        <n v="630.77820000000008"/>
        <n v="1189.0620000000001"/>
        <n v="2554.6000000000004"/>
        <n v="1041.4423999999913"/>
        <n v="703.38240000000008"/>
        <n v="1485"/>
        <n v="1395.5971999999999"/>
        <n v="2438.1831000000002"/>
        <n v="658.41930000000002"/>
        <n v="3538.5419999999999"/>
        <n v="3388.2293"/>
        <n v="2920.2"/>
        <n v="2221.1543999999999"/>
        <n v="3335.8320000000003"/>
        <n v="3727.2734999999902"/>
        <n v="160.43520000000001"/>
        <n v="2014.4016999999997"/>
        <n v="3309.3163000000004"/>
        <n v="1422.0944999999999"/>
        <n v="707.90939999999989"/>
        <n v="3663.5782000000004"/>
        <n v="3842.6353999999997"/>
        <n v="943.7428000000001"/>
        <n v="2240.8731000000002"/>
        <n v="982.69439999999997"/>
        <n v="3245.2914999999998"/>
        <n v="1493.9058"/>
        <n v="1317.4315000000001"/>
        <n v="4526.4879000000001"/>
        <n v="1827.0148000000002"/>
        <n v="3096.2568999999999"/>
        <n v="1747.5211999999999"/>
        <n v="1419.9232"/>
        <n v="3060.1981999999907"/>
        <n v="1156.143"/>
        <n v="1867.4759999999999"/>
        <n v="1349.855"/>
        <n v="2809.5"/>
        <n v="4045.2282"/>
        <n v="3746.6625000000004"/>
        <n v="2408.3422999999912"/>
        <n v="1588.4232"/>
        <n v="1825.7840000000001"/>
        <n v="4429.7648999999901"/>
        <n v="920.43119999999999"/>
        <n v="3787.8450000000003"/>
        <n v="1822.0576000000001"/>
        <n v="3917.7753999999927"/>
        <n v="4214.6750000000002"/>
        <n v="3779.3700000000003"/>
        <n v="1288.3873000000001"/>
        <n v="127.134"/>
        <n v="2027.6579999999999"/>
        <n v="1122.3863999999999"/>
        <n v="569.1"/>
        <n v="2585.9288000000001"/>
        <n v="2040.1092000000003"/>
        <n v="2559.8519999999999"/>
        <n v="3214.4865"/>
        <n v="748.87579999999991"/>
        <n v="4108.4584999999997"/>
        <n v="917.41260000000011"/>
        <n v="2024.8954999999999"/>
        <n v="2285.1604000000002"/>
        <n v="4048.0544999999993"/>
        <n v="482.11200000000008"/>
        <n v="1799.9592"/>
        <n v="2669.6286"/>
        <n v="916.09440000000006"/>
        <n v="3132.9503999999997"/>
        <n v="3790.3317999999999"/>
        <n v="4148.9874"/>
        <n v="512.23679999999899"/>
        <n v="1114.0182"/>
        <n v="1535.3475000000001"/>
        <n v="1519.5315000000001"/>
        <n v="1588.9780000000001"/>
        <n v="1079.6297999999999"/>
        <n v="4642.0901999999996"/>
        <n v="4994.2925999999998"/>
        <n v="455.04749999999996"/>
        <n v="1474.0056999999999"/>
        <n v="1855.5096000000001"/>
        <n v="1527.4709999999911"/>
        <n v="3409.93"/>
        <n v="2910.67"/>
        <n v="4656.58"/>
        <n v="3939.5288999999998"/>
        <n v="2863.1069999999909"/>
        <n v="3162.0846000000001"/>
        <n v="1412.7244000000001"/>
        <n v="2865.2761999999998"/>
        <n v="2482.3791999999999"/>
        <n v="817.29599999999903"/>
        <n v="1197.2370999999921"/>
        <n v="1709.8463999999999"/>
        <n v="3760.6923000000002"/>
        <n v="1551.2322000000001"/>
        <n v="1468.6760000000002"/>
        <n v="1983.0774999999996"/>
        <n v="3629.8563999999997"/>
        <n v="689.83789999999999"/>
        <n v="3459.7224000000001"/>
        <n v="4342.4192000000003"/>
        <n v="2945.4806999999914"/>
        <n v="2710.4821000000002"/>
        <n v="272.09539999999998"/>
        <n v="1508.0983999999999"/>
        <n v="4028.2184999999995"/>
        <n v="316.29079999999999"/>
        <n v="1498.6576"/>
        <n v="2830.7429999999999"/>
        <n v="1336.1143999999999"/>
        <n v="3951.7793999999917"/>
        <n v="749.93799999999999"/>
        <n v="3285.8669999999997"/>
        <n v="2295.6057000000001"/>
        <n v="3895.3799999999997"/>
        <n v="1362.9119999999921"/>
        <n v="2606.4479999999903"/>
        <n v="3540.5664000000002"/>
        <n v="1831.3329999999999"/>
        <n v="1819.1956"/>
        <n v="2433.2855999999915"/>
        <n v="3665.81159999999"/>
        <n v="2260.81"/>
        <n v="3421.6127999999999"/>
        <n v="1721.1167999999998"/>
        <n v="2479.9872"/>
        <n v="3000.1"/>
        <n v="2651.1774999999998"/>
        <n v="3689.0027999999998"/>
        <n v="4303.2511999999997"/>
        <n v="1752.951999999992"/>
        <n v="752.47219999999993"/>
        <n v="443.11160000000001"/>
        <n v="3439.1133"/>
        <n v="4818.95"/>
        <n v="1356.614"/>
        <n v="912.14509999999996"/>
        <n v="332.13600000000002"/>
        <n v="3225.4971999999998"/>
        <n v="1451.1121999999998"/>
        <n v="1741.5888"/>
        <n v="2258.5300000000002"/>
        <n v="3286.7625000000003"/>
        <n v="3015.1278000000002"/>
        <n v="3209.04"/>
        <n v="1082.1379999999999"/>
        <n v="2165.1363999999999"/>
        <n v="3478.9209000000001"/>
        <n v="3806.6759999999999"/>
        <n v="1421.1795"/>
        <n v="379.88339999999999"/>
        <n v="597.3669000000001"/>
        <n v="1729.8840000000002"/>
        <n v="3948.0077999999994"/>
        <n v="259.58879999999925"/>
        <n v="2198.9151000000002"/>
        <n v="1764.5264"/>
        <n v="283.80780000000004"/>
        <n v="2253.8880000000004"/>
        <n v="1400.2989"/>
        <n v="1646.6736000000001"/>
        <n v="2666.2348000000002"/>
        <n v="2468.451"/>
        <n v="574.976"/>
        <n v="4371.3471999999992"/>
        <n v="3286.8012000000003"/>
        <n v="3069.7701999999999"/>
        <n v="659.17340000000002"/>
        <n v="561.11759999999924"/>
        <n v="468.55239999999998"/>
        <n v="1092.9503999999999"/>
        <n v="1806.0662"/>
        <n v="4029.12"/>
        <n v="2354.3239999999996"/>
        <n v="1385.0048000000002"/>
        <n v="2421.4740000000002"/>
        <n v="537.25060000000008"/>
        <n v="2709.0640000000003"/>
        <n v="2658.5189999999998"/>
        <n v="3789.1927999999916"/>
        <n v="3633.7139999999999"/>
        <n v="1216.8491999999906"/>
        <n v="2346.5099999999998"/>
        <n v="3640.0574999999999"/>
        <n v="4057.1342999999997"/>
        <n v="2559.1191999999915"/>
        <n v="4080.8776000000007"/>
        <n v="602.21500000000003"/>
        <n v="4148.21"/>
        <n v="425.13519999999909"/>
        <n v="2348.8490000000002"/>
        <n v="3841.8543"/>
        <n v="1211.6879999999999"/>
        <n v="2390.1905999999999"/>
        <n v="1620.8748000000001"/>
        <n v="3635.1360999999997"/>
        <n v="3623.2979999999998"/>
        <n v="2849.6485000000002"/>
        <n v="2637.4411999999998"/>
        <n v="3210.6158"/>
        <n v="1677.1463999999999"/>
        <n v="2284.1341999999995"/>
        <n v="3486.9425999999999"/>
        <n v="1986.9696000000001"/>
        <n v="433.55840000000001"/>
        <n v="871.32479999999998"/>
        <n v="623.48119999999926"/>
        <n v="4450.9211999999998"/>
        <n v="2187.4103999999998"/>
        <n v="2908.0160000000001"/>
        <n v="1942.51"/>
        <n v="1126.8936999999928"/>
        <n v="1614.1499999999999"/>
        <n v="3811.8209999999917"/>
        <n v="3062.9103999999998"/>
        <n v="4420.1783999999998"/>
        <n v="2927.9874"/>
        <n v="3066.0096000000003"/>
        <n v="2780.232"/>
        <n v="3846.8324999999995"/>
        <n v="4079.9193"/>
        <n v="282.62079999999924"/>
        <n v="3015.4805999999903"/>
        <n v="2627.0655999999999"/>
        <n v="4085.5007999999993"/>
        <n v="972.77760000000012"/>
        <n v="4008.8908000000001"/>
        <n v="3648.2550000000001"/>
        <n v="1370.1320000000001"/>
        <n v="4461.9551999999994"/>
        <n v="630.23559999999918"/>
        <n v="707.26480000000004"/>
        <n v="920.22400000000005"/>
        <n v="368.74939999999998"/>
        <n v="3823.82"/>
        <n v="698.93459999999993"/>
        <n v="1848.69"/>
        <n v="696.3451"/>
        <n v="1611.0688"/>
        <n v="564.40239999999994"/>
        <n v="3571.0594999999907"/>
        <n v="895.84770000000003"/>
        <n v="3166.3519999999994"/>
        <n v="3762.4405000000002"/>
        <n v="472.68080000000009"/>
        <n v="3692.4734000000003"/>
        <n v="232.19820000000001"/>
        <n v="1389.0420000000001"/>
        <n v="452.87779999999998"/>
        <n v="1465.2444"/>
        <n v="2955.5099999999902"/>
        <n v="3730.8209999999999"/>
        <n v="2043.6006"/>
        <n v="3149.0711999999999"/>
        <n v="915.38480000000004"/>
        <n v="3011.2368000000001"/>
        <n v="1519.3691999999999"/>
        <n v="923.85649999999157"/>
        <n v="1174.3504"/>
        <n v="1122.2719999999999"/>
        <n v="2221.2528000000002"/>
        <n v="4160.42"/>
        <n v="420.79680000000002"/>
        <n v="3412.2133999999915"/>
        <n v="2911.7561999999998"/>
        <n v="3522.6375000000003"/>
        <n v="1494.8987999999908"/>
        <n v="2546.6084000000001"/>
        <n v="3722.2429999999999"/>
        <n v="3047.8571999999999"/>
        <n v="1649.4349999999999"/>
        <n v="799.8291999999999"/>
        <n v="1387.4872"/>
        <n v="2980.7447999999999"/>
        <n v="3371.0248000000001"/>
        <n v="850.31100000000004"/>
        <n v="2632.0063"/>
        <n v="2363.8537999999926"/>
        <n v="2644.1474000000003"/>
        <n v="3761.6732999999999"/>
        <n v="4059.9741000000004"/>
        <n v="1520.0275999999999"/>
        <n v="3544.1383999999925"/>
        <n v="971.71690000000001"/>
        <n v="975.11040000000003"/>
        <n v="1186.0640000000001"/>
        <n v="586.74720000000002"/>
        <n v="1124.8577999999914"/>
        <n v="518.63199999999995"/>
        <n v="3509.6492000000007"/>
        <n v="910.14"/>
        <n v="3600.7820999999999"/>
        <n v="565.39840000000004"/>
        <n v="4168.1628000000001"/>
        <n v="3600.8824999999997"/>
        <n v="459.78629999999998"/>
        <n v="2774.9426999999996"/>
        <n v="2741.8247999999999"/>
        <n v="3826.8867"/>
        <n v="2454.0698000000002"/>
        <n v="2908.5723000000003"/>
        <n v="4017.8272999999999"/>
        <n v="1984.2084"/>
        <n v="305.4821"/>
        <n v="4225.1939000000002"/>
        <n v="1798.2432000000001"/>
        <n v="2375.0640000000003"/>
        <n v="240.64739999999998"/>
        <n v="2507.5412999999999"/>
        <n v="4563.8981999999996"/>
        <n v="1710.7792999999999"/>
        <n v="1960.5543"/>
        <n v="2750.482"/>
        <n v="3300.7460999999998"/>
        <n v="2448.2501999999999"/>
        <n v="1612.3164999999999"/>
        <n v="3908.9952000000003"/>
        <n v="3509.6873999999998"/>
        <n v="716.42879999999991"/>
        <n v="344.3775"/>
        <n v="2089.7500999999997"/>
        <n v="1018.087"/>
        <n v="1161.5840000000001"/>
        <n v="3636.6239999999998"/>
        <n v="719.34299999999996"/>
        <n v="3444.0824999999995"/>
        <n v="1419.5691999999999"/>
        <n v="3033.3788"/>
        <n v="2949.2028"/>
        <n v="293.16750000000002"/>
        <n v="1905.9131999999927"/>
        <n v="816.24220000000003"/>
        <n v="3122.4969999999998"/>
        <n v="4380.393"/>
        <n v="2011.1938"/>
        <n v="2130.6880000000001"/>
        <n v="1834.4892"/>
        <n v="2890.9921999999929"/>
        <n v="1513.9324000000001"/>
        <n v="1660.5216"/>
        <n v="2590.83"/>
        <n v="543.20400000000006"/>
        <n v="3184.6914000000002"/>
        <n v="422.04959999999994"/>
        <n v="3353.6636999999905"/>
        <n v="1040.6353999999999"/>
        <n v="1316.0140000000001"/>
        <n v="3560.6735999999996"/>
        <n v="5190.6986999999999"/>
        <n v="3086.5714000000003"/>
        <n v="1377.0614"/>
        <n v="1087.768"/>
        <n v="4566.3651"/>
        <n v="2415.9384"/>
        <n v="832.13920000000007"/>
        <n v="3802.0038000000004"/>
        <n v="3292.4892"/>
        <n v="4462.3952999999992"/>
        <n v="4585.2533999999996"/>
        <n v="3725.0297999999916"/>
        <n v="406.62900000000002"/>
        <n v="613.60500000000002"/>
        <n v="2990.6876999999999"/>
        <n v="2216.8160000000003"/>
        <n v="2364.1248000000001"/>
        <n v="1624.5165"/>
        <n v="1854.5065999999927"/>
        <n v="2455.6867999999999"/>
        <n v="216.4059"/>
        <n v="1113.2231999999999"/>
        <n v="2480.3982000000001"/>
        <n v="3529.5984000000003"/>
        <n v="903.84840000000008"/>
        <n v="2388.9362999999998"/>
        <n v="3173.3753999999999"/>
        <n v="2328.3987999999999"/>
        <n v="608.31899999999996"/>
        <n v="1887.2139999999999"/>
        <n v="1498.6694"/>
        <n v="4386.2632000000003"/>
        <n v="801.01279999999997"/>
        <n v="2672.9775"/>
        <n v="444.10479999999995"/>
        <n v="1951.5919999999999"/>
        <n v="3189.4589999999903"/>
        <n v="1308.9120000000003"/>
        <n v="2055.6974999999998"/>
        <n v="778.36879999999996"/>
        <n v="1352.3496"/>
        <n v="3126.8775999999998"/>
        <n v="1695.2208000000001"/>
        <n v="3708.7087999999926"/>
        <n v="3011.3624"/>
        <n v="1945.6944000000001"/>
        <n v="576.30460000000005"/>
        <n v="2641.3301999999999"/>
        <n v="3669.0929999999998"/>
        <n v="1512.7360000000001"/>
        <n v="3770.9710000000005"/>
        <n v="1365.9672"/>
        <n v="4225.4222"/>
        <n v="842.46"/>
        <n v="3377.8514"/>
        <n v="2030.3324999999927"/>
        <n v="1909.4908"/>
        <n v="1218.7578000000001"/>
        <n v="2006.9944999999914"/>
        <n v="3925.4684000000002"/>
        <n v="931.38619999999264"/>
        <n v="757.98939999999993"/>
        <n v="2603.5394000000001"/>
        <n v="2505.2796000000003"/>
        <n v="2040.4708000000001"/>
        <n v="3117.6347999999998"/>
        <n v="1654.0734"/>
        <n v="4337.2896000000001"/>
        <n v="1793.1383999999998"/>
        <n v="630.58129999999994"/>
        <n v="3869.0389999999998"/>
        <n v="2904.1038000000003"/>
        <n v="1492.7540000000001"/>
        <n v="3188.5268000000001"/>
        <n v="1088.9749999999999"/>
        <n v="2074.7927999999924"/>
        <n v="4245.3564000000006"/>
        <n v="850.1662"/>
        <n v="1746.8243000000002"/>
        <n v="3116.384599999993"/>
        <n v="3988.6000000000004"/>
        <n v="1786.1073999999999"/>
        <n v="2411.366"/>
        <n v="3005.5149999999999"/>
        <n v="3787.4789999999998"/>
        <n v="4002.2099999999996"/>
        <n v="988.91379999999992"/>
        <n v="2412.3263999999904"/>
        <n v="2309.5455000000002"/>
        <n v="3664.0384000000004"/>
        <n v="2430.5688"/>
        <n v="3221.8869999999997"/>
        <n v="5402.28"/>
        <n v="454.0539"/>
        <n v="1114.0049999999999"/>
        <n v="2111.4655999999995"/>
        <n v="1997.454"/>
        <n v="419.06879999999995"/>
        <n v="581.40050000000008"/>
        <n v="3443.4651999999996"/>
        <n v="4252.2299999999996"/>
        <n v="2836.4151999999999"/>
        <n v="2600.8465000000001"/>
        <n v="1054.6458"/>
        <n v="3398.0855999999917"/>
        <n v="3049.1423999999997"/>
        <n v="2285.418999999993"/>
        <n v="1279.0367999999999"/>
        <n v="760.3057"/>
        <n v="628.78920000000005"/>
        <n v="2365.0101999999997"/>
        <n v="3791.7819"/>
        <n v="3759.1595999999995"/>
        <n v="2382.38"/>
        <n v="3021.2423999999928"/>
        <n v="4528.6349999999993"/>
        <n v="1484.8844999999908"/>
        <n v="1883.8985999999998"/>
        <n v="4660.6298999999908"/>
        <n v="1690.046"/>
        <n v="4627.4879999999903"/>
        <n v="4596.6870000000008"/>
        <n v="2760.422"/>
        <n v="3623.7344000000003"/>
        <n v="3234.7457999999997"/>
        <n v="3845.6911"/>
        <n v="1672.1586"/>
        <n v="465.46960000000001"/>
        <n v="1710.0930000000001"/>
        <n v="3049.5079999999998"/>
        <n v="583.89689999999996"/>
        <n v="256.66800000000001"/>
        <n v="623.44389999999999"/>
        <n v="3483.48"/>
        <n v="4997.1621999999998"/>
        <n v="4300.5492000000004"/>
        <n v="2054.7347"/>
        <n v="4229.5680000000002"/>
        <n v="3043.0095999999999"/>
        <n v="2542.4486999999999"/>
        <n v="2773.3623999999913"/>
        <n v="899.26199999999994"/>
        <n v="3920.4281999999998"/>
        <n v="1903.0193000000002"/>
        <n v="1856.67"/>
        <n v="2856.1829999999923"/>
        <n v="1415.5835999999999"/>
        <n v="1102.9129999999998"/>
        <n v="2802.4880000000003"/>
        <n v="395.93399999999997"/>
        <n v="3963.4650000000001"/>
        <n v="2772.9360000000001"/>
        <n v="3102.5837999999999"/>
        <n v="2964.8380000000002"/>
        <n v="2128.7024999999999"/>
        <n v="3274.6725000000001"/>
        <n v="3073.9128000000001"/>
        <n v="3476.5877999999998"/>
        <n v="3261.9497999999999"/>
        <n v="4145.3719999999994"/>
        <n v="1111.2644"/>
        <n v="1996.4543999999999"/>
        <n v="4527.4592999999995"/>
        <n v="1903.9334000000001"/>
        <n v="634.75710000000004"/>
        <n v="2517.1695999999911"/>
        <n v="691.18959999999993"/>
        <n v="1034.1935999999912"/>
        <n v="4661.0519999999997"/>
        <n v="3050.6849999999999"/>
        <n v="1253.6568999999918"/>
        <n v="4130.0647000000008"/>
        <n v="4824.1786000000002"/>
        <n v="2362.9150999999911"/>
        <n v="1110.2476000000001"/>
        <n v="4136.0792000000001"/>
        <n v="3546.5364"/>
        <n v="2845.9040000000005"/>
        <n v="4413.8076000000001"/>
        <n v="2681.2096999999999"/>
        <n v="1624.7209"/>
        <n v="2987.4244999999923"/>
        <n v="1554.7859999999914"/>
        <n v="2879.7988"/>
        <n v="3033.4848000000002"/>
        <n v="640.48"/>
        <n v="2384.424"/>
        <n v="1664.3150000000001"/>
        <n v="1770.1419999999998"/>
        <n v="2520.4296000000004"/>
        <n v="1472.7816"/>
        <n v="3933.7768000000001"/>
        <n v="441.64890000000003"/>
        <n v="2877.2916"/>
        <n v="4131.0748000000003"/>
        <n v="2645.2579999999998"/>
        <n v="2153.0286000000001"/>
        <n v="4064.5920000000001"/>
        <n v="1854.2627999999997"/>
        <n v="163.01969999999997"/>
        <n v="2084.2879999999923"/>
        <n v="367.45280000000002"/>
        <n v="3606.5514999999996"/>
        <n v="1274.1135999999999"/>
        <n v="4217.9328000000005"/>
        <n v="3837.1017999999999"/>
        <n v="936.58840000000009"/>
        <n v="3243.4129000000003"/>
        <n v="666.64"/>
        <n v="2289.9762000000001"/>
        <n v="347.24700000000001"/>
        <n v="3415.4049999999997"/>
        <n v="4273.9704000000002"/>
        <n v="1227.6587999999999"/>
        <n v="1281.7529999999911"/>
        <n v="3503.4569999999999"/>
        <n v="1688.6529"/>
        <n v="4688.7551999999996"/>
        <n v="2452.4996999999998"/>
        <n v="1857.8783999999998"/>
        <n v="4018.4648999999999"/>
        <n v="2437.4251999999997"/>
        <n v="3792.3809000000001"/>
        <n v="4008.5016000000001"/>
        <n v="930.42250000000001"/>
        <n v="214.90359999999916"/>
        <n v="4012.9472000000005"/>
        <n v="4557.5600000000004"/>
        <n v="242.18639999999999"/>
        <n v="4166.0045"/>
        <n v="2222.2375999999999"/>
        <n v="1354.4146000000001"/>
        <n v="4176.9222"/>
        <n v="838.37520000000006"/>
        <n v="4187.2969999999996"/>
        <n v="880.02279999999996"/>
        <n v="2480.6096000000002"/>
        <n v="999.96400000000006"/>
        <n v="2142.727199999993"/>
        <n v="2593.4198999999926"/>
        <n v="831.12900000000002"/>
        <n v="2353.6406000000002"/>
        <n v="2383.5713000000001"/>
        <n v="598.23540000000003"/>
        <n v="3003.2999999999997"/>
        <n v="1521.9672"/>
        <n v="2299.6223999999997"/>
        <n v="2312.4748"/>
        <n v="2884.3709999999996"/>
        <n v="889.22879999999986"/>
        <n v="1956.1229999999998"/>
        <n v="2451.9499999999998"/>
        <n v="3383.8768"/>
        <n v="3000.8576000000003"/>
        <n v="2330.7976999999923"/>
        <n v="791.59559999999999"/>
        <n v="1464.71"/>
        <n v="799.37130000000002"/>
        <n v="573.08159999999998"/>
        <n v="1867.8150000000001"/>
        <n v="1233.3064999999999"/>
        <n v="1275.5765999999915"/>
        <n v="623.79679999999996"/>
        <n v="171.2799"/>
        <n v="973.95759999999996"/>
        <n v="1117.6209000000001"/>
        <n v="2263.3599999999901"/>
        <n v="2665.404"/>
        <n v="914.41600000000005"/>
        <n v="1931.2254"/>
        <n v="1866.0796"/>
        <n v="1050.1154000000001"/>
        <n v="468.26459999999997"/>
        <n v="2067.48"/>
        <n v="3782.0970000000002"/>
        <n v="1469.5559999999912"/>
        <n v="811.42160000000013"/>
        <n v="3425.1755999999928"/>
        <n v="1323.5264999999999"/>
        <n v="1367.3992000000001"/>
        <n v="4080.8306999999995"/>
        <n v="3203.5499999999997"/>
        <n v="2294.3894999999998"/>
        <n v="2440.2934999999998"/>
        <n v="1522.8383999999999"/>
        <n v="607.98599999999999"/>
        <n v="2753.6829999999995"/>
        <n v="713.9319999999999"/>
        <n v="2217.7679999999914"/>
        <n v="3465.3610999999996"/>
        <n v="5200.5392999999995"/>
        <n v="1360.134"/>
        <n v="2807.4012000000002"/>
        <n v="2182.4628000000002"/>
        <n v="4036.7539999999995"/>
        <n v="1165.1484"/>
        <n v="214.698399999999"/>
        <n v="847.58240000000001"/>
        <n v="1857.607"/>
        <n v="1581.36"/>
        <n v="3119.2316000000001"/>
        <n v="3097.5210000000002"/>
        <n v="1538.7055"/>
        <n v="2309.8580999999999"/>
        <n v="658.8"/>
        <n v="3931.0881999999924"/>
        <n v="4520.2044999999998"/>
        <n v="4760.5118999999995"/>
        <n v="4583.6801999999998"/>
        <n v="947.35680000000002"/>
        <n v="321.5788"/>
        <n v="2375.0076000000004"/>
        <n v="4760.4287999999997"/>
        <n v="1021.3356999999999"/>
        <n v="413.74399999999997"/>
        <n v="3156.3083000000001"/>
        <n v="557.82659999999998"/>
        <n v="1975.7612999999999"/>
        <n v="2646.1071999999999"/>
        <n v="1245.8291999999999"/>
        <n v="682.84439999999995"/>
        <n v="2999.1824999999999"/>
        <n v="2478.1125000000002"/>
        <n v="3863.9264999999996"/>
        <n v="1466.5559999999923"/>
        <n v="411.97379999999998"/>
        <n v="3705.9560999999999"/>
        <n v="2516.9447999999998"/>
      </sharedItems>
    </cacheField>
    <cacheField name="Effective_Unit_Margin" numFmtId="0">
      <sharedItems containsSemiMixedTypes="0" containsString="0" containsNumber="1" minValue="-1386.4157000000005" maxValue="483.5893999999999" count="1000">
        <n v="90.420200000000023"/>
        <n v="-69.988400000000183"/>
        <n v="35.56"/>
        <n v="48.364999999999782"/>
        <n v="-7.6799999999934698E-2"/>
        <n v="-26.647099999999909"/>
        <n v="-152.09259999999995"/>
        <n v="-213.61799999999994"/>
        <n v="302.61749999999051"/>
        <n v="105.28580000000011"/>
        <n v="-501.55800000000022"/>
        <n v="-54.365199999999959"/>
        <n v="19.080000000000041"/>
        <n v="-773.75999999999976"/>
        <n v="-499.78399999999988"/>
        <n v="278.68299999999999"/>
        <n v="218.58399999999892"/>
        <n v="-374.01499999999942"/>
        <n v="-674.50720000000001"/>
        <n v="51.432999999999538"/>
        <n v="-758.08159999999953"/>
        <n v="-299.47040000000015"/>
        <n v="235.4105999999997"/>
        <n v="-399.22959999999989"/>
        <n v="-360.38799999999992"/>
        <n v="-499.90999999999985"/>
        <n v="-3.2696000000000822"/>
        <n v="218.5314999999996"/>
        <n v="-576.53520000000799"/>
        <n v="-537.1574999999998"/>
        <n v="176.72519999999986"/>
        <n v="355.58960000000025"/>
        <n v="162.65719999999988"/>
        <n v="-470.35500000000002"/>
        <n v="-614.82159999999976"/>
        <n v="-25.383199999999988"/>
        <n v="280.47959999999989"/>
        <n v="-1285.7434000000003"/>
        <n v="394.21000000000004"/>
        <n v="-128.42149999999992"/>
        <n v="-974.5600000000004"/>
        <n v="-346.98199999999997"/>
        <n v="-173.57459999999992"/>
        <n v="-30.911600000000362"/>
        <n v="196.19359999999983"/>
        <n v="-528.31539999999995"/>
        <n v="-432.93200000000024"/>
        <n v="-713.11610000000019"/>
        <n v="-69.099900000000616"/>
        <n v="-204.07659999999987"/>
        <n v="104.25"/>
        <n v="222.5899999999906"/>
        <n v="-920.56400000000031"/>
        <n v="111.46679999999969"/>
        <n v="-621.44199999999955"/>
        <n v="216.65499999999975"/>
        <n v="-220.21160000000737"/>
        <n v="-533.07839999999987"/>
        <n v="-82.029000000000451"/>
        <n v="-33.894800000000032"/>
        <n v="-838.57600000000002"/>
        <n v="-160.83440000000064"/>
        <n v="183.33119999999963"/>
        <n v="-678.74719999999979"/>
        <n v="186.4380000000001"/>
        <n v="-704.86279999999988"/>
        <n v="-202.30499999999984"/>
        <n v="87.903099999999995"/>
        <n v="-507.48039999999992"/>
        <n v="-46.370400000008203"/>
        <n v="11.095800000000054"/>
        <n v="-590.9976999999999"/>
        <n v="-30.604299999999967"/>
        <n v="51.111999999999625"/>
        <n v="120.06899999999951"/>
        <n v="-303.23720000000003"/>
        <n v="40.864399999999932"/>
        <n v="-771.42709999999988"/>
        <n v="-472.00250000000005"/>
        <n v="-119.20749999999998"/>
        <n v="-196.38790000000017"/>
        <n v="-331.72249999999985"/>
        <n v="-112.1211000000003"/>
        <n v="-312.67859999999973"/>
        <n v="-99.482800000000225"/>
        <n v="-168.53450000000009"/>
        <n v="410.52"/>
        <n v="367.08500000000004"/>
        <n v="-629.94220000000723"/>
        <n v="209.59559999999965"/>
        <n v="162.32850000000008"/>
        <n v="-73.295200000000023"/>
        <n v="-40.253400000000056"/>
        <n v="-140.12260000000015"/>
        <n v="-559.21399999999994"/>
        <n v="357.85079999999994"/>
        <n v="207.17359999999962"/>
        <n v="-54.893700000000081"/>
        <n v="43.275700000000143"/>
        <n v="-122.17540000000008"/>
        <n v="364.55849999999987"/>
        <n v="-368.9680000000003"/>
        <n v="-191.32050000000004"/>
        <n v="273.51460000000009"/>
        <n v="-231.47499999999991"/>
        <n v="-355.16100000000006"/>
        <n v="-216.42099999999982"/>
        <n v="9.4103999999999814"/>
        <n v="164.88579999999956"/>
        <n v="184.18249999999989"/>
        <n v="366.45129999999995"/>
        <n v="-261.45300000000861"/>
        <n v="-264.27429999999958"/>
        <n v="-168.07449999999994"/>
        <n v="-766.75980000000027"/>
        <n v="296.25389999999993"/>
        <n v="-92.757599999999911"/>
        <n v="291.10879999999997"/>
        <n v="283.02780000000001"/>
        <n v="-137.60280000000012"/>
        <n v="-25.638400000000274"/>
        <n v="-197.99199999999973"/>
        <n v="450.50279999999992"/>
        <n v="-146.75780000000009"/>
        <n v="-197.54800000000023"/>
        <n v="132.7628000000002"/>
        <n v="-75.247800000000097"/>
        <n v="24.991999999999962"/>
        <n v="-470.35170000000016"/>
        <n v="35.569999999999709"/>
        <n v="-59.975600000000213"/>
        <n v="-226.03809999999976"/>
        <n v="-950.25999999999976"/>
        <n v="-44.552499999999895"/>
        <n v="-316.08480000000054"/>
        <n v="-427.75620000000026"/>
        <n v="424.3599999999999"/>
        <n v="296.23969999999008"/>
        <n v="-408.58170000000723"/>
        <n v="-751.31489999999985"/>
        <n v="-160.41579999999976"/>
        <n v="-813.96120000000019"/>
        <n v="-1386.4157000000005"/>
        <n v="-639.65920000000006"/>
        <n v="-639.16499999999996"/>
        <n v="-288.56240000000003"/>
        <n v="336.77199999999993"/>
        <n v="259.54500000000007"/>
        <n v="-26.916200000000117"/>
        <n v="-251.57870000000003"/>
        <n v="261.68619999999999"/>
        <n v="226.98999999999995"/>
        <n v="-273.56999999999994"/>
        <n v="-20.635899999999765"/>
        <n v="80.088200000000143"/>
        <n v="-619.154"/>
        <n v="-479.86609999999996"/>
        <n v="-264.44000000000005"/>
        <n v="-293.697"/>
        <n v="165.59499999999991"/>
        <n v="-476.2497999999996"/>
        <n v="237.76879999999983"/>
        <n v="-28.828599999999994"/>
        <n v="-287.56640000000016"/>
        <n v="101.60979999999995"/>
        <n v="-409.28000000000748"/>
        <n v="-369.28499999999985"/>
        <n v="-556.50749999999971"/>
        <n v="8.5394999999998618"/>
        <n v="-48.594000000008919"/>
        <n v="-182.32999999999993"/>
        <n v="452.56190000000015"/>
        <n v="-460.35830000000033"/>
        <n v="-345.94560000000774"/>
        <n v="-797.36439999999993"/>
        <n v="173.35559999999987"/>
        <n v="-184.00760000000014"/>
        <n v="482.81999999999994"/>
        <n v="134.93920000000003"/>
        <n v="165.27519999999981"/>
        <n v="9.0915999999999713"/>
        <n v="228.03080000000023"/>
        <n v="48.135900000000106"/>
        <n v="-132.50680000000011"/>
        <n v="-854.19640000000027"/>
        <n v="-1114.2431999999999"/>
        <n v="-696.96050000000037"/>
        <n v="-728.51459999999997"/>
        <n v="-1072.0520000000001"/>
        <n v="-198.26419999999985"/>
        <n v="25.388499999992291"/>
        <n v="107.39450000000033"/>
        <n v="169.8108000000002"/>
        <n v="166.08599999999069"/>
        <n v="-109.30600000000811"/>
        <n v="239.54650000000004"/>
        <n v="-1013.1792000000005"/>
        <n v="-776.46050000000014"/>
        <n v="162.51"/>
        <n v="82.101499999999874"/>
        <n v="-505.64319999999998"/>
        <n v="-129.99319999999989"/>
        <n v="-23.973200000007409"/>
        <n v="-251.02639999999974"/>
        <n v="166.65800000000002"/>
        <n v="207.93600000000015"/>
        <n v="-706.30040000000008"/>
        <n v="-122.59950000000026"/>
        <n v="-224.98100000000886"/>
        <n v="-196.13160000000016"/>
        <n v="-325.6585"/>
        <n v="146.70949999999993"/>
        <n v="-85.889300000000048"/>
        <n v="94.428499999999985"/>
        <n v="129.65599999999995"/>
        <n v="-377.63560000000007"/>
        <n v="-658.3894000000073"/>
        <n v="-537.63679999999977"/>
        <n v="-340.69800000000032"/>
        <n v="-694.21720000000005"/>
        <n v="-304.95799999999986"/>
        <n v="-52.860300000000279"/>
        <n v="-648.01000000000022"/>
        <n v="51.195999999999913"/>
        <n v="-73.941799999999944"/>
        <n v="-3.8223999999995613"/>
        <n v="-984.33500000000004"/>
        <n v="-56.251900000000035"/>
        <n v="-30.613199999999779"/>
        <n v="-64.960799999999836"/>
        <n v="-270.00750000000016"/>
        <n v="324.00600000000003"/>
        <n v="-78.669800000000009"/>
        <n v="-410.07500000000027"/>
        <n v="129.42869999999994"/>
        <n v="91.091999999990549"/>
        <n v="-431.25"/>
        <n v="-17.057500000000005"/>
        <n v="136.84159999999997"/>
        <n v="-917.55920000000015"/>
        <n v="-103.94429999999988"/>
        <n v="-16.733200000008537"/>
        <n v="-489.06439999999975"/>
        <n v="114.73990000000001"/>
        <n v="188.70059999999989"/>
        <n v="129.37699999999995"/>
        <n v="-366.52639999999997"/>
        <n v="-45.291000000000736"/>
        <n v="125.64429999999993"/>
        <n v="-537.44570000000022"/>
        <n v="-40.7650000000001"/>
        <n v="-810.36720000000014"/>
        <n v="-64.424399999999878"/>
        <n v="163.77600000000029"/>
        <n v="-715.78600000000006"/>
        <n v="-262.03200000000015"/>
        <n v="-118.86750000000029"/>
        <n v="-92.811800000000062"/>
        <n v="112.38499999999999"/>
        <n v="250.36579999999958"/>
        <n v="4.7570000000000618"/>
        <n v="181.69299999999998"/>
        <n v="90.983600000000024"/>
        <n v="-102.35199999999986"/>
        <n v="-156.31600000000799"/>
        <n v="-202.09750000000008"/>
        <n v="-80.978000000008251"/>
        <n v="326.14"/>
        <n v="368.30989999999991"/>
        <n v="-865.49210000000039"/>
        <n v="248.20609999999999"/>
        <n v="-274.01980000000776"/>
        <n v="-95.640600000008817"/>
        <n v="-106.78200000000015"/>
        <n v="257.8155999999999"/>
        <n v="-87.23960000000011"/>
        <n v="-217.8119999999999"/>
        <n v="-415.94649999999979"/>
        <n v="-741.80420000000731"/>
        <n v="-111.83919999999989"/>
        <n v="-375.02479999999991"/>
        <n v="-730.19400000000041"/>
        <n v="-49.956400000000031"/>
        <n v="18.612999999999829"/>
        <n v="-327.0958999999998"/>
        <n v="207.9511"/>
        <n v="-1191.0574999999999"/>
        <n v="-149.41939999999977"/>
        <n v="-406.14240000000018"/>
        <n v="-391.77760000000012"/>
        <n v="127.14300000000003"/>
        <n v="-236.29180000000019"/>
        <n v="-751.58600000000024"/>
        <n v="-409.91660000000002"/>
        <n v="-908.33919999999989"/>
        <n v="68.535099999999829"/>
        <n v="343.85680000000002"/>
        <n v="-170.29340000000025"/>
        <n v="-188.29120000000012"/>
        <n v="176.09000000000015"/>
        <n v="-255.96680000000015"/>
        <n v="-202.39560000000847"/>
        <n v="-373.44119999999998"/>
        <n v="-670.49249999999984"/>
        <n v="-909.14249999999993"/>
        <n v="-178.77380000000005"/>
        <n v="-481.05299999999988"/>
        <n v="-1138.3348000000069"/>
        <n v="-540.3205999999991"/>
        <n v="80.680000000000291"/>
        <n v="-581.66219999999998"/>
        <n v="-344.45749999999998"/>
        <n v="-303.21419999999989"/>
        <n v="411.13299999999981"/>
        <n v="-449.91550000000007"/>
        <n v="197.89059999999995"/>
        <n v="-272.60919999999999"/>
        <n v="-134.61490000000003"/>
        <n v="199.20640000000003"/>
        <n v="-17.4680000000007"/>
        <n v="-1.7197999999998501"/>
        <n v="19.948200000000043"/>
        <n v="288.0920000000001"/>
        <n v="-204.65999999999985"/>
        <n v="176.67239999999128"/>
        <n v="337.18240000000009"/>
        <n v="-136.06999999999994"/>
        <n v="255.0172"/>
        <n v="-162.57690000000002"/>
        <n v="101.69929999999999"/>
        <n v="-232.72800000000007"/>
        <n v="-1147.6306999999997"/>
        <n v="-809.80000000000018"/>
        <n v="-466.33559999999989"/>
        <n v="-974.47800000000007"/>
        <n v="237.42349999999033"/>
        <n v="58.205200000000005"/>
        <n v="13.651699999999664"/>
        <n v="-952.89369999999963"/>
        <n v="-339.90550000000007"/>
        <n v="483.5893999999999"/>
        <n v="-80.011799999999766"/>
        <n v="-177.45460000000048"/>
        <n v="98.802800000000047"/>
        <n v="-468.9668999999999"/>
        <n v="-17.485599999999977"/>
        <n v="-364.91850000000022"/>
        <n v="99.735799999999927"/>
        <n v="-297.82849999999985"/>
        <n v="293.87790000000041"/>
        <n v="-580.78520000000003"/>
        <n v="-269.02310000000034"/>
        <n v="-294.22880000000009"/>
        <n v="-105.20680000000016"/>
        <n v="-85.921800000009171"/>
        <n v="339.60300000000007"/>
        <n v="-28.874000000000024"/>
        <n v="265.125"/>
        <n v="-684.69"/>
        <n v="-678.60179999999991"/>
        <n v="-1231.1174999999994"/>
        <n v="129.47229999999126"/>
        <n v="288.39319999999998"/>
        <n v="-416.22600000000011"/>
        <n v="185.78489999999056"/>
        <n v="-149.29880000000003"/>
        <n v="-975.02499999999964"/>
        <n v="79.817600000000084"/>
        <n v="-1011.9546000000068"/>
        <n v="13.565000000000509"/>
        <n v="-273.04999999999973"/>
        <n v="-335.24270000000001"/>
        <n v="33.683999999999997"/>
        <n v="86.097999999999956"/>
        <n v="-421.57360000000017"/>
        <n v="333.98"/>
        <n v="34.368800000000192"/>
        <n v="-4.8907999999996719"/>
        <n v="-631.19800000000032"/>
        <n v="89.616500000000087"/>
        <n v="101.17579999999987"/>
        <n v="-777.52149999999983"/>
        <n v="-57.897399999999834"/>
        <n v="-229.21450000000027"/>
        <n v="-181.01959999999963"/>
        <n v="-26.605500000000575"/>
        <n v="-59.077999999999975"/>
        <n v="-371.83079999999995"/>
        <n v="-491.46140000000014"/>
        <n v="-198.92559999999992"/>
        <n v="-23.019600000000082"/>
        <n v="-831.8082000000004"/>
        <n v="-838.72260000000006"/>
        <n v="301.606799999999"/>
        <n v="-102.1418000000001"/>
        <n v="-50.6724999999999"/>
        <n v="-506.13850000000002"/>
        <n v="339.80799999999999"/>
        <n v="22.35979999999995"/>
        <n v="-132.94980000000032"/>
        <n v="397.61259999999947"/>
        <n v="172.43749999999994"/>
        <n v="-253.11429999999996"/>
        <n v="-199.98039999999969"/>
        <n v="294.35099999999125"/>
        <n v="247.00999999999976"/>
        <n v="-309.21000000000004"/>
        <n v="396.57999999999993"/>
        <n v="222.22889999999961"/>
        <n v="127.36699999999109"/>
        <n v="-123.16539999999986"/>
        <n v="6.4844000000000506"/>
        <n v="-120.35380000000032"/>
        <n v="10.709199999999782"/>
        <n v="107.23599999999908"/>
        <n v="-53.352900000007821"/>
        <n v="215.96639999999979"/>
        <n v="-864.63769999999977"/>
        <n v="360.82220000000007"/>
        <n v="-13.083999999999833"/>
        <n v="104.77749999999969"/>
        <n v="294.32639999999947"/>
        <n v="54.557900000000018"/>
        <n v="-1312.3075999999996"/>
        <n v="7.8392000000003463"/>
        <n v="38.26069999999163"/>
        <n v="-676.00789999999961"/>
        <n v="139.62539999999998"/>
        <n v="-219.68160000000012"/>
        <n v="39.698499999999513"/>
        <n v="-117.24920000000003"/>
        <n v="51.207599999999957"/>
        <n v="-116.47699999999986"/>
        <n v="16.874399999999923"/>
        <n v="-721.41060000000789"/>
        <n v="51.197999999999979"/>
        <n v="-711.23300000000017"/>
        <n v="-268.74429999999984"/>
        <n v="131.23999999999978"/>
        <n v="-225.12800000000789"/>
        <n v="9.7279999999905158"/>
        <n v="-750.76359999999977"/>
        <n v="-529.71700000000033"/>
        <n v="-11.414399999999887"/>
        <n v="-270.68440000000828"/>
        <n v="64.861599999990176"/>
        <n v="15.170000000000073"/>
        <n v="-1275.8271999999997"/>
        <n v="211.13679999999977"/>
        <n v="76.447200000000066"/>
        <n v="-796.69"/>
        <n v="-809.97250000000031"/>
        <n v="-636.01720000000068"/>
        <n v="-680.95880000000034"/>
        <n v="-409.99800000000778"/>
        <n v="152.27219999999988"/>
        <n v="242.55160000000001"/>
        <n v="-208.92669999999998"/>
        <n v="442.57999999999993"/>
        <n v="214.08400000000006"/>
        <n v="77.825099999999907"/>
        <n v="-25.783999999999992"/>
        <n v="-896.88280000000032"/>
        <n v="-140.22780000000012"/>
        <n v="-296.8112000000001"/>
        <n v="-280.07999999999993"/>
        <n v="-918.52749999999969"/>
        <n v="-256.49219999999968"/>
        <n v="114.4699999999998"/>
        <n v="162.55799999999988"/>
        <n v="-425.1536000000001"/>
        <n v="-112.2190999999998"/>
        <n v="-1060.9640000000004"/>
        <n v="374.21949999999993"/>
        <n v="282.64339999999999"/>
        <n v="174.62690000000009"/>
        <n v="-180.58599999999979"/>
        <n v="-163.69220000000041"/>
        <n v="174.23879999999926"/>
        <n v="-111.9049"/>
        <n v="84.836399999999912"/>
        <n v="-25.97219999999993"/>
        <n v="-24.781999999999698"/>
        <n v="89.288900000000012"/>
        <n v="-145.15639999999985"/>
        <n v="-876.5652"/>
        <n v="-163.22899999999981"/>
        <n v="-92.024000000000001"/>
        <n v="-437.65280000000075"/>
        <n v="89.041200000000117"/>
        <n v="-771.27980000000025"/>
        <n v="217.0634"/>
        <n v="278.17759999999925"/>
        <n v="322.28239999999994"/>
        <n v="108.42039999999997"/>
        <n v="-295.25380000000018"/>
        <n v="-653.22000000000025"/>
        <n v="41.873999999999796"/>
        <n v="-101.75519999999983"/>
        <n v="-410.10599999999977"/>
        <n v="-66.829399999999964"/>
        <n v="-357.98599999999988"/>
        <n v="-205.221"/>
        <n v="-181.17720000000827"/>
        <n v="-1300.3860000000004"/>
        <n v="-74.970800000009376"/>
        <n v="-226.29000000000042"/>
        <n v="-908.82250000000022"/>
        <n v="120.44429999999966"/>
        <n v="96.459199999991597"/>
        <n v="-648.71239999999943"/>
        <n v="268.89500000000004"/>
        <n v="-510.22999999999956"/>
        <n v="125.1251999999991"/>
        <n v="-410.31099999999969"/>
        <n v="-615.82570000000032"/>
        <n v="-138.78200000000015"/>
        <n v="2.5605999999997948"/>
        <n v="-34.555200000000013"/>
        <n v="-1127.9739"/>
        <n v="-503.75200000000041"/>
        <n v="-709.91149999999971"/>
        <n v="-321.30880000000025"/>
        <n v="-901.31420000000026"/>
        <n v="-314.57360000000017"/>
        <n v="18.7541999999994"/>
        <n v="-176.56740000000036"/>
        <n v="166.07960000000003"/>
        <n v="67.248400000000004"/>
        <n v="453.3648"/>
        <n v="2.4311999999993077"/>
        <n v="96.001199999999699"/>
        <n v="-200.10960000000023"/>
        <n v="-670.75399999999991"/>
        <n v="-52.3900000000001"/>
        <n v="-203.72630000000709"/>
        <n v="-154.45000000000005"/>
        <n v="-169.37900000000809"/>
        <n v="-81.90960000000041"/>
        <n v="-271.14159999999993"/>
        <n v="-486.55259999999998"/>
        <n v="193.60960000000023"/>
        <n v="-290.23799999999983"/>
        <n v="-867.90750000000025"/>
        <n v="128.32929999999988"/>
        <n v="113.62079999999924"/>
        <n v="321.49059999999054"/>
        <n v="-830.2144000000003"/>
        <n v="329.4407999999994"/>
        <n v="-132.27239999999983"/>
        <n v="-333.63919999999962"/>
        <n v="-1133.165"/>
        <n v="148.39200000000005"/>
        <n v="43.005199999999604"/>
        <n v="100.19559999999922"/>
        <n v="381.51480000000004"/>
        <n v="230.56400000000008"/>
        <n v="32.929399999999987"/>
        <n v="-408.99000000000024"/>
        <n v="356.63459999999992"/>
        <n v="453.95000000000005"/>
        <n v="132.75509999999997"/>
        <n v="98.728800000000092"/>
        <n v="66.132399999999961"/>
        <n v="214.43949999999086"/>
        <n v="185.8777"/>
        <n v="-1100.2880000000009"/>
        <n v="-332.65949999999975"/>
        <n v="355.05080000000009"/>
        <n v="-791.37660000000005"/>
        <n v="38.928200000000004"/>
        <n v="152.79200000000014"/>
        <n v="242.54779999999997"/>
        <n v="-247.18560000000002"/>
        <n v="361.86999999999034"/>
        <n v="-262.56899999999996"/>
        <n v="320.59059999999999"/>
        <n v="-393.10879999999997"/>
        <n v="-62.765199999999936"/>
        <n v="-754.22319999999991"/>
        <n v="301.1891999999998"/>
        <n v="163.30649999999162"/>
        <n v="206.58040000000005"/>
        <n v="171.0619999999999"/>
        <n v="-367.41719999999987"/>
        <n v="-71.329999999999927"/>
        <n v="-23.253199999999993"/>
        <n v="-137.21660000000838"/>
        <n v="-377.25380000000041"/>
        <n v="-846.33249999999998"/>
        <n v="236.36879999999087"/>
        <n v="268.56840000000011"/>
        <n v="-910.60700000000043"/>
        <n v="-269.11279999999988"/>
        <n v="-324.96500000000015"/>
        <n v="99.339199999999892"/>
        <n v="38.187200000000075"/>
        <n v="53.724799999999959"/>
        <n v="-233.9051999999997"/>
        <n v="184.42100000000005"/>
        <n v="-386.00370000000021"/>
        <n v="-410.38620000000719"/>
        <n v="50.067400000000362"/>
        <n v="295.5632999999998"/>
        <n v="-135.40589999999975"/>
        <n v="-128.77240000000006"/>
        <n v="-906.47160000000713"/>
        <n v="126.57690000000002"/>
        <n v="68.6404"/>
        <n v="-184.4559999999999"/>
        <n v="-54.932799999999929"/>
        <n v="-65.22220000000857"/>
        <n v="-58.108000000000061"/>
        <n v="-608.02079999999933"/>
        <n v="172.24"/>
        <n v="-148.33789999999999"/>
        <n v="278.22840000000002"/>
        <n v="-577.01720000000023"/>
        <n v="30.642499999999927"/>
        <n v="376.1463"/>
        <n v="-1056.1473000000005"/>
        <n v="147.11479999999983"/>
        <n v="-80.973300000000108"/>
        <n v="-182.29019999999991"/>
        <n v="-314.4976999999999"/>
        <n v="75.487299999999777"/>
        <n v="-71.071600000000217"/>
        <n v="242.07210000000001"/>
        <n v="-32.046099999999569"/>
        <n v="-137.16679999999997"/>
        <n v="-130.34599999999955"/>
        <n v="152.20739999999998"/>
        <n v="21.681299999999737"/>
        <n v="-369.21180000000004"/>
        <n v="283.35929999999985"/>
        <n v="-46.765699999999924"/>
        <n v="-701.10800000000017"/>
        <n v="-782.48390000000018"/>
        <n v="332.1601999999998"/>
        <n v="29.456500000000005"/>
        <n v="-783.24479999999949"/>
        <n v="107.81739999999991"/>
        <n v="77.268799999999942"/>
        <n v="-46.8125"/>
        <n v="-353.81990000000042"/>
        <n v="-121.36300000000006"/>
        <n v="-145.63599999999997"/>
        <n v="-757.95600000000013"/>
        <n v="225.99299999999994"/>
        <n v="-146.96750000000065"/>
        <n v="27.419199999999819"/>
        <n v="-780.24119999999994"/>
        <n v="-676.73720000000003"/>
        <n v="206.57750000000001"/>
        <n v="-664.30680000000712"/>
        <n v="76.61220000000003"/>
        <n v="-1215.3229999999999"/>
        <n v="16.042999999999665"/>
        <n v="-109.61619999999994"/>
        <n v="-119.07200000000012"/>
        <n v="283.23919999999998"/>
        <n v="-706.20780000000696"/>
        <n v="-311.43759999999975"/>
        <n v="284.9516000000001"/>
        <n v="401.28999999999996"/>
        <n v="40.344000000000051"/>
        <n v="-560.9985999999999"/>
        <n v="309.69959999999992"/>
        <n v="113.46369999999069"/>
        <n v="85.455399999999941"/>
        <n v="115.61400000000003"/>
        <n v="364.29359999999951"/>
        <n v="225.62870000000021"/>
        <n v="-813.12859999999955"/>
        <n v="209.15139999999997"/>
        <n v="166.44799999999998"/>
        <n v="228.51509999999962"/>
        <n v="167.22839999999997"/>
        <n v="103.72920000000011"/>
        <n v="-515.94619999999941"/>
        <n v="-797.17079999999987"/>
        <n v="-457.94470000000092"/>
        <n v="32.023400000000038"/>
        <n v="-541.33020000000806"/>
        <n v="96.38900000000001"/>
        <n v="46.745000000000005"/>
        <n v="124.21770000000015"/>
        <n v="-464.00399999999991"/>
        <n v="47.204799999999977"/>
        <n v="-389.59349999999995"/>
        <n v="-329.98340000000712"/>
        <n v="-412.33320000000003"/>
        <n v="156.1259"/>
        <n v="-227.28680000000008"/>
        <n v="-135.08179999999993"/>
        <n v="-95.371599999999489"/>
        <n v="-8.2315999999999576"/>
        <n v="-368.1237000000001"/>
        <n v="-413.20460000000003"/>
        <n v="77.488800000000083"/>
        <n v="424.26899999999995"/>
        <n v="-386.66600000000017"/>
        <n v="-18.730600000000095"/>
        <n v="-265.50680000000011"/>
        <n v="134.17279999999994"/>
        <n v="-606.78250000000025"/>
        <n v="133.14479999999998"/>
        <n v="-306.94800000000009"/>
        <n v="397.25899999999046"/>
        <n v="-215.96799999999985"/>
        <n v="-246.92250000000013"/>
        <n v="-81.221200000000067"/>
        <n v="-203.06040000000007"/>
        <n v="2.3975999999997839"/>
        <n v="151.31079999999997"/>
        <n v="-795.02120000000696"/>
        <n v="-149.24760000000015"/>
        <n v="-275.61559999999986"/>
        <n v="334.45460000000003"/>
        <n v="118.57019999999966"/>
        <n v="-166.54700000000003"/>
        <n v="148.22600000000011"/>
        <n v="-272.55899999999974"/>
        <n v="69.527199999999993"/>
        <n v="97.882200000000012"/>
        <n v="370.38000000000005"/>
        <n v="-959.75859999999966"/>
        <n v="-490.63750000000709"/>
        <n v="391.63080000000014"/>
        <n v="-143.55219999999986"/>
        <n v="-181.45550000000844"/>
        <n v="-1069.8316"/>
        <n v="-209.23380000000725"/>
        <n v="197.06939999999997"/>
        <n v="-342.38059999999996"/>
        <n v="36.989600000000337"/>
        <n v="-604.29919999999993"/>
        <n v="-233.69520000000011"/>
        <n v="281.71340000000009"/>
        <n v="-220.5003999999999"/>
        <n v="-413.44160000000011"/>
        <n v="-58.398700000000076"/>
        <n v="144.65899999999965"/>
        <n v="-329.26619999999957"/>
        <n v="-120.17599999999993"/>
        <n v="62.006800000000112"/>
        <n v="-49.345000000000027"/>
        <n v="-177.15720000000738"/>
        <n v="-256.73359999999957"/>
        <n v="139.17619999999999"/>
        <n v="-217.32569999999987"/>
        <n v="-998.27540000000681"/>
        <n v="-860.3799999999992"/>
        <n v="-510.82259999999997"/>
        <n v="-148.28400000000011"/>
        <n v="123.26499999999987"/>
        <n v="-877.64100000000008"/>
        <n v="-295.91000000000031"/>
        <n v="94.433799999999906"/>
        <n v="200.37639999999055"/>
        <n v="-37.254500000000007"/>
        <n v="-291.99159999999983"/>
        <n v="-603.75120000000015"/>
        <n v="-66.503000000000156"/>
        <n v="411.1899999999996"/>
        <n v="33.003899999999987"/>
        <n v="-39.895000000000209"/>
        <n v="42.385599999999613"/>
        <n v="225.93399999999997"/>
        <n v="261.91879999999992"/>
        <n v="77.100500000000068"/>
        <n v="22.745199999999841"/>
        <n v="-150.43000000000029"/>
        <n v="240.99519999999984"/>
        <n v="-118.15349999999989"/>
        <n v="-258.06420000000003"/>
        <n v="-452.90440000000808"/>
        <n v="-722.23760000000038"/>
        <n v="-676.99100000000681"/>
        <n v="176.3467999999998"/>
        <n v="230.06569999999999"/>
        <n v="260.80920000000003"/>
        <n v="-618.8398000000002"/>
        <n v="-342.13810000000012"/>
        <n v="-539.58040000000028"/>
        <n v="37.450000000000273"/>
        <n v="-910.89760000000706"/>
        <n v="-208.42500000000109"/>
        <n v="72.794499999990876"/>
        <n v="-136.00140000000033"/>
        <n v="-0.19010000000889704"/>
        <n v="-34.19399999999996"/>
        <n v="53.797999999990679"/>
        <n v="-309.48299999999927"/>
        <n v="-565.53800000000001"/>
        <n v="-469.87559999999985"/>
        <n v="-525.50420000000031"/>
        <n v="333.00109999999995"/>
        <n v="102.84860000000003"/>
        <n v="132.84960000000001"/>
        <n v="-38.016999999999825"/>
        <n v="-301.82200000000012"/>
        <n v="26.376899999999978"/>
        <n v="147.678"/>
        <n v="-118.03610000000003"/>
        <n v="-109.40999999999985"/>
        <n v="131.83219999999983"/>
        <n v="-615.62079999999969"/>
        <n v="-440.46529999999984"/>
        <n v="-123.72199999999975"/>
        <n v="-654.2804000000001"/>
        <n v="12.298699999999826"/>
        <n v="-111.79760000000852"/>
        <n v="169.99199999999996"/>
        <n v="-770.99180000000024"/>
        <n v="110.9693000000002"/>
        <n v="-401.77"/>
        <n v="-518.53700000000754"/>
        <n v="-287.2364"/>
        <n v="-205.66700000000014"/>
        <n v="-371.20199999999977"/>
        <n v="222.26399999999998"/>
        <n v="345.875"/>
        <n v="178.51600000000008"/>
        <n v="54.103799999999865"/>
        <n v="-212.97199999999975"/>
        <n v="-530.19750000000022"/>
        <n v="341.13250000000016"/>
        <n v="-360.83719999999994"/>
        <n v="-301.35220000000027"/>
        <n v="-388.9402"/>
        <n v="-209.22800000000097"/>
        <n v="123.52440000000001"/>
        <n v="-39.225600000000213"/>
        <n v="-214.13070000000062"/>
        <n v="-109.18659999999977"/>
        <n v="-33.352899999999977"/>
        <n v="-133.78040000000874"/>
        <n v="99.209599999999909"/>
        <n v="-19.926400000008698"/>
        <n v="-330.62800000000061"/>
        <n v="320.93499999999995"/>
        <n v="-202.43310000000815"/>
        <n v="-844.07529999999952"/>
        <n v="-10.291400000000067"/>
        <n v="131.25509999999122"/>
        <n v="-228.75239999999985"/>
        <n v="-64.000799999999799"/>
        <n v="-45.783600000000206"/>
        <n v="-604.45599999999968"/>
        <n v="-57.102399999999761"/>
        <n v="-781.40030000000024"/>
        <n v="169.92090000000007"/>
        <n v="-497.19550000000754"/>
        <n v="-8.9940000000085547"/>
        <n v="-928.43119999999999"/>
        <n v="-84.265199999999822"/>
        <n v="207.29000000000002"/>
        <n v="-204.11599999999999"/>
        <n v="-85.024999999999864"/>
        <n v="93.721999999999753"/>
        <n v="-510.74039999999968"/>
        <n v="-172.72839999999997"/>
        <n v="38.156800000000203"/>
        <n v="41.22890000000001"/>
        <n v="-441.62840000000006"/>
        <n v="75.564800000000105"/>
        <n v="-735.26200000000017"/>
        <n v="-358.2514000000001"/>
        <n v="-689.42800000000034"/>
        <n v="319.5627999999997"/>
        <n v="18.139699999999976"/>
        <n v="-104.06200000000763"/>
        <n v="154.04280000000003"/>
        <n v="-1165.4385000000002"/>
        <n v="185.02359999999999"/>
        <n v="262.74280000000044"/>
        <n v="-47.028200000000197"/>
        <n v="-191.1715999999999"/>
        <n v="118.3429000000001"/>
        <n v="378.65"/>
        <n v="-153.71379999999999"/>
        <n v="224.74700000000001"/>
        <n v="-1194.2550000000001"/>
        <n v="-607.65959999999995"/>
        <n v="77.358799999999974"/>
        <n v="201.63299999999117"/>
        <n v="-277.45299999999997"/>
        <n v="384.42290000000003"/>
        <n v="208.1251999999995"/>
        <n v="-438.45029999999997"/>
        <n v="71.52839999999992"/>
        <n v="-153.36509999999998"/>
        <n v="-54.93480000000045"/>
        <n v="-770.19909999999982"/>
        <n v="-635.16840000000002"/>
        <n v="61.592499999999973"/>
        <n v="153.40359999999916"/>
        <n v="-907.51279999999952"/>
        <n v="22.180000000000291"/>
        <n v="-82.263599999999997"/>
        <n v="-7.5155000000004293"/>
        <n v="-93.89240000000018"/>
        <n v="22.554600000000164"/>
        <n v="-222.87780000000021"/>
        <n v="-185.12479999999994"/>
        <n v="-551.83300000000054"/>
        <n v="-187.80719999999997"/>
        <n v="-607.12039999999979"/>
        <n v="-154.31599999999992"/>
        <n v="-608.33280000000696"/>
        <n v="-842.26010000000724"/>
        <n v="-160.50099999999998"/>
        <n v="-274.73939999999993"/>
        <n v="11.721300000000156"/>
        <n v="196.59540000000004"/>
        <n v="-1097.3200000000002"/>
        <n v="-189.66280000000006"/>
        <n v="-594.55760000000009"/>
        <n v="-285.70519999999988"/>
        <n v="293.73099999999977"/>
        <n v="308.47879999999986"/>
        <n v="-190.11699999999996"/>
        <n v="162.73000000000002"/>
        <n v="-297.6532000000002"/>
        <n v="-1207.2323999999999"/>
        <n v="-416.86230000000751"/>
        <n v="312.01560000000001"/>
        <n v="242.30999999999995"/>
        <n v="-67.04869999999994"/>
        <n v="-93.758400000000051"/>
        <n v="6.6150000000000091"/>
        <n v="47.806499999999915"/>
        <n v="144.97659999999155"/>
        <n v="303.06679999999994"/>
        <n v="33.809899999999999"/>
        <n v="415.25759999999991"/>
        <n v="215.24090000000012"/>
        <n v="79.989999999990232"/>
        <n v="88.324000000000069"/>
        <n v="168.4860000000001"/>
        <n v="-221.4545999999998"/>
        <n v="124.41959999999995"/>
        <n v="92.165400000000091"/>
        <n v="384.40459999999996"/>
        <n v="-294.25999999999976"/>
        <n v="338.11700000000019"/>
        <n v="299.48599999999124"/>
        <n v="108.98160000000007"/>
        <n v="-1015.6844000000069"/>
        <n v="-87.843499999999949"/>
        <n v="210.51919999999996"/>
        <n v="-211.79930000000058"/>
        <n v="-891.13000000000011"/>
        <n v="25.069499999999607"/>
        <n v="-31.436500000000251"/>
        <n v="394.97839999999997"/>
        <n v="170.39600000000002"/>
        <n v="-134.80700000000024"/>
        <n v="177.12199999999996"/>
        <n v="-56.142000000008466"/>
        <n v="-1240.0989000000004"/>
        <n v="434.00929999999971"/>
        <n v="125.44399999999996"/>
        <n v="-331.95879999999988"/>
        <n v="-214.21719999999959"/>
        <n v="-347.88600000000088"/>
        <n v="-228.43159999999989"/>
        <n v="146.36839999999899"/>
        <n v="-7.0975999999999431"/>
        <n v="77.466999999999871"/>
        <n v="-31.460000000000036"/>
        <n v="-848.01839999999993"/>
        <n v="-321.25900000000001"/>
        <n v="5.9055000000000746"/>
        <n v="-5.9719000000000051"/>
        <n v="135.77999999999997"/>
        <n v="-564.7318000000073"/>
        <n v="-160.14550000000054"/>
        <n v="-139.51810000000023"/>
        <n v="234.34019999999964"/>
        <n v="36.246800000000007"/>
        <n v="42.908799999999985"/>
        <n v="-543.99239999999963"/>
        <n v="193.03879999999936"/>
        <n v="93.445699999999874"/>
        <n v="328.88399999999996"/>
        <n v="-880.90169999999989"/>
        <n v="127.6866"/>
        <n v="-122.07870000000025"/>
        <n v="-764.38279999999986"/>
        <n v="23.67919999999981"/>
        <n v="217.23439999999994"/>
        <n v="-862.42750000000024"/>
        <n v="-691.25749999999971"/>
        <n v="-1079.1035000000002"/>
        <n v="-287.76400000000763"/>
        <n v="56.253799999999956"/>
        <n v="20.926099999999678"/>
        <n v="-115.63520000000017"/>
      </sharedItems>
    </cacheField>
    <cacheField name="Effective_Margin_Status" numFmtId="0">
      <sharedItems count="2">
        <s v="Positive per Unit"/>
        <s v="Loss per Unit"/>
      </sharedItems>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226640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x v="0"/>
    <x v="0"/>
    <x v="0"/>
    <x v="0"/>
    <x v="0"/>
    <x v="0"/>
    <x v="0"/>
    <x v="0"/>
    <x v="0"/>
  </r>
  <r>
    <x v="1"/>
    <x v="1"/>
    <x v="0"/>
    <x v="1"/>
    <x v="1"/>
    <x v="0"/>
    <x v="1"/>
    <x v="1"/>
    <x v="0"/>
    <x v="1"/>
    <x v="0"/>
    <x v="1"/>
    <x v="1"/>
    <x v="1"/>
    <x v="1"/>
    <x v="1"/>
    <x v="1"/>
    <x v="1"/>
    <x v="1"/>
    <x v="1"/>
    <x v="0"/>
    <x v="1"/>
    <x v="1"/>
    <x v="1"/>
    <x v="1"/>
  </r>
  <r>
    <x v="2"/>
    <x v="2"/>
    <x v="1"/>
    <x v="2"/>
    <x v="2"/>
    <x v="1"/>
    <x v="2"/>
    <x v="2"/>
    <x v="0"/>
    <x v="2"/>
    <x v="1"/>
    <x v="1"/>
    <x v="2"/>
    <x v="2"/>
    <x v="2"/>
    <x v="2"/>
    <x v="2"/>
    <x v="2"/>
    <x v="2"/>
    <x v="2"/>
    <x v="0"/>
    <x v="0"/>
    <x v="2"/>
    <x v="2"/>
    <x v="0"/>
  </r>
  <r>
    <x v="3"/>
    <x v="3"/>
    <x v="0"/>
    <x v="2"/>
    <x v="3"/>
    <x v="2"/>
    <x v="3"/>
    <x v="3"/>
    <x v="1"/>
    <x v="3"/>
    <x v="2"/>
    <x v="1"/>
    <x v="3"/>
    <x v="3"/>
    <x v="3"/>
    <x v="3"/>
    <x v="3"/>
    <x v="3"/>
    <x v="3"/>
    <x v="3"/>
    <x v="0"/>
    <x v="0"/>
    <x v="3"/>
    <x v="3"/>
    <x v="0"/>
  </r>
  <r>
    <x v="4"/>
    <x v="4"/>
    <x v="2"/>
    <x v="3"/>
    <x v="4"/>
    <x v="3"/>
    <x v="4"/>
    <x v="4"/>
    <x v="1"/>
    <x v="4"/>
    <x v="2"/>
    <x v="0"/>
    <x v="4"/>
    <x v="4"/>
    <x v="4"/>
    <x v="4"/>
    <x v="4"/>
    <x v="4"/>
    <x v="4"/>
    <x v="4"/>
    <x v="0"/>
    <x v="1"/>
    <x v="4"/>
    <x v="4"/>
    <x v="1"/>
  </r>
  <r>
    <x v="5"/>
    <x v="5"/>
    <x v="2"/>
    <x v="1"/>
    <x v="5"/>
    <x v="1"/>
    <x v="5"/>
    <x v="5"/>
    <x v="1"/>
    <x v="5"/>
    <x v="0"/>
    <x v="0"/>
    <x v="5"/>
    <x v="5"/>
    <x v="5"/>
    <x v="5"/>
    <x v="5"/>
    <x v="5"/>
    <x v="5"/>
    <x v="5"/>
    <x v="0"/>
    <x v="1"/>
    <x v="5"/>
    <x v="5"/>
    <x v="1"/>
  </r>
  <r>
    <x v="6"/>
    <x v="6"/>
    <x v="0"/>
    <x v="1"/>
    <x v="6"/>
    <x v="0"/>
    <x v="6"/>
    <x v="6"/>
    <x v="0"/>
    <x v="6"/>
    <x v="0"/>
    <x v="0"/>
    <x v="1"/>
    <x v="6"/>
    <x v="6"/>
    <x v="6"/>
    <x v="6"/>
    <x v="6"/>
    <x v="6"/>
    <x v="6"/>
    <x v="0"/>
    <x v="1"/>
    <x v="6"/>
    <x v="6"/>
    <x v="1"/>
  </r>
  <r>
    <x v="7"/>
    <x v="7"/>
    <x v="3"/>
    <x v="2"/>
    <x v="7"/>
    <x v="0"/>
    <x v="7"/>
    <x v="7"/>
    <x v="1"/>
    <x v="7"/>
    <x v="1"/>
    <x v="0"/>
    <x v="6"/>
    <x v="7"/>
    <x v="7"/>
    <x v="7"/>
    <x v="7"/>
    <x v="7"/>
    <x v="7"/>
    <x v="7"/>
    <x v="0"/>
    <x v="1"/>
    <x v="7"/>
    <x v="7"/>
    <x v="1"/>
  </r>
  <r>
    <x v="8"/>
    <x v="8"/>
    <x v="1"/>
    <x v="2"/>
    <x v="2"/>
    <x v="0"/>
    <x v="8"/>
    <x v="8"/>
    <x v="1"/>
    <x v="8"/>
    <x v="1"/>
    <x v="0"/>
    <x v="2"/>
    <x v="8"/>
    <x v="8"/>
    <x v="8"/>
    <x v="8"/>
    <x v="8"/>
    <x v="8"/>
    <x v="8"/>
    <x v="0"/>
    <x v="0"/>
    <x v="8"/>
    <x v="8"/>
    <x v="0"/>
  </r>
  <r>
    <x v="8"/>
    <x v="9"/>
    <x v="2"/>
    <x v="1"/>
    <x v="0"/>
    <x v="2"/>
    <x v="9"/>
    <x v="9"/>
    <x v="1"/>
    <x v="9"/>
    <x v="1"/>
    <x v="0"/>
    <x v="5"/>
    <x v="9"/>
    <x v="9"/>
    <x v="9"/>
    <x v="9"/>
    <x v="9"/>
    <x v="9"/>
    <x v="9"/>
    <x v="0"/>
    <x v="0"/>
    <x v="9"/>
    <x v="9"/>
    <x v="0"/>
  </r>
  <r>
    <x v="9"/>
    <x v="10"/>
    <x v="3"/>
    <x v="0"/>
    <x v="4"/>
    <x v="0"/>
    <x v="10"/>
    <x v="10"/>
    <x v="1"/>
    <x v="10"/>
    <x v="1"/>
    <x v="1"/>
    <x v="7"/>
    <x v="10"/>
    <x v="10"/>
    <x v="10"/>
    <x v="10"/>
    <x v="10"/>
    <x v="10"/>
    <x v="10"/>
    <x v="0"/>
    <x v="1"/>
    <x v="10"/>
    <x v="10"/>
    <x v="1"/>
  </r>
  <r>
    <x v="10"/>
    <x v="11"/>
    <x v="0"/>
    <x v="1"/>
    <x v="8"/>
    <x v="1"/>
    <x v="11"/>
    <x v="11"/>
    <x v="0"/>
    <x v="4"/>
    <x v="1"/>
    <x v="0"/>
    <x v="1"/>
    <x v="11"/>
    <x v="11"/>
    <x v="11"/>
    <x v="11"/>
    <x v="11"/>
    <x v="11"/>
    <x v="11"/>
    <x v="0"/>
    <x v="1"/>
    <x v="11"/>
    <x v="11"/>
    <x v="1"/>
  </r>
  <r>
    <x v="11"/>
    <x v="12"/>
    <x v="3"/>
    <x v="1"/>
    <x v="9"/>
    <x v="1"/>
    <x v="12"/>
    <x v="12"/>
    <x v="0"/>
    <x v="11"/>
    <x v="1"/>
    <x v="1"/>
    <x v="8"/>
    <x v="12"/>
    <x v="12"/>
    <x v="12"/>
    <x v="12"/>
    <x v="12"/>
    <x v="12"/>
    <x v="12"/>
    <x v="0"/>
    <x v="0"/>
    <x v="12"/>
    <x v="12"/>
    <x v="0"/>
  </r>
  <r>
    <x v="12"/>
    <x v="13"/>
    <x v="4"/>
    <x v="2"/>
    <x v="2"/>
    <x v="0"/>
    <x v="13"/>
    <x v="13"/>
    <x v="1"/>
    <x v="2"/>
    <x v="0"/>
    <x v="0"/>
    <x v="9"/>
    <x v="13"/>
    <x v="13"/>
    <x v="13"/>
    <x v="13"/>
    <x v="13"/>
    <x v="13"/>
    <x v="13"/>
    <x v="0"/>
    <x v="1"/>
    <x v="13"/>
    <x v="13"/>
    <x v="1"/>
  </r>
  <r>
    <x v="13"/>
    <x v="14"/>
    <x v="2"/>
    <x v="2"/>
    <x v="9"/>
    <x v="1"/>
    <x v="14"/>
    <x v="14"/>
    <x v="1"/>
    <x v="12"/>
    <x v="1"/>
    <x v="1"/>
    <x v="10"/>
    <x v="14"/>
    <x v="14"/>
    <x v="14"/>
    <x v="14"/>
    <x v="14"/>
    <x v="14"/>
    <x v="14"/>
    <x v="0"/>
    <x v="1"/>
    <x v="14"/>
    <x v="14"/>
    <x v="1"/>
  </r>
  <r>
    <x v="14"/>
    <x v="15"/>
    <x v="0"/>
    <x v="0"/>
    <x v="10"/>
    <x v="0"/>
    <x v="15"/>
    <x v="15"/>
    <x v="1"/>
    <x v="13"/>
    <x v="0"/>
    <x v="1"/>
    <x v="0"/>
    <x v="15"/>
    <x v="15"/>
    <x v="15"/>
    <x v="15"/>
    <x v="15"/>
    <x v="15"/>
    <x v="15"/>
    <x v="0"/>
    <x v="0"/>
    <x v="15"/>
    <x v="15"/>
    <x v="0"/>
  </r>
  <r>
    <x v="15"/>
    <x v="16"/>
    <x v="1"/>
    <x v="0"/>
    <x v="1"/>
    <x v="0"/>
    <x v="16"/>
    <x v="16"/>
    <x v="0"/>
    <x v="14"/>
    <x v="0"/>
    <x v="0"/>
    <x v="11"/>
    <x v="16"/>
    <x v="16"/>
    <x v="16"/>
    <x v="16"/>
    <x v="16"/>
    <x v="16"/>
    <x v="16"/>
    <x v="0"/>
    <x v="0"/>
    <x v="16"/>
    <x v="16"/>
    <x v="0"/>
  </r>
  <r>
    <x v="9"/>
    <x v="17"/>
    <x v="0"/>
    <x v="3"/>
    <x v="11"/>
    <x v="3"/>
    <x v="17"/>
    <x v="17"/>
    <x v="1"/>
    <x v="15"/>
    <x v="2"/>
    <x v="1"/>
    <x v="12"/>
    <x v="17"/>
    <x v="17"/>
    <x v="17"/>
    <x v="17"/>
    <x v="17"/>
    <x v="17"/>
    <x v="17"/>
    <x v="0"/>
    <x v="1"/>
    <x v="17"/>
    <x v="17"/>
    <x v="1"/>
  </r>
  <r>
    <x v="16"/>
    <x v="18"/>
    <x v="1"/>
    <x v="1"/>
    <x v="12"/>
    <x v="2"/>
    <x v="18"/>
    <x v="18"/>
    <x v="0"/>
    <x v="16"/>
    <x v="0"/>
    <x v="0"/>
    <x v="13"/>
    <x v="18"/>
    <x v="18"/>
    <x v="18"/>
    <x v="18"/>
    <x v="18"/>
    <x v="18"/>
    <x v="18"/>
    <x v="0"/>
    <x v="1"/>
    <x v="18"/>
    <x v="18"/>
    <x v="1"/>
  </r>
  <r>
    <x v="17"/>
    <x v="19"/>
    <x v="0"/>
    <x v="2"/>
    <x v="13"/>
    <x v="2"/>
    <x v="19"/>
    <x v="19"/>
    <x v="0"/>
    <x v="17"/>
    <x v="0"/>
    <x v="0"/>
    <x v="3"/>
    <x v="19"/>
    <x v="19"/>
    <x v="19"/>
    <x v="19"/>
    <x v="19"/>
    <x v="19"/>
    <x v="19"/>
    <x v="0"/>
    <x v="0"/>
    <x v="19"/>
    <x v="19"/>
    <x v="0"/>
  </r>
  <r>
    <x v="15"/>
    <x v="20"/>
    <x v="3"/>
    <x v="0"/>
    <x v="14"/>
    <x v="3"/>
    <x v="20"/>
    <x v="20"/>
    <x v="1"/>
    <x v="13"/>
    <x v="1"/>
    <x v="0"/>
    <x v="7"/>
    <x v="20"/>
    <x v="20"/>
    <x v="20"/>
    <x v="20"/>
    <x v="20"/>
    <x v="20"/>
    <x v="20"/>
    <x v="0"/>
    <x v="1"/>
    <x v="20"/>
    <x v="20"/>
    <x v="1"/>
  </r>
  <r>
    <x v="18"/>
    <x v="21"/>
    <x v="3"/>
    <x v="3"/>
    <x v="15"/>
    <x v="3"/>
    <x v="21"/>
    <x v="21"/>
    <x v="1"/>
    <x v="7"/>
    <x v="0"/>
    <x v="0"/>
    <x v="14"/>
    <x v="21"/>
    <x v="21"/>
    <x v="21"/>
    <x v="21"/>
    <x v="21"/>
    <x v="21"/>
    <x v="21"/>
    <x v="0"/>
    <x v="1"/>
    <x v="21"/>
    <x v="21"/>
    <x v="1"/>
  </r>
  <r>
    <x v="19"/>
    <x v="22"/>
    <x v="3"/>
    <x v="3"/>
    <x v="16"/>
    <x v="2"/>
    <x v="22"/>
    <x v="22"/>
    <x v="1"/>
    <x v="18"/>
    <x v="1"/>
    <x v="1"/>
    <x v="14"/>
    <x v="22"/>
    <x v="22"/>
    <x v="22"/>
    <x v="22"/>
    <x v="22"/>
    <x v="22"/>
    <x v="22"/>
    <x v="0"/>
    <x v="0"/>
    <x v="22"/>
    <x v="22"/>
    <x v="0"/>
  </r>
  <r>
    <x v="5"/>
    <x v="23"/>
    <x v="4"/>
    <x v="2"/>
    <x v="17"/>
    <x v="0"/>
    <x v="23"/>
    <x v="23"/>
    <x v="0"/>
    <x v="19"/>
    <x v="1"/>
    <x v="0"/>
    <x v="9"/>
    <x v="23"/>
    <x v="23"/>
    <x v="23"/>
    <x v="23"/>
    <x v="23"/>
    <x v="23"/>
    <x v="23"/>
    <x v="0"/>
    <x v="1"/>
    <x v="23"/>
    <x v="23"/>
    <x v="1"/>
  </r>
  <r>
    <x v="20"/>
    <x v="24"/>
    <x v="1"/>
    <x v="2"/>
    <x v="18"/>
    <x v="0"/>
    <x v="24"/>
    <x v="24"/>
    <x v="0"/>
    <x v="20"/>
    <x v="1"/>
    <x v="1"/>
    <x v="2"/>
    <x v="24"/>
    <x v="24"/>
    <x v="24"/>
    <x v="24"/>
    <x v="24"/>
    <x v="24"/>
    <x v="24"/>
    <x v="0"/>
    <x v="1"/>
    <x v="24"/>
    <x v="24"/>
    <x v="1"/>
  </r>
  <r>
    <x v="21"/>
    <x v="22"/>
    <x v="3"/>
    <x v="3"/>
    <x v="2"/>
    <x v="2"/>
    <x v="25"/>
    <x v="25"/>
    <x v="1"/>
    <x v="2"/>
    <x v="2"/>
    <x v="1"/>
    <x v="14"/>
    <x v="25"/>
    <x v="25"/>
    <x v="25"/>
    <x v="25"/>
    <x v="25"/>
    <x v="25"/>
    <x v="25"/>
    <x v="0"/>
    <x v="1"/>
    <x v="25"/>
    <x v="25"/>
    <x v="1"/>
  </r>
  <r>
    <x v="22"/>
    <x v="25"/>
    <x v="4"/>
    <x v="0"/>
    <x v="19"/>
    <x v="0"/>
    <x v="26"/>
    <x v="26"/>
    <x v="0"/>
    <x v="17"/>
    <x v="1"/>
    <x v="1"/>
    <x v="15"/>
    <x v="26"/>
    <x v="26"/>
    <x v="26"/>
    <x v="26"/>
    <x v="26"/>
    <x v="26"/>
    <x v="26"/>
    <x v="0"/>
    <x v="1"/>
    <x v="26"/>
    <x v="26"/>
    <x v="1"/>
  </r>
  <r>
    <x v="13"/>
    <x v="26"/>
    <x v="1"/>
    <x v="3"/>
    <x v="14"/>
    <x v="3"/>
    <x v="27"/>
    <x v="27"/>
    <x v="1"/>
    <x v="21"/>
    <x v="0"/>
    <x v="0"/>
    <x v="16"/>
    <x v="27"/>
    <x v="27"/>
    <x v="27"/>
    <x v="27"/>
    <x v="27"/>
    <x v="27"/>
    <x v="27"/>
    <x v="0"/>
    <x v="0"/>
    <x v="27"/>
    <x v="27"/>
    <x v="0"/>
  </r>
  <r>
    <x v="23"/>
    <x v="27"/>
    <x v="0"/>
    <x v="1"/>
    <x v="20"/>
    <x v="0"/>
    <x v="28"/>
    <x v="28"/>
    <x v="1"/>
    <x v="22"/>
    <x v="1"/>
    <x v="1"/>
    <x v="1"/>
    <x v="28"/>
    <x v="28"/>
    <x v="28"/>
    <x v="28"/>
    <x v="28"/>
    <x v="28"/>
    <x v="28"/>
    <x v="0"/>
    <x v="1"/>
    <x v="28"/>
    <x v="28"/>
    <x v="1"/>
  </r>
  <r>
    <x v="24"/>
    <x v="28"/>
    <x v="4"/>
    <x v="1"/>
    <x v="21"/>
    <x v="0"/>
    <x v="29"/>
    <x v="29"/>
    <x v="0"/>
    <x v="22"/>
    <x v="1"/>
    <x v="0"/>
    <x v="17"/>
    <x v="29"/>
    <x v="29"/>
    <x v="29"/>
    <x v="29"/>
    <x v="29"/>
    <x v="29"/>
    <x v="29"/>
    <x v="0"/>
    <x v="1"/>
    <x v="29"/>
    <x v="29"/>
    <x v="1"/>
  </r>
  <r>
    <x v="25"/>
    <x v="29"/>
    <x v="2"/>
    <x v="2"/>
    <x v="16"/>
    <x v="1"/>
    <x v="30"/>
    <x v="30"/>
    <x v="0"/>
    <x v="18"/>
    <x v="1"/>
    <x v="1"/>
    <x v="10"/>
    <x v="30"/>
    <x v="30"/>
    <x v="30"/>
    <x v="30"/>
    <x v="30"/>
    <x v="30"/>
    <x v="30"/>
    <x v="0"/>
    <x v="0"/>
    <x v="30"/>
    <x v="30"/>
    <x v="0"/>
  </r>
  <r>
    <x v="26"/>
    <x v="30"/>
    <x v="4"/>
    <x v="0"/>
    <x v="22"/>
    <x v="1"/>
    <x v="31"/>
    <x v="31"/>
    <x v="0"/>
    <x v="3"/>
    <x v="2"/>
    <x v="0"/>
    <x v="15"/>
    <x v="31"/>
    <x v="31"/>
    <x v="31"/>
    <x v="31"/>
    <x v="31"/>
    <x v="31"/>
    <x v="31"/>
    <x v="0"/>
    <x v="0"/>
    <x v="31"/>
    <x v="31"/>
    <x v="0"/>
  </r>
  <r>
    <x v="27"/>
    <x v="31"/>
    <x v="4"/>
    <x v="0"/>
    <x v="23"/>
    <x v="1"/>
    <x v="32"/>
    <x v="32"/>
    <x v="0"/>
    <x v="3"/>
    <x v="0"/>
    <x v="0"/>
    <x v="15"/>
    <x v="32"/>
    <x v="32"/>
    <x v="32"/>
    <x v="32"/>
    <x v="32"/>
    <x v="32"/>
    <x v="32"/>
    <x v="0"/>
    <x v="0"/>
    <x v="32"/>
    <x v="32"/>
    <x v="0"/>
  </r>
  <r>
    <x v="28"/>
    <x v="32"/>
    <x v="1"/>
    <x v="1"/>
    <x v="24"/>
    <x v="0"/>
    <x v="33"/>
    <x v="33"/>
    <x v="1"/>
    <x v="23"/>
    <x v="2"/>
    <x v="0"/>
    <x v="13"/>
    <x v="33"/>
    <x v="33"/>
    <x v="33"/>
    <x v="33"/>
    <x v="33"/>
    <x v="33"/>
    <x v="33"/>
    <x v="0"/>
    <x v="1"/>
    <x v="33"/>
    <x v="33"/>
    <x v="1"/>
  </r>
  <r>
    <x v="19"/>
    <x v="14"/>
    <x v="0"/>
    <x v="3"/>
    <x v="25"/>
    <x v="2"/>
    <x v="34"/>
    <x v="34"/>
    <x v="1"/>
    <x v="19"/>
    <x v="0"/>
    <x v="0"/>
    <x v="12"/>
    <x v="34"/>
    <x v="34"/>
    <x v="34"/>
    <x v="34"/>
    <x v="34"/>
    <x v="34"/>
    <x v="34"/>
    <x v="0"/>
    <x v="1"/>
    <x v="34"/>
    <x v="34"/>
    <x v="1"/>
  </r>
  <r>
    <x v="29"/>
    <x v="33"/>
    <x v="2"/>
    <x v="2"/>
    <x v="14"/>
    <x v="3"/>
    <x v="35"/>
    <x v="35"/>
    <x v="1"/>
    <x v="24"/>
    <x v="2"/>
    <x v="1"/>
    <x v="10"/>
    <x v="35"/>
    <x v="35"/>
    <x v="35"/>
    <x v="35"/>
    <x v="35"/>
    <x v="35"/>
    <x v="35"/>
    <x v="0"/>
    <x v="1"/>
    <x v="35"/>
    <x v="35"/>
    <x v="1"/>
  </r>
  <r>
    <x v="2"/>
    <x v="34"/>
    <x v="3"/>
    <x v="3"/>
    <x v="5"/>
    <x v="0"/>
    <x v="36"/>
    <x v="36"/>
    <x v="0"/>
    <x v="18"/>
    <x v="0"/>
    <x v="1"/>
    <x v="14"/>
    <x v="36"/>
    <x v="36"/>
    <x v="36"/>
    <x v="36"/>
    <x v="36"/>
    <x v="36"/>
    <x v="36"/>
    <x v="0"/>
    <x v="0"/>
    <x v="36"/>
    <x v="36"/>
    <x v="0"/>
  </r>
  <r>
    <x v="30"/>
    <x v="7"/>
    <x v="3"/>
    <x v="3"/>
    <x v="13"/>
    <x v="2"/>
    <x v="37"/>
    <x v="37"/>
    <x v="1"/>
    <x v="12"/>
    <x v="2"/>
    <x v="0"/>
    <x v="14"/>
    <x v="37"/>
    <x v="37"/>
    <x v="37"/>
    <x v="37"/>
    <x v="37"/>
    <x v="37"/>
    <x v="37"/>
    <x v="0"/>
    <x v="1"/>
    <x v="37"/>
    <x v="37"/>
    <x v="1"/>
  </r>
  <r>
    <x v="30"/>
    <x v="35"/>
    <x v="4"/>
    <x v="3"/>
    <x v="26"/>
    <x v="0"/>
    <x v="38"/>
    <x v="38"/>
    <x v="0"/>
    <x v="14"/>
    <x v="1"/>
    <x v="1"/>
    <x v="18"/>
    <x v="38"/>
    <x v="38"/>
    <x v="38"/>
    <x v="38"/>
    <x v="38"/>
    <x v="38"/>
    <x v="38"/>
    <x v="0"/>
    <x v="0"/>
    <x v="38"/>
    <x v="38"/>
    <x v="0"/>
  </r>
  <r>
    <x v="31"/>
    <x v="36"/>
    <x v="1"/>
    <x v="0"/>
    <x v="19"/>
    <x v="3"/>
    <x v="39"/>
    <x v="39"/>
    <x v="0"/>
    <x v="25"/>
    <x v="2"/>
    <x v="0"/>
    <x v="11"/>
    <x v="39"/>
    <x v="39"/>
    <x v="39"/>
    <x v="39"/>
    <x v="39"/>
    <x v="39"/>
    <x v="39"/>
    <x v="0"/>
    <x v="1"/>
    <x v="39"/>
    <x v="39"/>
    <x v="1"/>
  </r>
  <r>
    <x v="30"/>
    <x v="37"/>
    <x v="1"/>
    <x v="1"/>
    <x v="27"/>
    <x v="0"/>
    <x v="40"/>
    <x v="40"/>
    <x v="0"/>
    <x v="26"/>
    <x v="2"/>
    <x v="0"/>
    <x v="13"/>
    <x v="40"/>
    <x v="40"/>
    <x v="40"/>
    <x v="40"/>
    <x v="40"/>
    <x v="40"/>
    <x v="40"/>
    <x v="0"/>
    <x v="1"/>
    <x v="40"/>
    <x v="40"/>
    <x v="1"/>
  </r>
  <r>
    <x v="32"/>
    <x v="21"/>
    <x v="3"/>
    <x v="0"/>
    <x v="28"/>
    <x v="3"/>
    <x v="41"/>
    <x v="41"/>
    <x v="1"/>
    <x v="15"/>
    <x v="1"/>
    <x v="1"/>
    <x v="7"/>
    <x v="41"/>
    <x v="41"/>
    <x v="41"/>
    <x v="41"/>
    <x v="41"/>
    <x v="41"/>
    <x v="41"/>
    <x v="0"/>
    <x v="1"/>
    <x v="41"/>
    <x v="41"/>
    <x v="1"/>
  </r>
  <r>
    <x v="33"/>
    <x v="38"/>
    <x v="2"/>
    <x v="1"/>
    <x v="29"/>
    <x v="0"/>
    <x v="42"/>
    <x v="42"/>
    <x v="0"/>
    <x v="9"/>
    <x v="1"/>
    <x v="0"/>
    <x v="5"/>
    <x v="42"/>
    <x v="42"/>
    <x v="42"/>
    <x v="42"/>
    <x v="42"/>
    <x v="42"/>
    <x v="42"/>
    <x v="0"/>
    <x v="1"/>
    <x v="42"/>
    <x v="42"/>
    <x v="1"/>
  </r>
  <r>
    <x v="18"/>
    <x v="39"/>
    <x v="0"/>
    <x v="2"/>
    <x v="29"/>
    <x v="3"/>
    <x v="43"/>
    <x v="43"/>
    <x v="0"/>
    <x v="14"/>
    <x v="0"/>
    <x v="0"/>
    <x v="3"/>
    <x v="43"/>
    <x v="43"/>
    <x v="43"/>
    <x v="43"/>
    <x v="43"/>
    <x v="43"/>
    <x v="43"/>
    <x v="0"/>
    <x v="1"/>
    <x v="43"/>
    <x v="43"/>
    <x v="1"/>
  </r>
  <r>
    <x v="12"/>
    <x v="40"/>
    <x v="2"/>
    <x v="2"/>
    <x v="30"/>
    <x v="0"/>
    <x v="44"/>
    <x v="44"/>
    <x v="0"/>
    <x v="14"/>
    <x v="0"/>
    <x v="0"/>
    <x v="10"/>
    <x v="44"/>
    <x v="44"/>
    <x v="44"/>
    <x v="44"/>
    <x v="44"/>
    <x v="44"/>
    <x v="44"/>
    <x v="0"/>
    <x v="0"/>
    <x v="44"/>
    <x v="44"/>
    <x v="0"/>
  </r>
  <r>
    <x v="32"/>
    <x v="41"/>
    <x v="0"/>
    <x v="3"/>
    <x v="26"/>
    <x v="3"/>
    <x v="45"/>
    <x v="45"/>
    <x v="0"/>
    <x v="27"/>
    <x v="0"/>
    <x v="0"/>
    <x v="12"/>
    <x v="45"/>
    <x v="45"/>
    <x v="45"/>
    <x v="45"/>
    <x v="45"/>
    <x v="45"/>
    <x v="45"/>
    <x v="0"/>
    <x v="1"/>
    <x v="45"/>
    <x v="45"/>
    <x v="1"/>
  </r>
  <r>
    <x v="34"/>
    <x v="42"/>
    <x v="3"/>
    <x v="1"/>
    <x v="21"/>
    <x v="1"/>
    <x v="46"/>
    <x v="46"/>
    <x v="0"/>
    <x v="2"/>
    <x v="2"/>
    <x v="0"/>
    <x v="8"/>
    <x v="46"/>
    <x v="46"/>
    <x v="46"/>
    <x v="46"/>
    <x v="46"/>
    <x v="46"/>
    <x v="46"/>
    <x v="0"/>
    <x v="1"/>
    <x v="46"/>
    <x v="46"/>
    <x v="1"/>
  </r>
  <r>
    <x v="5"/>
    <x v="43"/>
    <x v="0"/>
    <x v="1"/>
    <x v="8"/>
    <x v="0"/>
    <x v="47"/>
    <x v="47"/>
    <x v="0"/>
    <x v="10"/>
    <x v="0"/>
    <x v="1"/>
    <x v="1"/>
    <x v="47"/>
    <x v="47"/>
    <x v="47"/>
    <x v="47"/>
    <x v="47"/>
    <x v="47"/>
    <x v="47"/>
    <x v="0"/>
    <x v="1"/>
    <x v="47"/>
    <x v="47"/>
    <x v="1"/>
  </r>
  <r>
    <x v="35"/>
    <x v="38"/>
    <x v="1"/>
    <x v="1"/>
    <x v="11"/>
    <x v="0"/>
    <x v="48"/>
    <x v="48"/>
    <x v="0"/>
    <x v="22"/>
    <x v="2"/>
    <x v="1"/>
    <x v="13"/>
    <x v="48"/>
    <x v="48"/>
    <x v="48"/>
    <x v="48"/>
    <x v="48"/>
    <x v="48"/>
    <x v="48"/>
    <x v="0"/>
    <x v="1"/>
    <x v="48"/>
    <x v="48"/>
    <x v="1"/>
  </r>
  <r>
    <x v="36"/>
    <x v="44"/>
    <x v="4"/>
    <x v="3"/>
    <x v="31"/>
    <x v="2"/>
    <x v="49"/>
    <x v="49"/>
    <x v="0"/>
    <x v="27"/>
    <x v="2"/>
    <x v="1"/>
    <x v="18"/>
    <x v="49"/>
    <x v="49"/>
    <x v="49"/>
    <x v="49"/>
    <x v="49"/>
    <x v="49"/>
    <x v="49"/>
    <x v="0"/>
    <x v="1"/>
    <x v="49"/>
    <x v="49"/>
    <x v="1"/>
  </r>
  <r>
    <x v="37"/>
    <x v="45"/>
    <x v="4"/>
    <x v="3"/>
    <x v="23"/>
    <x v="2"/>
    <x v="50"/>
    <x v="50"/>
    <x v="0"/>
    <x v="11"/>
    <x v="0"/>
    <x v="0"/>
    <x v="18"/>
    <x v="50"/>
    <x v="50"/>
    <x v="50"/>
    <x v="50"/>
    <x v="50"/>
    <x v="50"/>
    <x v="50"/>
    <x v="0"/>
    <x v="0"/>
    <x v="50"/>
    <x v="50"/>
    <x v="0"/>
  </r>
  <r>
    <x v="38"/>
    <x v="46"/>
    <x v="3"/>
    <x v="2"/>
    <x v="3"/>
    <x v="3"/>
    <x v="51"/>
    <x v="51"/>
    <x v="0"/>
    <x v="8"/>
    <x v="0"/>
    <x v="0"/>
    <x v="6"/>
    <x v="51"/>
    <x v="51"/>
    <x v="51"/>
    <x v="51"/>
    <x v="51"/>
    <x v="51"/>
    <x v="51"/>
    <x v="0"/>
    <x v="0"/>
    <x v="51"/>
    <x v="51"/>
    <x v="0"/>
  </r>
  <r>
    <x v="23"/>
    <x v="47"/>
    <x v="1"/>
    <x v="0"/>
    <x v="8"/>
    <x v="0"/>
    <x v="52"/>
    <x v="52"/>
    <x v="0"/>
    <x v="23"/>
    <x v="2"/>
    <x v="0"/>
    <x v="11"/>
    <x v="52"/>
    <x v="52"/>
    <x v="52"/>
    <x v="52"/>
    <x v="52"/>
    <x v="52"/>
    <x v="52"/>
    <x v="0"/>
    <x v="1"/>
    <x v="52"/>
    <x v="52"/>
    <x v="1"/>
  </r>
  <r>
    <x v="19"/>
    <x v="48"/>
    <x v="2"/>
    <x v="1"/>
    <x v="17"/>
    <x v="3"/>
    <x v="53"/>
    <x v="53"/>
    <x v="0"/>
    <x v="3"/>
    <x v="1"/>
    <x v="0"/>
    <x v="5"/>
    <x v="53"/>
    <x v="53"/>
    <x v="53"/>
    <x v="53"/>
    <x v="53"/>
    <x v="53"/>
    <x v="53"/>
    <x v="0"/>
    <x v="0"/>
    <x v="53"/>
    <x v="53"/>
    <x v="0"/>
  </r>
  <r>
    <x v="39"/>
    <x v="49"/>
    <x v="1"/>
    <x v="1"/>
    <x v="1"/>
    <x v="1"/>
    <x v="54"/>
    <x v="54"/>
    <x v="1"/>
    <x v="2"/>
    <x v="1"/>
    <x v="0"/>
    <x v="13"/>
    <x v="54"/>
    <x v="54"/>
    <x v="54"/>
    <x v="54"/>
    <x v="54"/>
    <x v="54"/>
    <x v="54"/>
    <x v="0"/>
    <x v="1"/>
    <x v="54"/>
    <x v="54"/>
    <x v="1"/>
  </r>
  <r>
    <x v="40"/>
    <x v="40"/>
    <x v="4"/>
    <x v="0"/>
    <x v="19"/>
    <x v="2"/>
    <x v="55"/>
    <x v="55"/>
    <x v="1"/>
    <x v="8"/>
    <x v="2"/>
    <x v="0"/>
    <x v="15"/>
    <x v="55"/>
    <x v="55"/>
    <x v="55"/>
    <x v="55"/>
    <x v="55"/>
    <x v="55"/>
    <x v="55"/>
    <x v="0"/>
    <x v="0"/>
    <x v="55"/>
    <x v="55"/>
    <x v="0"/>
  </r>
  <r>
    <x v="41"/>
    <x v="50"/>
    <x v="4"/>
    <x v="1"/>
    <x v="5"/>
    <x v="3"/>
    <x v="56"/>
    <x v="56"/>
    <x v="0"/>
    <x v="20"/>
    <x v="0"/>
    <x v="1"/>
    <x v="17"/>
    <x v="56"/>
    <x v="56"/>
    <x v="56"/>
    <x v="56"/>
    <x v="56"/>
    <x v="56"/>
    <x v="56"/>
    <x v="0"/>
    <x v="1"/>
    <x v="56"/>
    <x v="56"/>
    <x v="1"/>
  </r>
  <r>
    <x v="14"/>
    <x v="51"/>
    <x v="1"/>
    <x v="3"/>
    <x v="6"/>
    <x v="3"/>
    <x v="57"/>
    <x v="57"/>
    <x v="0"/>
    <x v="5"/>
    <x v="2"/>
    <x v="0"/>
    <x v="16"/>
    <x v="57"/>
    <x v="57"/>
    <x v="57"/>
    <x v="57"/>
    <x v="57"/>
    <x v="57"/>
    <x v="57"/>
    <x v="0"/>
    <x v="1"/>
    <x v="57"/>
    <x v="57"/>
    <x v="1"/>
  </r>
  <r>
    <x v="15"/>
    <x v="52"/>
    <x v="1"/>
    <x v="3"/>
    <x v="9"/>
    <x v="2"/>
    <x v="58"/>
    <x v="58"/>
    <x v="0"/>
    <x v="17"/>
    <x v="2"/>
    <x v="1"/>
    <x v="16"/>
    <x v="58"/>
    <x v="58"/>
    <x v="58"/>
    <x v="58"/>
    <x v="58"/>
    <x v="58"/>
    <x v="58"/>
    <x v="0"/>
    <x v="1"/>
    <x v="58"/>
    <x v="58"/>
    <x v="1"/>
  </r>
  <r>
    <x v="42"/>
    <x v="53"/>
    <x v="4"/>
    <x v="1"/>
    <x v="9"/>
    <x v="0"/>
    <x v="59"/>
    <x v="59"/>
    <x v="1"/>
    <x v="4"/>
    <x v="0"/>
    <x v="0"/>
    <x v="17"/>
    <x v="59"/>
    <x v="59"/>
    <x v="59"/>
    <x v="59"/>
    <x v="59"/>
    <x v="59"/>
    <x v="59"/>
    <x v="0"/>
    <x v="1"/>
    <x v="59"/>
    <x v="59"/>
    <x v="1"/>
  </r>
  <r>
    <x v="28"/>
    <x v="54"/>
    <x v="2"/>
    <x v="3"/>
    <x v="11"/>
    <x v="3"/>
    <x v="60"/>
    <x v="60"/>
    <x v="1"/>
    <x v="2"/>
    <x v="1"/>
    <x v="1"/>
    <x v="4"/>
    <x v="60"/>
    <x v="60"/>
    <x v="60"/>
    <x v="60"/>
    <x v="60"/>
    <x v="60"/>
    <x v="60"/>
    <x v="0"/>
    <x v="1"/>
    <x v="60"/>
    <x v="60"/>
    <x v="1"/>
  </r>
  <r>
    <x v="19"/>
    <x v="55"/>
    <x v="3"/>
    <x v="3"/>
    <x v="18"/>
    <x v="2"/>
    <x v="61"/>
    <x v="61"/>
    <x v="1"/>
    <x v="7"/>
    <x v="2"/>
    <x v="0"/>
    <x v="14"/>
    <x v="61"/>
    <x v="61"/>
    <x v="61"/>
    <x v="61"/>
    <x v="61"/>
    <x v="61"/>
    <x v="61"/>
    <x v="0"/>
    <x v="1"/>
    <x v="61"/>
    <x v="61"/>
    <x v="1"/>
  </r>
  <r>
    <x v="43"/>
    <x v="56"/>
    <x v="3"/>
    <x v="1"/>
    <x v="32"/>
    <x v="0"/>
    <x v="62"/>
    <x v="62"/>
    <x v="0"/>
    <x v="18"/>
    <x v="1"/>
    <x v="1"/>
    <x v="8"/>
    <x v="62"/>
    <x v="62"/>
    <x v="62"/>
    <x v="62"/>
    <x v="62"/>
    <x v="62"/>
    <x v="62"/>
    <x v="0"/>
    <x v="0"/>
    <x v="62"/>
    <x v="62"/>
    <x v="0"/>
  </r>
  <r>
    <x v="44"/>
    <x v="57"/>
    <x v="1"/>
    <x v="2"/>
    <x v="33"/>
    <x v="1"/>
    <x v="63"/>
    <x v="63"/>
    <x v="0"/>
    <x v="20"/>
    <x v="1"/>
    <x v="1"/>
    <x v="2"/>
    <x v="63"/>
    <x v="63"/>
    <x v="63"/>
    <x v="63"/>
    <x v="63"/>
    <x v="63"/>
    <x v="63"/>
    <x v="0"/>
    <x v="1"/>
    <x v="63"/>
    <x v="63"/>
    <x v="1"/>
  </r>
  <r>
    <x v="45"/>
    <x v="58"/>
    <x v="3"/>
    <x v="0"/>
    <x v="34"/>
    <x v="2"/>
    <x v="64"/>
    <x v="64"/>
    <x v="0"/>
    <x v="8"/>
    <x v="0"/>
    <x v="0"/>
    <x v="7"/>
    <x v="64"/>
    <x v="64"/>
    <x v="64"/>
    <x v="64"/>
    <x v="64"/>
    <x v="64"/>
    <x v="64"/>
    <x v="0"/>
    <x v="0"/>
    <x v="64"/>
    <x v="64"/>
    <x v="0"/>
  </r>
  <r>
    <x v="31"/>
    <x v="59"/>
    <x v="4"/>
    <x v="3"/>
    <x v="35"/>
    <x v="3"/>
    <x v="65"/>
    <x v="65"/>
    <x v="0"/>
    <x v="16"/>
    <x v="2"/>
    <x v="0"/>
    <x v="18"/>
    <x v="65"/>
    <x v="65"/>
    <x v="65"/>
    <x v="65"/>
    <x v="65"/>
    <x v="65"/>
    <x v="65"/>
    <x v="0"/>
    <x v="1"/>
    <x v="65"/>
    <x v="65"/>
    <x v="1"/>
  </r>
  <r>
    <x v="46"/>
    <x v="60"/>
    <x v="4"/>
    <x v="2"/>
    <x v="27"/>
    <x v="1"/>
    <x v="66"/>
    <x v="66"/>
    <x v="1"/>
    <x v="25"/>
    <x v="2"/>
    <x v="1"/>
    <x v="9"/>
    <x v="66"/>
    <x v="66"/>
    <x v="66"/>
    <x v="66"/>
    <x v="66"/>
    <x v="66"/>
    <x v="66"/>
    <x v="0"/>
    <x v="1"/>
    <x v="66"/>
    <x v="66"/>
    <x v="1"/>
  </r>
  <r>
    <x v="47"/>
    <x v="10"/>
    <x v="1"/>
    <x v="3"/>
    <x v="29"/>
    <x v="0"/>
    <x v="67"/>
    <x v="67"/>
    <x v="0"/>
    <x v="21"/>
    <x v="1"/>
    <x v="0"/>
    <x v="16"/>
    <x v="67"/>
    <x v="67"/>
    <x v="67"/>
    <x v="67"/>
    <x v="67"/>
    <x v="67"/>
    <x v="67"/>
    <x v="0"/>
    <x v="0"/>
    <x v="67"/>
    <x v="67"/>
    <x v="0"/>
  </r>
  <r>
    <x v="48"/>
    <x v="61"/>
    <x v="1"/>
    <x v="3"/>
    <x v="36"/>
    <x v="0"/>
    <x v="68"/>
    <x v="68"/>
    <x v="1"/>
    <x v="5"/>
    <x v="1"/>
    <x v="0"/>
    <x v="16"/>
    <x v="68"/>
    <x v="68"/>
    <x v="68"/>
    <x v="68"/>
    <x v="68"/>
    <x v="68"/>
    <x v="68"/>
    <x v="0"/>
    <x v="1"/>
    <x v="68"/>
    <x v="68"/>
    <x v="1"/>
  </r>
  <r>
    <x v="49"/>
    <x v="62"/>
    <x v="1"/>
    <x v="0"/>
    <x v="37"/>
    <x v="2"/>
    <x v="69"/>
    <x v="69"/>
    <x v="1"/>
    <x v="28"/>
    <x v="0"/>
    <x v="0"/>
    <x v="11"/>
    <x v="69"/>
    <x v="69"/>
    <x v="69"/>
    <x v="69"/>
    <x v="69"/>
    <x v="69"/>
    <x v="69"/>
    <x v="0"/>
    <x v="1"/>
    <x v="69"/>
    <x v="69"/>
    <x v="1"/>
  </r>
  <r>
    <x v="50"/>
    <x v="63"/>
    <x v="2"/>
    <x v="3"/>
    <x v="22"/>
    <x v="2"/>
    <x v="70"/>
    <x v="70"/>
    <x v="0"/>
    <x v="0"/>
    <x v="1"/>
    <x v="1"/>
    <x v="4"/>
    <x v="70"/>
    <x v="70"/>
    <x v="70"/>
    <x v="70"/>
    <x v="70"/>
    <x v="70"/>
    <x v="70"/>
    <x v="0"/>
    <x v="0"/>
    <x v="70"/>
    <x v="70"/>
    <x v="0"/>
  </r>
  <r>
    <x v="38"/>
    <x v="64"/>
    <x v="3"/>
    <x v="0"/>
    <x v="23"/>
    <x v="2"/>
    <x v="71"/>
    <x v="71"/>
    <x v="1"/>
    <x v="9"/>
    <x v="0"/>
    <x v="0"/>
    <x v="7"/>
    <x v="71"/>
    <x v="71"/>
    <x v="71"/>
    <x v="71"/>
    <x v="71"/>
    <x v="71"/>
    <x v="71"/>
    <x v="0"/>
    <x v="1"/>
    <x v="71"/>
    <x v="71"/>
    <x v="1"/>
  </r>
  <r>
    <x v="15"/>
    <x v="65"/>
    <x v="1"/>
    <x v="0"/>
    <x v="38"/>
    <x v="0"/>
    <x v="72"/>
    <x v="72"/>
    <x v="1"/>
    <x v="0"/>
    <x v="2"/>
    <x v="1"/>
    <x v="11"/>
    <x v="72"/>
    <x v="72"/>
    <x v="72"/>
    <x v="72"/>
    <x v="72"/>
    <x v="72"/>
    <x v="72"/>
    <x v="0"/>
    <x v="1"/>
    <x v="72"/>
    <x v="72"/>
    <x v="1"/>
  </r>
  <r>
    <x v="51"/>
    <x v="66"/>
    <x v="0"/>
    <x v="0"/>
    <x v="37"/>
    <x v="1"/>
    <x v="73"/>
    <x v="73"/>
    <x v="1"/>
    <x v="4"/>
    <x v="0"/>
    <x v="1"/>
    <x v="0"/>
    <x v="73"/>
    <x v="73"/>
    <x v="73"/>
    <x v="73"/>
    <x v="73"/>
    <x v="73"/>
    <x v="73"/>
    <x v="0"/>
    <x v="0"/>
    <x v="73"/>
    <x v="73"/>
    <x v="0"/>
  </r>
  <r>
    <x v="52"/>
    <x v="67"/>
    <x v="0"/>
    <x v="2"/>
    <x v="9"/>
    <x v="0"/>
    <x v="74"/>
    <x v="74"/>
    <x v="1"/>
    <x v="8"/>
    <x v="1"/>
    <x v="0"/>
    <x v="3"/>
    <x v="74"/>
    <x v="74"/>
    <x v="74"/>
    <x v="74"/>
    <x v="74"/>
    <x v="74"/>
    <x v="74"/>
    <x v="0"/>
    <x v="0"/>
    <x v="74"/>
    <x v="74"/>
    <x v="0"/>
  </r>
  <r>
    <x v="38"/>
    <x v="68"/>
    <x v="4"/>
    <x v="1"/>
    <x v="39"/>
    <x v="3"/>
    <x v="75"/>
    <x v="75"/>
    <x v="0"/>
    <x v="1"/>
    <x v="2"/>
    <x v="1"/>
    <x v="17"/>
    <x v="75"/>
    <x v="75"/>
    <x v="75"/>
    <x v="75"/>
    <x v="75"/>
    <x v="75"/>
    <x v="75"/>
    <x v="0"/>
    <x v="1"/>
    <x v="75"/>
    <x v="75"/>
    <x v="1"/>
  </r>
  <r>
    <x v="52"/>
    <x v="69"/>
    <x v="3"/>
    <x v="2"/>
    <x v="11"/>
    <x v="0"/>
    <x v="76"/>
    <x v="76"/>
    <x v="0"/>
    <x v="4"/>
    <x v="0"/>
    <x v="0"/>
    <x v="6"/>
    <x v="76"/>
    <x v="76"/>
    <x v="76"/>
    <x v="76"/>
    <x v="76"/>
    <x v="76"/>
    <x v="76"/>
    <x v="0"/>
    <x v="0"/>
    <x v="76"/>
    <x v="76"/>
    <x v="0"/>
  </r>
  <r>
    <x v="1"/>
    <x v="70"/>
    <x v="1"/>
    <x v="1"/>
    <x v="12"/>
    <x v="3"/>
    <x v="77"/>
    <x v="77"/>
    <x v="1"/>
    <x v="5"/>
    <x v="2"/>
    <x v="0"/>
    <x v="13"/>
    <x v="77"/>
    <x v="77"/>
    <x v="77"/>
    <x v="77"/>
    <x v="77"/>
    <x v="77"/>
    <x v="77"/>
    <x v="0"/>
    <x v="1"/>
    <x v="77"/>
    <x v="77"/>
    <x v="1"/>
  </r>
  <r>
    <x v="53"/>
    <x v="71"/>
    <x v="0"/>
    <x v="1"/>
    <x v="3"/>
    <x v="1"/>
    <x v="78"/>
    <x v="78"/>
    <x v="0"/>
    <x v="5"/>
    <x v="0"/>
    <x v="1"/>
    <x v="1"/>
    <x v="78"/>
    <x v="78"/>
    <x v="78"/>
    <x v="78"/>
    <x v="78"/>
    <x v="78"/>
    <x v="78"/>
    <x v="0"/>
    <x v="1"/>
    <x v="78"/>
    <x v="78"/>
    <x v="1"/>
  </r>
  <r>
    <x v="37"/>
    <x v="72"/>
    <x v="3"/>
    <x v="0"/>
    <x v="40"/>
    <x v="2"/>
    <x v="79"/>
    <x v="79"/>
    <x v="1"/>
    <x v="25"/>
    <x v="1"/>
    <x v="1"/>
    <x v="7"/>
    <x v="79"/>
    <x v="79"/>
    <x v="79"/>
    <x v="79"/>
    <x v="79"/>
    <x v="79"/>
    <x v="79"/>
    <x v="0"/>
    <x v="1"/>
    <x v="79"/>
    <x v="79"/>
    <x v="1"/>
  </r>
  <r>
    <x v="41"/>
    <x v="73"/>
    <x v="4"/>
    <x v="3"/>
    <x v="1"/>
    <x v="2"/>
    <x v="80"/>
    <x v="80"/>
    <x v="0"/>
    <x v="10"/>
    <x v="1"/>
    <x v="1"/>
    <x v="18"/>
    <x v="80"/>
    <x v="80"/>
    <x v="80"/>
    <x v="80"/>
    <x v="80"/>
    <x v="80"/>
    <x v="80"/>
    <x v="0"/>
    <x v="1"/>
    <x v="80"/>
    <x v="80"/>
    <x v="1"/>
  </r>
  <r>
    <x v="44"/>
    <x v="74"/>
    <x v="2"/>
    <x v="0"/>
    <x v="32"/>
    <x v="0"/>
    <x v="81"/>
    <x v="81"/>
    <x v="0"/>
    <x v="26"/>
    <x v="2"/>
    <x v="1"/>
    <x v="19"/>
    <x v="81"/>
    <x v="81"/>
    <x v="81"/>
    <x v="81"/>
    <x v="81"/>
    <x v="81"/>
    <x v="81"/>
    <x v="0"/>
    <x v="1"/>
    <x v="81"/>
    <x v="81"/>
    <x v="1"/>
  </r>
  <r>
    <x v="54"/>
    <x v="75"/>
    <x v="3"/>
    <x v="3"/>
    <x v="12"/>
    <x v="2"/>
    <x v="82"/>
    <x v="82"/>
    <x v="0"/>
    <x v="22"/>
    <x v="2"/>
    <x v="1"/>
    <x v="14"/>
    <x v="82"/>
    <x v="82"/>
    <x v="82"/>
    <x v="82"/>
    <x v="82"/>
    <x v="82"/>
    <x v="82"/>
    <x v="0"/>
    <x v="1"/>
    <x v="82"/>
    <x v="82"/>
    <x v="1"/>
  </r>
  <r>
    <x v="55"/>
    <x v="76"/>
    <x v="3"/>
    <x v="1"/>
    <x v="34"/>
    <x v="1"/>
    <x v="83"/>
    <x v="83"/>
    <x v="0"/>
    <x v="27"/>
    <x v="2"/>
    <x v="0"/>
    <x v="8"/>
    <x v="83"/>
    <x v="83"/>
    <x v="83"/>
    <x v="83"/>
    <x v="83"/>
    <x v="83"/>
    <x v="83"/>
    <x v="0"/>
    <x v="1"/>
    <x v="83"/>
    <x v="83"/>
    <x v="1"/>
  </r>
  <r>
    <x v="30"/>
    <x v="77"/>
    <x v="2"/>
    <x v="0"/>
    <x v="40"/>
    <x v="2"/>
    <x v="84"/>
    <x v="84"/>
    <x v="0"/>
    <x v="4"/>
    <x v="0"/>
    <x v="1"/>
    <x v="19"/>
    <x v="84"/>
    <x v="84"/>
    <x v="84"/>
    <x v="84"/>
    <x v="84"/>
    <x v="84"/>
    <x v="84"/>
    <x v="0"/>
    <x v="1"/>
    <x v="84"/>
    <x v="84"/>
    <x v="1"/>
  </r>
  <r>
    <x v="10"/>
    <x v="78"/>
    <x v="3"/>
    <x v="3"/>
    <x v="39"/>
    <x v="0"/>
    <x v="85"/>
    <x v="85"/>
    <x v="1"/>
    <x v="29"/>
    <x v="1"/>
    <x v="0"/>
    <x v="14"/>
    <x v="85"/>
    <x v="85"/>
    <x v="85"/>
    <x v="85"/>
    <x v="85"/>
    <x v="85"/>
    <x v="85"/>
    <x v="0"/>
    <x v="1"/>
    <x v="85"/>
    <x v="85"/>
    <x v="1"/>
  </r>
  <r>
    <x v="39"/>
    <x v="6"/>
    <x v="4"/>
    <x v="2"/>
    <x v="34"/>
    <x v="1"/>
    <x v="86"/>
    <x v="86"/>
    <x v="0"/>
    <x v="30"/>
    <x v="2"/>
    <x v="0"/>
    <x v="9"/>
    <x v="86"/>
    <x v="86"/>
    <x v="86"/>
    <x v="86"/>
    <x v="86"/>
    <x v="86"/>
    <x v="86"/>
    <x v="0"/>
    <x v="0"/>
    <x v="86"/>
    <x v="86"/>
    <x v="0"/>
  </r>
  <r>
    <x v="56"/>
    <x v="79"/>
    <x v="4"/>
    <x v="3"/>
    <x v="35"/>
    <x v="3"/>
    <x v="87"/>
    <x v="87"/>
    <x v="1"/>
    <x v="15"/>
    <x v="2"/>
    <x v="1"/>
    <x v="18"/>
    <x v="87"/>
    <x v="87"/>
    <x v="87"/>
    <x v="87"/>
    <x v="87"/>
    <x v="87"/>
    <x v="87"/>
    <x v="0"/>
    <x v="0"/>
    <x v="87"/>
    <x v="87"/>
    <x v="0"/>
  </r>
  <r>
    <x v="57"/>
    <x v="80"/>
    <x v="2"/>
    <x v="0"/>
    <x v="41"/>
    <x v="0"/>
    <x v="88"/>
    <x v="88"/>
    <x v="1"/>
    <x v="20"/>
    <x v="2"/>
    <x v="1"/>
    <x v="19"/>
    <x v="88"/>
    <x v="88"/>
    <x v="88"/>
    <x v="88"/>
    <x v="88"/>
    <x v="88"/>
    <x v="88"/>
    <x v="0"/>
    <x v="1"/>
    <x v="88"/>
    <x v="88"/>
    <x v="1"/>
  </r>
  <r>
    <x v="2"/>
    <x v="81"/>
    <x v="1"/>
    <x v="2"/>
    <x v="33"/>
    <x v="3"/>
    <x v="89"/>
    <x v="89"/>
    <x v="0"/>
    <x v="3"/>
    <x v="0"/>
    <x v="1"/>
    <x v="2"/>
    <x v="89"/>
    <x v="89"/>
    <x v="89"/>
    <x v="89"/>
    <x v="89"/>
    <x v="89"/>
    <x v="89"/>
    <x v="0"/>
    <x v="0"/>
    <x v="89"/>
    <x v="89"/>
    <x v="0"/>
  </r>
  <r>
    <x v="3"/>
    <x v="61"/>
    <x v="0"/>
    <x v="3"/>
    <x v="42"/>
    <x v="1"/>
    <x v="90"/>
    <x v="90"/>
    <x v="1"/>
    <x v="8"/>
    <x v="2"/>
    <x v="1"/>
    <x v="12"/>
    <x v="90"/>
    <x v="90"/>
    <x v="90"/>
    <x v="90"/>
    <x v="90"/>
    <x v="90"/>
    <x v="90"/>
    <x v="0"/>
    <x v="0"/>
    <x v="90"/>
    <x v="90"/>
    <x v="0"/>
  </r>
  <r>
    <x v="47"/>
    <x v="41"/>
    <x v="1"/>
    <x v="3"/>
    <x v="37"/>
    <x v="0"/>
    <x v="91"/>
    <x v="91"/>
    <x v="0"/>
    <x v="13"/>
    <x v="2"/>
    <x v="1"/>
    <x v="16"/>
    <x v="91"/>
    <x v="91"/>
    <x v="91"/>
    <x v="91"/>
    <x v="91"/>
    <x v="91"/>
    <x v="91"/>
    <x v="0"/>
    <x v="1"/>
    <x v="91"/>
    <x v="91"/>
    <x v="1"/>
  </r>
  <r>
    <x v="7"/>
    <x v="25"/>
    <x v="3"/>
    <x v="3"/>
    <x v="8"/>
    <x v="0"/>
    <x v="92"/>
    <x v="92"/>
    <x v="1"/>
    <x v="22"/>
    <x v="0"/>
    <x v="0"/>
    <x v="14"/>
    <x v="92"/>
    <x v="92"/>
    <x v="92"/>
    <x v="92"/>
    <x v="92"/>
    <x v="92"/>
    <x v="92"/>
    <x v="0"/>
    <x v="1"/>
    <x v="92"/>
    <x v="92"/>
    <x v="1"/>
  </r>
  <r>
    <x v="30"/>
    <x v="82"/>
    <x v="0"/>
    <x v="3"/>
    <x v="43"/>
    <x v="1"/>
    <x v="93"/>
    <x v="93"/>
    <x v="1"/>
    <x v="20"/>
    <x v="0"/>
    <x v="0"/>
    <x v="12"/>
    <x v="93"/>
    <x v="93"/>
    <x v="93"/>
    <x v="93"/>
    <x v="93"/>
    <x v="93"/>
    <x v="93"/>
    <x v="0"/>
    <x v="1"/>
    <x v="93"/>
    <x v="93"/>
    <x v="1"/>
  </r>
  <r>
    <x v="58"/>
    <x v="83"/>
    <x v="2"/>
    <x v="3"/>
    <x v="4"/>
    <x v="2"/>
    <x v="94"/>
    <x v="94"/>
    <x v="0"/>
    <x v="19"/>
    <x v="2"/>
    <x v="0"/>
    <x v="4"/>
    <x v="94"/>
    <x v="94"/>
    <x v="94"/>
    <x v="94"/>
    <x v="94"/>
    <x v="94"/>
    <x v="94"/>
    <x v="0"/>
    <x v="1"/>
    <x v="94"/>
    <x v="94"/>
    <x v="1"/>
  </r>
  <r>
    <x v="59"/>
    <x v="24"/>
    <x v="2"/>
    <x v="2"/>
    <x v="5"/>
    <x v="0"/>
    <x v="95"/>
    <x v="95"/>
    <x v="0"/>
    <x v="14"/>
    <x v="2"/>
    <x v="1"/>
    <x v="10"/>
    <x v="95"/>
    <x v="95"/>
    <x v="95"/>
    <x v="95"/>
    <x v="95"/>
    <x v="95"/>
    <x v="95"/>
    <x v="0"/>
    <x v="0"/>
    <x v="95"/>
    <x v="95"/>
    <x v="0"/>
  </r>
  <r>
    <x v="29"/>
    <x v="3"/>
    <x v="0"/>
    <x v="1"/>
    <x v="1"/>
    <x v="0"/>
    <x v="96"/>
    <x v="96"/>
    <x v="0"/>
    <x v="30"/>
    <x v="0"/>
    <x v="1"/>
    <x v="1"/>
    <x v="96"/>
    <x v="96"/>
    <x v="96"/>
    <x v="96"/>
    <x v="96"/>
    <x v="96"/>
    <x v="96"/>
    <x v="0"/>
    <x v="0"/>
    <x v="96"/>
    <x v="96"/>
    <x v="0"/>
  </r>
  <r>
    <x v="60"/>
    <x v="84"/>
    <x v="4"/>
    <x v="2"/>
    <x v="36"/>
    <x v="3"/>
    <x v="97"/>
    <x v="97"/>
    <x v="0"/>
    <x v="5"/>
    <x v="1"/>
    <x v="0"/>
    <x v="9"/>
    <x v="97"/>
    <x v="97"/>
    <x v="97"/>
    <x v="97"/>
    <x v="97"/>
    <x v="97"/>
    <x v="97"/>
    <x v="0"/>
    <x v="1"/>
    <x v="97"/>
    <x v="97"/>
    <x v="1"/>
  </r>
  <r>
    <x v="14"/>
    <x v="28"/>
    <x v="0"/>
    <x v="2"/>
    <x v="43"/>
    <x v="2"/>
    <x v="98"/>
    <x v="98"/>
    <x v="1"/>
    <x v="0"/>
    <x v="0"/>
    <x v="1"/>
    <x v="3"/>
    <x v="98"/>
    <x v="98"/>
    <x v="98"/>
    <x v="98"/>
    <x v="98"/>
    <x v="98"/>
    <x v="98"/>
    <x v="0"/>
    <x v="0"/>
    <x v="98"/>
    <x v="98"/>
    <x v="0"/>
  </r>
  <r>
    <x v="11"/>
    <x v="85"/>
    <x v="3"/>
    <x v="2"/>
    <x v="7"/>
    <x v="3"/>
    <x v="99"/>
    <x v="99"/>
    <x v="0"/>
    <x v="27"/>
    <x v="1"/>
    <x v="1"/>
    <x v="6"/>
    <x v="99"/>
    <x v="99"/>
    <x v="99"/>
    <x v="99"/>
    <x v="99"/>
    <x v="99"/>
    <x v="99"/>
    <x v="0"/>
    <x v="1"/>
    <x v="99"/>
    <x v="99"/>
    <x v="1"/>
  </r>
  <r>
    <x v="61"/>
    <x v="86"/>
    <x v="4"/>
    <x v="1"/>
    <x v="12"/>
    <x v="3"/>
    <x v="100"/>
    <x v="100"/>
    <x v="1"/>
    <x v="8"/>
    <x v="2"/>
    <x v="1"/>
    <x v="17"/>
    <x v="100"/>
    <x v="100"/>
    <x v="100"/>
    <x v="100"/>
    <x v="100"/>
    <x v="100"/>
    <x v="100"/>
    <x v="0"/>
    <x v="0"/>
    <x v="100"/>
    <x v="100"/>
    <x v="0"/>
  </r>
  <r>
    <x v="23"/>
    <x v="58"/>
    <x v="2"/>
    <x v="0"/>
    <x v="22"/>
    <x v="2"/>
    <x v="101"/>
    <x v="101"/>
    <x v="1"/>
    <x v="6"/>
    <x v="2"/>
    <x v="0"/>
    <x v="19"/>
    <x v="101"/>
    <x v="101"/>
    <x v="101"/>
    <x v="101"/>
    <x v="101"/>
    <x v="101"/>
    <x v="101"/>
    <x v="0"/>
    <x v="1"/>
    <x v="101"/>
    <x v="101"/>
    <x v="1"/>
  </r>
  <r>
    <x v="19"/>
    <x v="87"/>
    <x v="0"/>
    <x v="1"/>
    <x v="7"/>
    <x v="2"/>
    <x v="102"/>
    <x v="102"/>
    <x v="1"/>
    <x v="25"/>
    <x v="1"/>
    <x v="1"/>
    <x v="1"/>
    <x v="102"/>
    <x v="102"/>
    <x v="102"/>
    <x v="102"/>
    <x v="102"/>
    <x v="102"/>
    <x v="102"/>
    <x v="0"/>
    <x v="1"/>
    <x v="102"/>
    <x v="102"/>
    <x v="1"/>
  </r>
  <r>
    <x v="62"/>
    <x v="10"/>
    <x v="1"/>
    <x v="2"/>
    <x v="11"/>
    <x v="1"/>
    <x v="103"/>
    <x v="103"/>
    <x v="1"/>
    <x v="13"/>
    <x v="0"/>
    <x v="0"/>
    <x v="2"/>
    <x v="103"/>
    <x v="103"/>
    <x v="103"/>
    <x v="103"/>
    <x v="103"/>
    <x v="103"/>
    <x v="103"/>
    <x v="0"/>
    <x v="0"/>
    <x v="103"/>
    <x v="103"/>
    <x v="0"/>
  </r>
  <r>
    <x v="63"/>
    <x v="88"/>
    <x v="1"/>
    <x v="3"/>
    <x v="40"/>
    <x v="2"/>
    <x v="104"/>
    <x v="104"/>
    <x v="1"/>
    <x v="25"/>
    <x v="2"/>
    <x v="1"/>
    <x v="16"/>
    <x v="104"/>
    <x v="104"/>
    <x v="104"/>
    <x v="104"/>
    <x v="104"/>
    <x v="104"/>
    <x v="104"/>
    <x v="0"/>
    <x v="1"/>
    <x v="104"/>
    <x v="104"/>
    <x v="1"/>
  </r>
  <r>
    <x v="2"/>
    <x v="10"/>
    <x v="3"/>
    <x v="3"/>
    <x v="21"/>
    <x v="0"/>
    <x v="105"/>
    <x v="105"/>
    <x v="1"/>
    <x v="25"/>
    <x v="1"/>
    <x v="1"/>
    <x v="14"/>
    <x v="105"/>
    <x v="105"/>
    <x v="105"/>
    <x v="105"/>
    <x v="105"/>
    <x v="105"/>
    <x v="105"/>
    <x v="0"/>
    <x v="1"/>
    <x v="105"/>
    <x v="105"/>
    <x v="1"/>
  </r>
  <r>
    <x v="64"/>
    <x v="89"/>
    <x v="1"/>
    <x v="2"/>
    <x v="31"/>
    <x v="2"/>
    <x v="106"/>
    <x v="106"/>
    <x v="0"/>
    <x v="15"/>
    <x v="0"/>
    <x v="0"/>
    <x v="2"/>
    <x v="106"/>
    <x v="106"/>
    <x v="106"/>
    <x v="106"/>
    <x v="106"/>
    <x v="106"/>
    <x v="106"/>
    <x v="0"/>
    <x v="1"/>
    <x v="106"/>
    <x v="106"/>
    <x v="1"/>
  </r>
  <r>
    <x v="65"/>
    <x v="90"/>
    <x v="0"/>
    <x v="3"/>
    <x v="0"/>
    <x v="1"/>
    <x v="107"/>
    <x v="107"/>
    <x v="1"/>
    <x v="3"/>
    <x v="1"/>
    <x v="1"/>
    <x v="12"/>
    <x v="107"/>
    <x v="107"/>
    <x v="107"/>
    <x v="107"/>
    <x v="107"/>
    <x v="107"/>
    <x v="107"/>
    <x v="0"/>
    <x v="0"/>
    <x v="107"/>
    <x v="107"/>
    <x v="0"/>
  </r>
  <r>
    <x v="23"/>
    <x v="91"/>
    <x v="0"/>
    <x v="2"/>
    <x v="10"/>
    <x v="1"/>
    <x v="108"/>
    <x v="108"/>
    <x v="1"/>
    <x v="21"/>
    <x v="0"/>
    <x v="1"/>
    <x v="3"/>
    <x v="108"/>
    <x v="108"/>
    <x v="108"/>
    <x v="108"/>
    <x v="108"/>
    <x v="108"/>
    <x v="108"/>
    <x v="0"/>
    <x v="0"/>
    <x v="108"/>
    <x v="108"/>
    <x v="0"/>
  </r>
  <r>
    <x v="43"/>
    <x v="92"/>
    <x v="1"/>
    <x v="3"/>
    <x v="11"/>
    <x v="1"/>
    <x v="109"/>
    <x v="109"/>
    <x v="1"/>
    <x v="9"/>
    <x v="0"/>
    <x v="1"/>
    <x v="16"/>
    <x v="109"/>
    <x v="109"/>
    <x v="109"/>
    <x v="109"/>
    <x v="109"/>
    <x v="109"/>
    <x v="109"/>
    <x v="0"/>
    <x v="0"/>
    <x v="109"/>
    <x v="109"/>
    <x v="0"/>
  </r>
  <r>
    <x v="40"/>
    <x v="14"/>
    <x v="0"/>
    <x v="1"/>
    <x v="19"/>
    <x v="2"/>
    <x v="110"/>
    <x v="110"/>
    <x v="0"/>
    <x v="1"/>
    <x v="0"/>
    <x v="0"/>
    <x v="1"/>
    <x v="110"/>
    <x v="110"/>
    <x v="110"/>
    <x v="110"/>
    <x v="110"/>
    <x v="110"/>
    <x v="110"/>
    <x v="0"/>
    <x v="0"/>
    <x v="110"/>
    <x v="110"/>
    <x v="0"/>
  </r>
  <r>
    <x v="9"/>
    <x v="93"/>
    <x v="3"/>
    <x v="0"/>
    <x v="26"/>
    <x v="2"/>
    <x v="111"/>
    <x v="111"/>
    <x v="0"/>
    <x v="25"/>
    <x v="0"/>
    <x v="1"/>
    <x v="7"/>
    <x v="111"/>
    <x v="111"/>
    <x v="111"/>
    <x v="111"/>
    <x v="111"/>
    <x v="111"/>
    <x v="111"/>
    <x v="0"/>
    <x v="1"/>
    <x v="111"/>
    <x v="111"/>
    <x v="1"/>
  </r>
  <r>
    <x v="66"/>
    <x v="94"/>
    <x v="4"/>
    <x v="0"/>
    <x v="29"/>
    <x v="3"/>
    <x v="112"/>
    <x v="112"/>
    <x v="1"/>
    <x v="0"/>
    <x v="1"/>
    <x v="1"/>
    <x v="15"/>
    <x v="112"/>
    <x v="112"/>
    <x v="112"/>
    <x v="112"/>
    <x v="112"/>
    <x v="112"/>
    <x v="112"/>
    <x v="0"/>
    <x v="1"/>
    <x v="112"/>
    <x v="112"/>
    <x v="1"/>
  </r>
  <r>
    <x v="45"/>
    <x v="95"/>
    <x v="3"/>
    <x v="1"/>
    <x v="38"/>
    <x v="3"/>
    <x v="113"/>
    <x v="113"/>
    <x v="0"/>
    <x v="5"/>
    <x v="1"/>
    <x v="1"/>
    <x v="8"/>
    <x v="113"/>
    <x v="113"/>
    <x v="113"/>
    <x v="113"/>
    <x v="113"/>
    <x v="113"/>
    <x v="113"/>
    <x v="0"/>
    <x v="1"/>
    <x v="113"/>
    <x v="113"/>
    <x v="1"/>
  </r>
  <r>
    <x v="9"/>
    <x v="96"/>
    <x v="3"/>
    <x v="1"/>
    <x v="25"/>
    <x v="0"/>
    <x v="114"/>
    <x v="114"/>
    <x v="1"/>
    <x v="16"/>
    <x v="1"/>
    <x v="1"/>
    <x v="8"/>
    <x v="114"/>
    <x v="114"/>
    <x v="114"/>
    <x v="114"/>
    <x v="114"/>
    <x v="114"/>
    <x v="114"/>
    <x v="0"/>
    <x v="1"/>
    <x v="114"/>
    <x v="114"/>
    <x v="1"/>
  </r>
  <r>
    <x v="53"/>
    <x v="97"/>
    <x v="0"/>
    <x v="2"/>
    <x v="41"/>
    <x v="3"/>
    <x v="115"/>
    <x v="115"/>
    <x v="0"/>
    <x v="0"/>
    <x v="1"/>
    <x v="1"/>
    <x v="3"/>
    <x v="115"/>
    <x v="115"/>
    <x v="115"/>
    <x v="115"/>
    <x v="115"/>
    <x v="115"/>
    <x v="115"/>
    <x v="0"/>
    <x v="0"/>
    <x v="115"/>
    <x v="115"/>
    <x v="0"/>
  </r>
  <r>
    <x v="67"/>
    <x v="98"/>
    <x v="4"/>
    <x v="2"/>
    <x v="34"/>
    <x v="0"/>
    <x v="116"/>
    <x v="116"/>
    <x v="1"/>
    <x v="18"/>
    <x v="1"/>
    <x v="0"/>
    <x v="9"/>
    <x v="116"/>
    <x v="116"/>
    <x v="116"/>
    <x v="116"/>
    <x v="116"/>
    <x v="116"/>
    <x v="116"/>
    <x v="0"/>
    <x v="1"/>
    <x v="116"/>
    <x v="116"/>
    <x v="1"/>
  </r>
  <r>
    <x v="48"/>
    <x v="99"/>
    <x v="0"/>
    <x v="2"/>
    <x v="16"/>
    <x v="1"/>
    <x v="117"/>
    <x v="117"/>
    <x v="0"/>
    <x v="21"/>
    <x v="0"/>
    <x v="0"/>
    <x v="3"/>
    <x v="117"/>
    <x v="117"/>
    <x v="117"/>
    <x v="117"/>
    <x v="117"/>
    <x v="117"/>
    <x v="117"/>
    <x v="0"/>
    <x v="0"/>
    <x v="117"/>
    <x v="117"/>
    <x v="0"/>
  </r>
  <r>
    <x v="45"/>
    <x v="100"/>
    <x v="2"/>
    <x v="3"/>
    <x v="30"/>
    <x v="3"/>
    <x v="118"/>
    <x v="118"/>
    <x v="0"/>
    <x v="13"/>
    <x v="2"/>
    <x v="1"/>
    <x v="4"/>
    <x v="118"/>
    <x v="118"/>
    <x v="118"/>
    <x v="118"/>
    <x v="118"/>
    <x v="118"/>
    <x v="118"/>
    <x v="0"/>
    <x v="0"/>
    <x v="118"/>
    <x v="118"/>
    <x v="0"/>
  </r>
  <r>
    <x v="46"/>
    <x v="101"/>
    <x v="0"/>
    <x v="2"/>
    <x v="14"/>
    <x v="2"/>
    <x v="119"/>
    <x v="119"/>
    <x v="0"/>
    <x v="9"/>
    <x v="2"/>
    <x v="1"/>
    <x v="3"/>
    <x v="119"/>
    <x v="119"/>
    <x v="119"/>
    <x v="119"/>
    <x v="119"/>
    <x v="119"/>
    <x v="119"/>
    <x v="0"/>
    <x v="1"/>
    <x v="119"/>
    <x v="119"/>
    <x v="1"/>
  </r>
  <r>
    <x v="46"/>
    <x v="42"/>
    <x v="0"/>
    <x v="1"/>
    <x v="20"/>
    <x v="3"/>
    <x v="120"/>
    <x v="120"/>
    <x v="1"/>
    <x v="18"/>
    <x v="1"/>
    <x v="0"/>
    <x v="1"/>
    <x v="120"/>
    <x v="120"/>
    <x v="120"/>
    <x v="120"/>
    <x v="120"/>
    <x v="120"/>
    <x v="120"/>
    <x v="0"/>
    <x v="1"/>
    <x v="120"/>
    <x v="120"/>
    <x v="1"/>
  </r>
  <r>
    <x v="20"/>
    <x v="102"/>
    <x v="0"/>
    <x v="0"/>
    <x v="25"/>
    <x v="0"/>
    <x v="121"/>
    <x v="121"/>
    <x v="1"/>
    <x v="2"/>
    <x v="1"/>
    <x v="1"/>
    <x v="0"/>
    <x v="121"/>
    <x v="121"/>
    <x v="121"/>
    <x v="121"/>
    <x v="121"/>
    <x v="121"/>
    <x v="121"/>
    <x v="0"/>
    <x v="1"/>
    <x v="121"/>
    <x v="121"/>
    <x v="1"/>
  </r>
  <r>
    <x v="68"/>
    <x v="103"/>
    <x v="4"/>
    <x v="3"/>
    <x v="26"/>
    <x v="3"/>
    <x v="122"/>
    <x v="122"/>
    <x v="1"/>
    <x v="14"/>
    <x v="2"/>
    <x v="1"/>
    <x v="18"/>
    <x v="122"/>
    <x v="122"/>
    <x v="122"/>
    <x v="122"/>
    <x v="122"/>
    <x v="122"/>
    <x v="122"/>
    <x v="0"/>
    <x v="0"/>
    <x v="122"/>
    <x v="122"/>
    <x v="0"/>
  </r>
  <r>
    <x v="62"/>
    <x v="104"/>
    <x v="0"/>
    <x v="2"/>
    <x v="17"/>
    <x v="1"/>
    <x v="123"/>
    <x v="123"/>
    <x v="0"/>
    <x v="22"/>
    <x v="0"/>
    <x v="1"/>
    <x v="3"/>
    <x v="123"/>
    <x v="123"/>
    <x v="123"/>
    <x v="123"/>
    <x v="123"/>
    <x v="123"/>
    <x v="123"/>
    <x v="0"/>
    <x v="1"/>
    <x v="123"/>
    <x v="123"/>
    <x v="1"/>
  </r>
  <r>
    <x v="69"/>
    <x v="5"/>
    <x v="4"/>
    <x v="3"/>
    <x v="38"/>
    <x v="2"/>
    <x v="124"/>
    <x v="124"/>
    <x v="0"/>
    <x v="28"/>
    <x v="1"/>
    <x v="1"/>
    <x v="18"/>
    <x v="124"/>
    <x v="124"/>
    <x v="124"/>
    <x v="124"/>
    <x v="124"/>
    <x v="124"/>
    <x v="124"/>
    <x v="0"/>
    <x v="1"/>
    <x v="124"/>
    <x v="124"/>
    <x v="1"/>
  </r>
  <r>
    <x v="34"/>
    <x v="103"/>
    <x v="1"/>
    <x v="3"/>
    <x v="28"/>
    <x v="0"/>
    <x v="125"/>
    <x v="125"/>
    <x v="1"/>
    <x v="20"/>
    <x v="0"/>
    <x v="1"/>
    <x v="16"/>
    <x v="125"/>
    <x v="125"/>
    <x v="125"/>
    <x v="125"/>
    <x v="125"/>
    <x v="125"/>
    <x v="125"/>
    <x v="0"/>
    <x v="0"/>
    <x v="125"/>
    <x v="125"/>
    <x v="0"/>
  </r>
  <r>
    <x v="35"/>
    <x v="87"/>
    <x v="2"/>
    <x v="2"/>
    <x v="27"/>
    <x v="2"/>
    <x v="126"/>
    <x v="126"/>
    <x v="0"/>
    <x v="3"/>
    <x v="2"/>
    <x v="1"/>
    <x v="10"/>
    <x v="126"/>
    <x v="126"/>
    <x v="126"/>
    <x v="126"/>
    <x v="126"/>
    <x v="126"/>
    <x v="126"/>
    <x v="0"/>
    <x v="1"/>
    <x v="126"/>
    <x v="126"/>
    <x v="1"/>
  </r>
  <r>
    <x v="3"/>
    <x v="90"/>
    <x v="4"/>
    <x v="3"/>
    <x v="44"/>
    <x v="2"/>
    <x v="127"/>
    <x v="127"/>
    <x v="1"/>
    <x v="29"/>
    <x v="2"/>
    <x v="1"/>
    <x v="18"/>
    <x v="127"/>
    <x v="127"/>
    <x v="127"/>
    <x v="127"/>
    <x v="127"/>
    <x v="127"/>
    <x v="127"/>
    <x v="0"/>
    <x v="0"/>
    <x v="127"/>
    <x v="127"/>
    <x v="0"/>
  </r>
  <r>
    <x v="70"/>
    <x v="105"/>
    <x v="1"/>
    <x v="0"/>
    <x v="24"/>
    <x v="0"/>
    <x v="128"/>
    <x v="128"/>
    <x v="1"/>
    <x v="5"/>
    <x v="1"/>
    <x v="1"/>
    <x v="11"/>
    <x v="128"/>
    <x v="128"/>
    <x v="128"/>
    <x v="128"/>
    <x v="128"/>
    <x v="128"/>
    <x v="128"/>
    <x v="0"/>
    <x v="1"/>
    <x v="128"/>
    <x v="128"/>
    <x v="1"/>
  </r>
  <r>
    <x v="54"/>
    <x v="106"/>
    <x v="4"/>
    <x v="1"/>
    <x v="45"/>
    <x v="2"/>
    <x v="129"/>
    <x v="129"/>
    <x v="1"/>
    <x v="18"/>
    <x v="0"/>
    <x v="0"/>
    <x v="17"/>
    <x v="129"/>
    <x v="129"/>
    <x v="129"/>
    <x v="129"/>
    <x v="129"/>
    <x v="129"/>
    <x v="129"/>
    <x v="0"/>
    <x v="0"/>
    <x v="129"/>
    <x v="129"/>
    <x v="0"/>
  </r>
  <r>
    <x v="20"/>
    <x v="107"/>
    <x v="4"/>
    <x v="1"/>
    <x v="38"/>
    <x v="2"/>
    <x v="130"/>
    <x v="130"/>
    <x v="1"/>
    <x v="18"/>
    <x v="1"/>
    <x v="0"/>
    <x v="17"/>
    <x v="130"/>
    <x v="130"/>
    <x v="130"/>
    <x v="130"/>
    <x v="130"/>
    <x v="130"/>
    <x v="130"/>
    <x v="0"/>
    <x v="1"/>
    <x v="130"/>
    <x v="130"/>
    <x v="1"/>
  </r>
  <r>
    <x v="57"/>
    <x v="108"/>
    <x v="2"/>
    <x v="0"/>
    <x v="31"/>
    <x v="3"/>
    <x v="131"/>
    <x v="131"/>
    <x v="0"/>
    <x v="9"/>
    <x v="2"/>
    <x v="1"/>
    <x v="19"/>
    <x v="131"/>
    <x v="131"/>
    <x v="131"/>
    <x v="131"/>
    <x v="131"/>
    <x v="131"/>
    <x v="131"/>
    <x v="0"/>
    <x v="1"/>
    <x v="131"/>
    <x v="131"/>
    <x v="1"/>
  </r>
  <r>
    <x v="71"/>
    <x v="109"/>
    <x v="3"/>
    <x v="3"/>
    <x v="14"/>
    <x v="2"/>
    <x v="132"/>
    <x v="132"/>
    <x v="0"/>
    <x v="26"/>
    <x v="0"/>
    <x v="1"/>
    <x v="14"/>
    <x v="132"/>
    <x v="132"/>
    <x v="132"/>
    <x v="132"/>
    <x v="132"/>
    <x v="132"/>
    <x v="132"/>
    <x v="0"/>
    <x v="1"/>
    <x v="132"/>
    <x v="132"/>
    <x v="1"/>
  </r>
  <r>
    <x v="30"/>
    <x v="110"/>
    <x v="3"/>
    <x v="2"/>
    <x v="42"/>
    <x v="2"/>
    <x v="133"/>
    <x v="133"/>
    <x v="0"/>
    <x v="26"/>
    <x v="1"/>
    <x v="1"/>
    <x v="6"/>
    <x v="133"/>
    <x v="133"/>
    <x v="133"/>
    <x v="133"/>
    <x v="133"/>
    <x v="133"/>
    <x v="133"/>
    <x v="0"/>
    <x v="1"/>
    <x v="133"/>
    <x v="133"/>
    <x v="1"/>
  </r>
  <r>
    <x v="9"/>
    <x v="111"/>
    <x v="4"/>
    <x v="3"/>
    <x v="46"/>
    <x v="2"/>
    <x v="134"/>
    <x v="134"/>
    <x v="1"/>
    <x v="28"/>
    <x v="1"/>
    <x v="1"/>
    <x v="18"/>
    <x v="134"/>
    <x v="134"/>
    <x v="134"/>
    <x v="134"/>
    <x v="134"/>
    <x v="134"/>
    <x v="134"/>
    <x v="0"/>
    <x v="1"/>
    <x v="134"/>
    <x v="134"/>
    <x v="1"/>
  </r>
  <r>
    <x v="72"/>
    <x v="112"/>
    <x v="0"/>
    <x v="0"/>
    <x v="11"/>
    <x v="2"/>
    <x v="135"/>
    <x v="135"/>
    <x v="0"/>
    <x v="16"/>
    <x v="1"/>
    <x v="0"/>
    <x v="0"/>
    <x v="135"/>
    <x v="135"/>
    <x v="135"/>
    <x v="135"/>
    <x v="135"/>
    <x v="135"/>
    <x v="135"/>
    <x v="0"/>
    <x v="1"/>
    <x v="135"/>
    <x v="135"/>
    <x v="1"/>
  </r>
  <r>
    <x v="73"/>
    <x v="113"/>
    <x v="1"/>
    <x v="3"/>
    <x v="15"/>
    <x v="0"/>
    <x v="136"/>
    <x v="136"/>
    <x v="1"/>
    <x v="11"/>
    <x v="2"/>
    <x v="0"/>
    <x v="16"/>
    <x v="136"/>
    <x v="136"/>
    <x v="136"/>
    <x v="136"/>
    <x v="136"/>
    <x v="136"/>
    <x v="136"/>
    <x v="0"/>
    <x v="0"/>
    <x v="136"/>
    <x v="136"/>
    <x v="0"/>
  </r>
  <r>
    <x v="44"/>
    <x v="114"/>
    <x v="0"/>
    <x v="1"/>
    <x v="12"/>
    <x v="1"/>
    <x v="137"/>
    <x v="137"/>
    <x v="1"/>
    <x v="30"/>
    <x v="1"/>
    <x v="0"/>
    <x v="1"/>
    <x v="137"/>
    <x v="137"/>
    <x v="137"/>
    <x v="137"/>
    <x v="137"/>
    <x v="137"/>
    <x v="137"/>
    <x v="0"/>
    <x v="0"/>
    <x v="137"/>
    <x v="137"/>
    <x v="0"/>
  </r>
  <r>
    <x v="74"/>
    <x v="115"/>
    <x v="0"/>
    <x v="3"/>
    <x v="45"/>
    <x v="3"/>
    <x v="138"/>
    <x v="138"/>
    <x v="1"/>
    <x v="29"/>
    <x v="0"/>
    <x v="0"/>
    <x v="12"/>
    <x v="138"/>
    <x v="138"/>
    <x v="138"/>
    <x v="138"/>
    <x v="138"/>
    <x v="138"/>
    <x v="138"/>
    <x v="0"/>
    <x v="1"/>
    <x v="138"/>
    <x v="138"/>
    <x v="1"/>
  </r>
  <r>
    <x v="25"/>
    <x v="116"/>
    <x v="4"/>
    <x v="0"/>
    <x v="38"/>
    <x v="2"/>
    <x v="139"/>
    <x v="139"/>
    <x v="1"/>
    <x v="10"/>
    <x v="1"/>
    <x v="1"/>
    <x v="15"/>
    <x v="139"/>
    <x v="139"/>
    <x v="139"/>
    <x v="139"/>
    <x v="139"/>
    <x v="139"/>
    <x v="139"/>
    <x v="0"/>
    <x v="1"/>
    <x v="139"/>
    <x v="139"/>
    <x v="1"/>
  </r>
  <r>
    <x v="46"/>
    <x v="53"/>
    <x v="4"/>
    <x v="1"/>
    <x v="47"/>
    <x v="2"/>
    <x v="140"/>
    <x v="140"/>
    <x v="1"/>
    <x v="6"/>
    <x v="2"/>
    <x v="1"/>
    <x v="17"/>
    <x v="140"/>
    <x v="140"/>
    <x v="140"/>
    <x v="140"/>
    <x v="140"/>
    <x v="140"/>
    <x v="140"/>
    <x v="0"/>
    <x v="1"/>
    <x v="140"/>
    <x v="140"/>
    <x v="1"/>
  </r>
  <r>
    <x v="65"/>
    <x v="117"/>
    <x v="4"/>
    <x v="3"/>
    <x v="45"/>
    <x v="0"/>
    <x v="141"/>
    <x v="141"/>
    <x v="1"/>
    <x v="10"/>
    <x v="1"/>
    <x v="1"/>
    <x v="18"/>
    <x v="141"/>
    <x v="141"/>
    <x v="141"/>
    <x v="141"/>
    <x v="141"/>
    <x v="141"/>
    <x v="141"/>
    <x v="0"/>
    <x v="1"/>
    <x v="141"/>
    <x v="141"/>
    <x v="1"/>
  </r>
  <r>
    <x v="73"/>
    <x v="106"/>
    <x v="4"/>
    <x v="3"/>
    <x v="30"/>
    <x v="1"/>
    <x v="142"/>
    <x v="142"/>
    <x v="0"/>
    <x v="12"/>
    <x v="2"/>
    <x v="0"/>
    <x v="18"/>
    <x v="142"/>
    <x v="142"/>
    <x v="142"/>
    <x v="142"/>
    <x v="142"/>
    <x v="142"/>
    <x v="142"/>
    <x v="0"/>
    <x v="1"/>
    <x v="142"/>
    <x v="142"/>
    <x v="1"/>
  </r>
  <r>
    <x v="31"/>
    <x v="106"/>
    <x v="3"/>
    <x v="1"/>
    <x v="25"/>
    <x v="2"/>
    <x v="143"/>
    <x v="143"/>
    <x v="0"/>
    <x v="10"/>
    <x v="2"/>
    <x v="1"/>
    <x v="8"/>
    <x v="143"/>
    <x v="143"/>
    <x v="143"/>
    <x v="143"/>
    <x v="143"/>
    <x v="143"/>
    <x v="143"/>
    <x v="0"/>
    <x v="1"/>
    <x v="143"/>
    <x v="143"/>
    <x v="1"/>
  </r>
  <r>
    <x v="47"/>
    <x v="118"/>
    <x v="4"/>
    <x v="2"/>
    <x v="37"/>
    <x v="0"/>
    <x v="144"/>
    <x v="144"/>
    <x v="0"/>
    <x v="26"/>
    <x v="0"/>
    <x v="1"/>
    <x v="9"/>
    <x v="144"/>
    <x v="144"/>
    <x v="144"/>
    <x v="144"/>
    <x v="144"/>
    <x v="144"/>
    <x v="144"/>
    <x v="0"/>
    <x v="1"/>
    <x v="144"/>
    <x v="144"/>
    <x v="1"/>
  </r>
  <r>
    <x v="12"/>
    <x v="18"/>
    <x v="3"/>
    <x v="1"/>
    <x v="13"/>
    <x v="3"/>
    <x v="145"/>
    <x v="145"/>
    <x v="0"/>
    <x v="10"/>
    <x v="0"/>
    <x v="0"/>
    <x v="8"/>
    <x v="145"/>
    <x v="145"/>
    <x v="145"/>
    <x v="145"/>
    <x v="145"/>
    <x v="145"/>
    <x v="145"/>
    <x v="0"/>
    <x v="1"/>
    <x v="145"/>
    <x v="145"/>
    <x v="1"/>
  </r>
  <r>
    <x v="66"/>
    <x v="39"/>
    <x v="3"/>
    <x v="2"/>
    <x v="22"/>
    <x v="3"/>
    <x v="146"/>
    <x v="146"/>
    <x v="1"/>
    <x v="8"/>
    <x v="1"/>
    <x v="0"/>
    <x v="6"/>
    <x v="146"/>
    <x v="146"/>
    <x v="146"/>
    <x v="146"/>
    <x v="146"/>
    <x v="146"/>
    <x v="146"/>
    <x v="0"/>
    <x v="0"/>
    <x v="146"/>
    <x v="146"/>
    <x v="0"/>
  </r>
  <r>
    <x v="68"/>
    <x v="119"/>
    <x v="4"/>
    <x v="0"/>
    <x v="26"/>
    <x v="2"/>
    <x v="147"/>
    <x v="147"/>
    <x v="1"/>
    <x v="26"/>
    <x v="2"/>
    <x v="0"/>
    <x v="15"/>
    <x v="147"/>
    <x v="147"/>
    <x v="147"/>
    <x v="147"/>
    <x v="147"/>
    <x v="147"/>
    <x v="147"/>
    <x v="0"/>
    <x v="0"/>
    <x v="147"/>
    <x v="147"/>
    <x v="0"/>
  </r>
  <r>
    <x v="41"/>
    <x v="109"/>
    <x v="2"/>
    <x v="0"/>
    <x v="36"/>
    <x v="2"/>
    <x v="148"/>
    <x v="148"/>
    <x v="0"/>
    <x v="18"/>
    <x v="2"/>
    <x v="0"/>
    <x v="19"/>
    <x v="148"/>
    <x v="148"/>
    <x v="148"/>
    <x v="148"/>
    <x v="148"/>
    <x v="148"/>
    <x v="148"/>
    <x v="0"/>
    <x v="1"/>
    <x v="148"/>
    <x v="148"/>
    <x v="1"/>
  </r>
  <r>
    <x v="39"/>
    <x v="5"/>
    <x v="1"/>
    <x v="1"/>
    <x v="16"/>
    <x v="1"/>
    <x v="149"/>
    <x v="149"/>
    <x v="0"/>
    <x v="29"/>
    <x v="0"/>
    <x v="0"/>
    <x v="13"/>
    <x v="149"/>
    <x v="149"/>
    <x v="149"/>
    <x v="149"/>
    <x v="149"/>
    <x v="149"/>
    <x v="149"/>
    <x v="0"/>
    <x v="1"/>
    <x v="149"/>
    <x v="149"/>
    <x v="1"/>
  </r>
  <r>
    <x v="75"/>
    <x v="120"/>
    <x v="0"/>
    <x v="1"/>
    <x v="42"/>
    <x v="1"/>
    <x v="150"/>
    <x v="150"/>
    <x v="0"/>
    <x v="6"/>
    <x v="0"/>
    <x v="1"/>
    <x v="1"/>
    <x v="150"/>
    <x v="150"/>
    <x v="150"/>
    <x v="150"/>
    <x v="150"/>
    <x v="150"/>
    <x v="150"/>
    <x v="0"/>
    <x v="0"/>
    <x v="150"/>
    <x v="150"/>
    <x v="0"/>
  </r>
  <r>
    <x v="40"/>
    <x v="1"/>
    <x v="3"/>
    <x v="0"/>
    <x v="20"/>
    <x v="2"/>
    <x v="151"/>
    <x v="151"/>
    <x v="0"/>
    <x v="2"/>
    <x v="1"/>
    <x v="1"/>
    <x v="7"/>
    <x v="151"/>
    <x v="151"/>
    <x v="151"/>
    <x v="151"/>
    <x v="151"/>
    <x v="151"/>
    <x v="151"/>
    <x v="0"/>
    <x v="0"/>
    <x v="151"/>
    <x v="151"/>
    <x v="0"/>
  </r>
  <r>
    <x v="76"/>
    <x v="121"/>
    <x v="1"/>
    <x v="2"/>
    <x v="24"/>
    <x v="0"/>
    <x v="152"/>
    <x v="152"/>
    <x v="0"/>
    <x v="25"/>
    <x v="2"/>
    <x v="0"/>
    <x v="2"/>
    <x v="152"/>
    <x v="152"/>
    <x v="152"/>
    <x v="152"/>
    <x v="152"/>
    <x v="152"/>
    <x v="152"/>
    <x v="0"/>
    <x v="1"/>
    <x v="152"/>
    <x v="152"/>
    <x v="1"/>
  </r>
  <r>
    <x v="2"/>
    <x v="15"/>
    <x v="2"/>
    <x v="0"/>
    <x v="18"/>
    <x v="1"/>
    <x v="153"/>
    <x v="153"/>
    <x v="0"/>
    <x v="21"/>
    <x v="0"/>
    <x v="1"/>
    <x v="19"/>
    <x v="153"/>
    <x v="153"/>
    <x v="153"/>
    <x v="153"/>
    <x v="153"/>
    <x v="153"/>
    <x v="153"/>
    <x v="0"/>
    <x v="1"/>
    <x v="153"/>
    <x v="153"/>
    <x v="1"/>
  </r>
  <r>
    <x v="41"/>
    <x v="122"/>
    <x v="0"/>
    <x v="1"/>
    <x v="17"/>
    <x v="2"/>
    <x v="154"/>
    <x v="154"/>
    <x v="0"/>
    <x v="0"/>
    <x v="1"/>
    <x v="1"/>
    <x v="1"/>
    <x v="154"/>
    <x v="154"/>
    <x v="154"/>
    <x v="154"/>
    <x v="154"/>
    <x v="154"/>
    <x v="154"/>
    <x v="0"/>
    <x v="0"/>
    <x v="154"/>
    <x v="154"/>
    <x v="0"/>
  </r>
  <r>
    <x v="27"/>
    <x v="121"/>
    <x v="0"/>
    <x v="0"/>
    <x v="46"/>
    <x v="1"/>
    <x v="155"/>
    <x v="155"/>
    <x v="0"/>
    <x v="23"/>
    <x v="2"/>
    <x v="1"/>
    <x v="0"/>
    <x v="155"/>
    <x v="155"/>
    <x v="155"/>
    <x v="155"/>
    <x v="155"/>
    <x v="155"/>
    <x v="155"/>
    <x v="0"/>
    <x v="1"/>
    <x v="155"/>
    <x v="155"/>
    <x v="1"/>
  </r>
  <r>
    <x v="77"/>
    <x v="61"/>
    <x v="3"/>
    <x v="1"/>
    <x v="26"/>
    <x v="2"/>
    <x v="156"/>
    <x v="156"/>
    <x v="1"/>
    <x v="12"/>
    <x v="2"/>
    <x v="1"/>
    <x v="8"/>
    <x v="156"/>
    <x v="156"/>
    <x v="156"/>
    <x v="156"/>
    <x v="156"/>
    <x v="156"/>
    <x v="156"/>
    <x v="0"/>
    <x v="1"/>
    <x v="156"/>
    <x v="156"/>
    <x v="1"/>
  </r>
  <r>
    <x v="32"/>
    <x v="123"/>
    <x v="4"/>
    <x v="1"/>
    <x v="18"/>
    <x v="3"/>
    <x v="157"/>
    <x v="157"/>
    <x v="1"/>
    <x v="15"/>
    <x v="0"/>
    <x v="0"/>
    <x v="17"/>
    <x v="157"/>
    <x v="157"/>
    <x v="157"/>
    <x v="157"/>
    <x v="157"/>
    <x v="157"/>
    <x v="157"/>
    <x v="0"/>
    <x v="1"/>
    <x v="157"/>
    <x v="157"/>
    <x v="1"/>
  </r>
  <r>
    <x v="53"/>
    <x v="15"/>
    <x v="2"/>
    <x v="0"/>
    <x v="41"/>
    <x v="2"/>
    <x v="158"/>
    <x v="158"/>
    <x v="1"/>
    <x v="23"/>
    <x v="1"/>
    <x v="1"/>
    <x v="19"/>
    <x v="158"/>
    <x v="158"/>
    <x v="158"/>
    <x v="158"/>
    <x v="158"/>
    <x v="158"/>
    <x v="158"/>
    <x v="0"/>
    <x v="1"/>
    <x v="158"/>
    <x v="158"/>
    <x v="1"/>
  </r>
  <r>
    <x v="78"/>
    <x v="124"/>
    <x v="3"/>
    <x v="2"/>
    <x v="18"/>
    <x v="3"/>
    <x v="159"/>
    <x v="159"/>
    <x v="1"/>
    <x v="26"/>
    <x v="0"/>
    <x v="1"/>
    <x v="6"/>
    <x v="159"/>
    <x v="159"/>
    <x v="159"/>
    <x v="159"/>
    <x v="159"/>
    <x v="159"/>
    <x v="159"/>
    <x v="0"/>
    <x v="0"/>
    <x v="159"/>
    <x v="159"/>
    <x v="0"/>
  </r>
  <r>
    <x v="0"/>
    <x v="125"/>
    <x v="2"/>
    <x v="3"/>
    <x v="10"/>
    <x v="1"/>
    <x v="160"/>
    <x v="160"/>
    <x v="0"/>
    <x v="13"/>
    <x v="1"/>
    <x v="1"/>
    <x v="4"/>
    <x v="160"/>
    <x v="160"/>
    <x v="160"/>
    <x v="160"/>
    <x v="160"/>
    <x v="160"/>
    <x v="160"/>
    <x v="0"/>
    <x v="1"/>
    <x v="160"/>
    <x v="160"/>
    <x v="1"/>
  </r>
  <r>
    <x v="78"/>
    <x v="126"/>
    <x v="4"/>
    <x v="0"/>
    <x v="10"/>
    <x v="2"/>
    <x v="161"/>
    <x v="161"/>
    <x v="1"/>
    <x v="30"/>
    <x v="2"/>
    <x v="0"/>
    <x v="15"/>
    <x v="161"/>
    <x v="161"/>
    <x v="161"/>
    <x v="161"/>
    <x v="161"/>
    <x v="161"/>
    <x v="161"/>
    <x v="0"/>
    <x v="0"/>
    <x v="161"/>
    <x v="161"/>
    <x v="0"/>
  </r>
  <r>
    <x v="38"/>
    <x v="35"/>
    <x v="4"/>
    <x v="3"/>
    <x v="21"/>
    <x v="1"/>
    <x v="162"/>
    <x v="162"/>
    <x v="0"/>
    <x v="29"/>
    <x v="1"/>
    <x v="1"/>
    <x v="18"/>
    <x v="162"/>
    <x v="162"/>
    <x v="162"/>
    <x v="162"/>
    <x v="162"/>
    <x v="162"/>
    <x v="162"/>
    <x v="0"/>
    <x v="1"/>
    <x v="162"/>
    <x v="162"/>
    <x v="1"/>
  </r>
  <r>
    <x v="79"/>
    <x v="69"/>
    <x v="3"/>
    <x v="0"/>
    <x v="44"/>
    <x v="3"/>
    <x v="163"/>
    <x v="163"/>
    <x v="1"/>
    <x v="22"/>
    <x v="1"/>
    <x v="0"/>
    <x v="7"/>
    <x v="163"/>
    <x v="163"/>
    <x v="163"/>
    <x v="163"/>
    <x v="163"/>
    <x v="163"/>
    <x v="163"/>
    <x v="0"/>
    <x v="1"/>
    <x v="163"/>
    <x v="163"/>
    <x v="1"/>
  </r>
  <r>
    <x v="71"/>
    <x v="99"/>
    <x v="4"/>
    <x v="3"/>
    <x v="39"/>
    <x v="2"/>
    <x v="164"/>
    <x v="164"/>
    <x v="0"/>
    <x v="16"/>
    <x v="1"/>
    <x v="0"/>
    <x v="18"/>
    <x v="164"/>
    <x v="164"/>
    <x v="164"/>
    <x v="164"/>
    <x v="164"/>
    <x v="164"/>
    <x v="164"/>
    <x v="0"/>
    <x v="0"/>
    <x v="164"/>
    <x v="164"/>
    <x v="0"/>
  </r>
  <r>
    <x v="2"/>
    <x v="127"/>
    <x v="1"/>
    <x v="2"/>
    <x v="2"/>
    <x v="1"/>
    <x v="165"/>
    <x v="165"/>
    <x v="0"/>
    <x v="26"/>
    <x v="1"/>
    <x v="0"/>
    <x v="2"/>
    <x v="165"/>
    <x v="165"/>
    <x v="165"/>
    <x v="165"/>
    <x v="165"/>
    <x v="165"/>
    <x v="165"/>
    <x v="0"/>
    <x v="1"/>
    <x v="165"/>
    <x v="165"/>
    <x v="1"/>
  </r>
  <r>
    <x v="80"/>
    <x v="128"/>
    <x v="0"/>
    <x v="2"/>
    <x v="45"/>
    <x v="3"/>
    <x v="166"/>
    <x v="166"/>
    <x v="1"/>
    <x v="26"/>
    <x v="1"/>
    <x v="0"/>
    <x v="3"/>
    <x v="166"/>
    <x v="166"/>
    <x v="166"/>
    <x v="166"/>
    <x v="166"/>
    <x v="166"/>
    <x v="166"/>
    <x v="0"/>
    <x v="1"/>
    <x v="166"/>
    <x v="166"/>
    <x v="1"/>
  </r>
  <r>
    <x v="63"/>
    <x v="111"/>
    <x v="3"/>
    <x v="0"/>
    <x v="9"/>
    <x v="1"/>
    <x v="167"/>
    <x v="167"/>
    <x v="1"/>
    <x v="5"/>
    <x v="0"/>
    <x v="1"/>
    <x v="7"/>
    <x v="167"/>
    <x v="167"/>
    <x v="167"/>
    <x v="167"/>
    <x v="167"/>
    <x v="167"/>
    <x v="167"/>
    <x v="0"/>
    <x v="1"/>
    <x v="167"/>
    <x v="167"/>
    <x v="1"/>
  </r>
  <r>
    <x v="49"/>
    <x v="40"/>
    <x v="2"/>
    <x v="1"/>
    <x v="44"/>
    <x v="0"/>
    <x v="168"/>
    <x v="168"/>
    <x v="0"/>
    <x v="0"/>
    <x v="1"/>
    <x v="0"/>
    <x v="5"/>
    <x v="168"/>
    <x v="168"/>
    <x v="168"/>
    <x v="168"/>
    <x v="168"/>
    <x v="168"/>
    <x v="168"/>
    <x v="0"/>
    <x v="0"/>
    <x v="168"/>
    <x v="168"/>
    <x v="0"/>
  </r>
  <r>
    <x v="81"/>
    <x v="129"/>
    <x v="1"/>
    <x v="3"/>
    <x v="46"/>
    <x v="3"/>
    <x v="169"/>
    <x v="169"/>
    <x v="0"/>
    <x v="15"/>
    <x v="1"/>
    <x v="0"/>
    <x v="16"/>
    <x v="169"/>
    <x v="169"/>
    <x v="169"/>
    <x v="169"/>
    <x v="169"/>
    <x v="169"/>
    <x v="169"/>
    <x v="0"/>
    <x v="1"/>
    <x v="169"/>
    <x v="169"/>
    <x v="1"/>
  </r>
  <r>
    <x v="82"/>
    <x v="130"/>
    <x v="3"/>
    <x v="1"/>
    <x v="37"/>
    <x v="3"/>
    <x v="170"/>
    <x v="170"/>
    <x v="0"/>
    <x v="0"/>
    <x v="2"/>
    <x v="0"/>
    <x v="8"/>
    <x v="170"/>
    <x v="170"/>
    <x v="170"/>
    <x v="170"/>
    <x v="170"/>
    <x v="170"/>
    <x v="170"/>
    <x v="0"/>
    <x v="1"/>
    <x v="170"/>
    <x v="170"/>
    <x v="1"/>
  </r>
  <r>
    <x v="43"/>
    <x v="131"/>
    <x v="4"/>
    <x v="1"/>
    <x v="33"/>
    <x v="3"/>
    <x v="171"/>
    <x v="171"/>
    <x v="1"/>
    <x v="30"/>
    <x v="1"/>
    <x v="0"/>
    <x v="17"/>
    <x v="171"/>
    <x v="171"/>
    <x v="171"/>
    <x v="171"/>
    <x v="171"/>
    <x v="171"/>
    <x v="171"/>
    <x v="0"/>
    <x v="0"/>
    <x v="171"/>
    <x v="171"/>
    <x v="0"/>
  </r>
  <r>
    <x v="26"/>
    <x v="132"/>
    <x v="4"/>
    <x v="1"/>
    <x v="9"/>
    <x v="2"/>
    <x v="172"/>
    <x v="172"/>
    <x v="1"/>
    <x v="22"/>
    <x v="2"/>
    <x v="0"/>
    <x v="17"/>
    <x v="172"/>
    <x v="172"/>
    <x v="172"/>
    <x v="172"/>
    <x v="172"/>
    <x v="172"/>
    <x v="172"/>
    <x v="0"/>
    <x v="1"/>
    <x v="172"/>
    <x v="172"/>
    <x v="1"/>
  </r>
  <r>
    <x v="74"/>
    <x v="13"/>
    <x v="4"/>
    <x v="2"/>
    <x v="19"/>
    <x v="2"/>
    <x v="173"/>
    <x v="173"/>
    <x v="0"/>
    <x v="5"/>
    <x v="0"/>
    <x v="1"/>
    <x v="9"/>
    <x v="173"/>
    <x v="173"/>
    <x v="173"/>
    <x v="173"/>
    <x v="173"/>
    <x v="173"/>
    <x v="173"/>
    <x v="0"/>
    <x v="1"/>
    <x v="173"/>
    <x v="173"/>
    <x v="1"/>
  </r>
  <r>
    <x v="69"/>
    <x v="133"/>
    <x v="4"/>
    <x v="0"/>
    <x v="34"/>
    <x v="2"/>
    <x v="174"/>
    <x v="174"/>
    <x v="1"/>
    <x v="16"/>
    <x v="0"/>
    <x v="0"/>
    <x v="15"/>
    <x v="174"/>
    <x v="174"/>
    <x v="174"/>
    <x v="174"/>
    <x v="174"/>
    <x v="174"/>
    <x v="174"/>
    <x v="0"/>
    <x v="1"/>
    <x v="174"/>
    <x v="174"/>
    <x v="1"/>
  </r>
  <r>
    <x v="83"/>
    <x v="134"/>
    <x v="2"/>
    <x v="0"/>
    <x v="13"/>
    <x v="0"/>
    <x v="175"/>
    <x v="175"/>
    <x v="0"/>
    <x v="14"/>
    <x v="1"/>
    <x v="1"/>
    <x v="19"/>
    <x v="175"/>
    <x v="175"/>
    <x v="175"/>
    <x v="175"/>
    <x v="175"/>
    <x v="175"/>
    <x v="175"/>
    <x v="0"/>
    <x v="0"/>
    <x v="175"/>
    <x v="175"/>
    <x v="0"/>
  </r>
  <r>
    <x v="27"/>
    <x v="120"/>
    <x v="1"/>
    <x v="2"/>
    <x v="7"/>
    <x v="0"/>
    <x v="176"/>
    <x v="176"/>
    <x v="1"/>
    <x v="28"/>
    <x v="0"/>
    <x v="1"/>
    <x v="2"/>
    <x v="176"/>
    <x v="176"/>
    <x v="176"/>
    <x v="176"/>
    <x v="176"/>
    <x v="176"/>
    <x v="176"/>
    <x v="0"/>
    <x v="1"/>
    <x v="176"/>
    <x v="176"/>
    <x v="1"/>
  </r>
  <r>
    <x v="64"/>
    <x v="121"/>
    <x v="0"/>
    <x v="2"/>
    <x v="13"/>
    <x v="3"/>
    <x v="177"/>
    <x v="177"/>
    <x v="1"/>
    <x v="11"/>
    <x v="1"/>
    <x v="0"/>
    <x v="3"/>
    <x v="177"/>
    <x v="177"/>
    <x v="177"/>
    <x v="177"/>
    <x v="177"/>
    <x v="177"/>
    <x v="177"/>
    <x v="0"/>
    <x v="0"/>
    <x v="177"/>
    <x v="177"/>
    <x v="0"/>
  </r>
  <r>
    <x v="30"/>
    <x v="135"/>
    <x v="2"/>
    <x v="0"/>
    <x v="7"/>
    <x v="0"/>
    <x v="178"/>
    <x v="178"/>
    <x v="1"/>
    <x v="21"/>
    <x v="0"/>
    <x v="1"/>
    <x v="19"/>
    <x v="178"/>
    <x v="178"/>
    <x v="178"/>
    <x v="178"/>
    <x v="178"/>
    <x v="178"/>
    <x v="178"/>
    <x v="0"/>
    <x v="0"/>
    <x v="178"/>
    <x v="178"/>
    <x v="0"/>
  </r>
  <r>
    <x v="84"/>
    <x v="70"/>
    <x v="2"/>
    <x v="1"/>
    <x v="44"/>
    <x v="1"/>
    <x v="179"/>
    <x v="179"/>
    <x v="1"/>
    <x v="3"/>
    <x v="1"/>
    <x v="1"/>
    <x v="5"/>
    <x v="179"/>
    <x v="179"/>
    <x v="179"/>
    <x v="179"/>
    <x v="179"/>
    <x v="179"/>
    <x v="179"/>
    <x v="0"/>
    <x v="0"/>
    <x v="179"/>
    <x v="179"/>
    <x v="0"/>
  </r>
  <r>
    <x v="51"/>
    <x v="121"/>
    <x v="0"/>
    <x v="3"/>
    <x v="9"/>
    <x v="3"/>
    <x v="180"/>
    <x v="180"/>
    <x v="1"/>
    <x v="20"/>
    <x v="1"/>
    <x v="1"/>
    <x v="12"/>
    <x v="180"/>
    <x v="180"/>
    <x v="180"/>
    <x v="180"/>
    <x v="180"/>
    <x v="180"/>
    <x v="180"/>
    <x v="0"/>
    <x v="0"/>
    <x v="180"/>
    <x v="180"/>
    <x v="0"/>
  </r>
  <r>
    <x v="69"/>
    <x v="57"/>
    <x v="0"/>
    <x v="3"/>
    <x v="38"/>
    <x v="3"/>
    <x v="181"/>
    <x v="181"/>
    <x v="0"/>
    <x v="3"/>
    <x v="2"/>
    <x v="0"/>
    <x v="12"/>
    <x v="181"/>
    <x v="181"/>
    <x v="181"/>
    <x v="181"/>
    <x v="181"/>
    <x v="181"/>
    <x v="181"/>
    <x v="0"/>
    <x v="0"/>
    <x v="181"/>
    <x v="181"/>
    <x v="0"/>
  </r>
  <r>
    <x v="69"/>
    <x v="50"/>
    <x v="4"/>
    <x v="3"/>
    <x v="47"/>
    <x v="1"/>
    <x v="182"/>
    <x v="182"/>
    <x v="0"/>
    <x v="5"/>
    <x v="2"/>
    <x v="0"/>
    <x v="18"/>
    <x v="182"/>
    <x v="182"/>
    <x v="182"/>
    <x v="182"/>
    <x v="182"/>
    <x v="182"/>
    <x v="182"/>
    <x v="0"/>
    <x v="0"/>
    <x v="182"/>
    <x v="182"/>
    <x v="0"/>
  </r>
  <r>
    <x v="44"/>
    <x v="136"/>
    <x v="2"/>
    <x v="1"/>
    <x v="32"/>
    <x v="3"/>
    <x v="183"/>
    <x v="183"/>
    <x v="1"/>
    <x v="17"/>
    <x v="2"/>
    <x v="0"/>
    <x v="5"/>
    <x v="183"/>
    <x v="183"/>
    <x v="183"/>
    <x v="183"/>
    <x v="183"/>
    <x v="183"/>
    <x v="183"/>
    <x v="0"/>
    <x v="1"/>
    <x v="183"/>
    <x v="183"/>
    <x v="1"/>
  </r>
  <r>
    <x v="42"/>
    <x v="46"/>
    <x v="3"/>
    <x v="0"/>
    <x v="37"/>
    <x v="0"/>
    <x v="184"/>
    <x v="184"/>
    <x v="0"/>
    <x v="16"/>
    <x v="2"/>
    <x v="0"/>
    <x v="7"/>
    <x v="184"/>
    <x v="184"/>
    <x v="184"/>
    <x v="184"/>
    <x v="184"/>
    <x v="184"/>
    <x v="184"/>
    <x v="0"/>
    <x v="1"/>
    <x v="184"/>
    <x v="184"/>
    <x v="1"/>
  </r>
  <r>
    <x v="16"/>
    <x v="75"/>
    <x v="0"/>
    <x v="2"/>
    <x v="8"/>
    <x v="2"/>
    <x v="185"/>
    <x v="185"/>
    <x v="0"/>
    <x v="19"/>
    <x v="1"/>
    <x v="0"/>
    <x v="3"/>
    <x v="185"/>
    <x v="185"/>
    <x v="185"/>
    <x v="185"/>
    <x v="185"/>
    <x v="185"/>
    <x v="185"/>
    <x v="0"/>
    <x v="1"/>
    <x v="185"/>
    <x v="185"/>
    <x v="1"/>
  </r>
  <r>
    <x v="30"/>
    <x v="25"/>
    <x v="0"/>
    <x v="0"/>
    <x v="10"/>
    <x v="1"/>
    <x v="186"/>
    <x v="186"/>
    <x v="1"/>
    <x v="12"/>
    <x v="0"/>
    <x v="0"/>
    <x v="0"/>
    <x v="186"/>
    <x v="186"/>
    <x v="186"/>
    <x v="186"/>
    <x v="186"/>
    <x v="186"/>
    <x v="186"/>
    <x v="0"/>
    <x v="1"/>
    <x v="186"/>
    <x v="186"/>
    <x v="1"/>
  </r>
  <r>
    <x v="8"/>
    <x v="137"/>
    <x v="1"/>
    <x v="1"/>
    <x v="16"/>
    <x v="0"/>
    <x v="187"/>
    <x v="187"/>
    <x v="0"/>
    <x v="29"/>
    <x v="1"/>
    <x v="0"/>
    <x v="13"/>
    <x v="187"/>
    <x v="187"/>
    <x v="187"/>
    <x v="187"/>
    <x v="187"/>
    <x v="187"/>
    <x v="187"/>
    <x v="0"/>
    <x v="1"/>
    <x v="187"/>
    <x v="187"/>
    <x v="1"/>
  </r>
  <r>
    <x v="28"/>
    <x v="30"/>
    <x v="3"/>
    <x v="2"/>
    <x v="20"/>
    <x v="1"/>
    <x v="188"/>
    <x v="188"/>
    <x v="1"/>
    <x v="24"/>
    <x v="2"/>
    <x v="1"/>
    <x v="6"/>
    <x v="188"/>
    <x v="188"/>
    <x v="188"/>
    <x v="188"/>
    <x v="188"/>
    <x v="188"/>
    <x v="188"/>
    <x v="0"/>
    <x v="1"/>
    <x v="188"/>
    <x v="188"/>
    <x v="1"/>
  </r>
  <r>
    <x v="23"/>
    <x v="138"/>
    <x v="3"/>
    <x v="1"/>
    <x v="18"/>
    <x v="1"/>
    <x v="189"/>
    <x v="189"/>
    <x v="0"/>
    <x v="16"/>
    <x v="2"/>
    <x v="1"/>
    <x v="8"/>
    <x v="189"/>
    <x v="189"/>
    <x v="189"/>
    <x v="189"/>
    <x v="189"/>
    <x v="189"/>
    <x v="189"/>
    <x v="0"/>
    <x v="1"/>
    <x v="189"/>
    <x v="189"/>
    <x v="1"/>
  </r>
  <r>
    <x v="30"/>
    <x v="9"/>
    <x v="0"/>
    <x v="3"/>
    <x v="41"/>
    <x v="3"/>
    <x v="190"/>
    <x v="190"/>
    <x v="0"/>
    <x v="5"/>
    <x v="0"/>
    <x v="0"/>
    <x v="12"/>
    <x v="190"/>
    <x v="190"/>
    <x v="190"/>
    <x v="190"/>
    <x v="190"/>
    <x v="190"/>
    <x v="190"/>
    <x v="0"/>
    <x v="0"/>
    <x v="190"/>
    <x v="190"/>
    <x v="0"/>
  </r>
  <r>
    <x v="85"/>
    <x v="139"/>
    <x v="4"/>
    <x v="3"/>
    <x v="30"/>
    <x v="3"/>
    <x v="191"/>
    <x v="191"/>
    <x v="0"/>
    <x v="8"/>
    <x v="2"/>
    <x v="1"/>
    <x v="18"/>
    <x v="191"/>
    <x v="191"/>
    <x v="191"/>
    <x v="191"/>
    <x v="191"/>
    <x v="191"/>
    <x v="191"/>
    <x v="0"/>
    <x v="0"/>
    <x v="191"/>
    <x v="191"/>
    <x v="0"/>
  </r>
  <r>
    <x v="66"/>
    <x v="140"/>
    <x v="1"/>
    <x v="1"/>
    <x v="0"/>
    <x v="0"/>
    <x v="192"/>
    <x v="192"/>
    <x v="0"/>
    <x v="4"/>
    <x v="1"/>
    <x v="0"/>
    <x v="13"/>
    <x v="192"/>
    <x v="192"/>
    <x v="192"/>
    <x v="192"/>
    <x v="192"/>
    <x v="192"/>
    <x v="192"/>
    <x v="0"/>
    <x v="0"/>
    <x v="192"/>
    <x v="192"/>
    <x v="0"/>
  </r>
  <r>
    <x v="75"/>
    <x v="83"/>
    <x v="3"/>
    <x v="2"/>
    <x v="9"/>
    <x v="1"/>
    <x v="193"/>
    <x v="193"/>
    <x v="0"/>
    <x v="18"/>
    <x v="1"/>
    <x v="0"/>
    <x v="6"/>
    <x v="193"/>
    <x v="193"/>
    <x v="193"/>
    <x v="193"/>
    <x v="193"/>
    <x v="193"/>
    <x v="193"/>
    <x v="0"/>
    <x v="0"/>
    <x v="193"/>
    <x v="193"/>
    <x v="0"/>
  </r>
  <r>
    <x v="30"/>
    <x v="141"/>
    <x v="0"/>
    <x v="2"/>
    <x v="40"/>
    <x v="3"/>
    <x v="194"/>
    <x v="194"/>
    <x v="0"/>
    <x v="13"/>
    <x v="1"/>
    <x v="0"/>
    <x v="3"/>
    <x v="194"/>
    <x v="194"/>
    <x v="194"/>
    <x v="194"/>
    <x v="194"/>
    <x v="194"/>
    <x v="194"/>
    <x v="0"/>
    <x v="1"/>
    <x v="194"/>
    <x v="194"/>
    <x v="1"/>
  </r>
  <r>
    <x v="77"/>
    <x v="142"/>
    <x v="3"/>
    <x v="0"/>
    <x v="22"/>
    <x v="3"/>
    <x v="195"/>
    <x v="195"/>
    <x v="0"/>
    <x v="25"/>
    <x v="1"/>
    <x v="1"/>
    <x v="7"/>
    <x v="195"/>
    <x v="195"/>
    <x v="195"/>
    <x v="195"/>
    <x v="195"/>
    <x v="195"/>
    <x v="195"/>
    <x v="0"/>
    <x v="0"/>
    <x v="195"/>
    <x v="195"/>
    <x v="0"/>
  </r>
  <r>
    <x v="12"/>
    <x v="124"/>
    <x v="1"/>
    <x v="3"/>
    <x v="33"/>
    <x v="1"/>
    <x v="196"/>
    <x v="196"/>
    <x v="1"/>
    <x v="16"/>
    <x v="1"/>
    <x v="0"/>
    <x v="16"/>
    <x v="196"/>
    <x v="196"/>
    <x v="196"/>
    <x v="196"/>
    <x v="196"/>
    <x v="196"/>
    <x v="196"/>
    <x v="0"/>
    <x v="1"/>
    <x v="196"/>
    <x v="196"/>
    <x v="1"/>
  </r>
  <r>
    <x v="86"/>
    <x v="128"/>
    <x v="1"/>
    <x v="0"/>
    <x v="11"/>
    <x v="0"/>
    <x v="197"/>
    <x v="197"/>
    <x v="1"/>
    <x v="12"/>
    <x v="0"/>
    <x v="0"/>
    <x v="11"/>
    <x v="197"/>
    <x v="197"/>
    <x v="197"/>
    <x v="197"/>
    <x v="197"/>
    <x v="197"/>
    <x v="197"/>
    <x v="0"/>
    <x v="1"/>
    <x v="197"/>
    <x v="197"/>
    <x v="1"/>
  </r>
  <r>
    <x v="3"/>
    <x v="143"/>
    <x v="2"/>
    <x v="0"/>
    <x v="18"/>
    <x v="0"/>
    <x v="198"/>
    <x v="198"/>
    <x v="1"/>
    <x v="7"/>
    <x v="1"/>
    <x v="0"/>
    <x v="19"/>
    <x v="198"/>
    <x v="198"/>
    <x v="198"/>
    <x v="198"/>
    <x v="198"/>
    <x v="198"/>
    <x v="198"/>
    <x v="0"/>
    <x v="0"/>
    <x v="198"/>
    <x v="198"/>
    <x v="0"/>
  </r>
  <r>
    <x v="75"/>
    <x v="61"/>
    <x v="0"/>
    <x v="1"/>
    <x v="45"/>
    <x v="1"/>
    <x v="199"/>
    <x v="199"/>
    <x v="1"/>
    <x v="25"/>
    <x v="2"/>
    <x v="0"/>
    <x v="1"/>
    <x v="199"/>
    <x v="199"/>
    <x v="199"/>
    <x v="199"/>
    <x v="199"/>
    <x v="199"/>
    <x v="199"/>
    <x v="0"/>
    <x v="0"/>
    <x v="199"/>
    <x v="199"/>
    <x v="0"/>
  </r>
  <r>
    <x v="40"/>
    <x v="39"/>
    <x v="1"/>
    <x v="1"/>
    <x v="11"/>
    <x v="0"/>
    <x v="200"/>
    <x v="200"/>
    <x v="0"/>
    <x v="12"/>
    <x v="2"/>
    <x v="1"/>
    <x v="13"/>
    <x v="200"/>
    <x v="200"/>
    <x v="200"/>
    <x v="200"/>
    <x v="200"/>
    <x v="200"/>
    <x v="200"/>
    <x v="0"/>
    <x v="1"/>
    <x v="200"/>
    <x v="200"/>
    <x v="1"/>
  </r>
  <r>
    <x v="30"/>
    <x v="144"/>
    <x v="2"/>
    <x v="0"/>
    <x v="15"/>
    <x v="3"/>
    <x v="201"/>
    <x v="201"/>
    <x v="0"/>
    <x v="4"/>
    <x v="2"/>
    <x v="0"/>
    <x v="19"/>
    <x v="201"/>
    <x v="201"/>
    <x v="201"/>
    <x v="201"/>
    <x v="201"/>
    <x v="201"/>
    <x v="201"/>
    <x v="0"/>
    <x v="1"/>
    <x v="201"/>
    <x v="201"/>
    <x v="1"/>
  </r>
  <r>
    <x v="72"/>
    <x v="112"/>
    <x v="2"/>
    <x v="3"/>
    <x v="44"/>
    <x v="1"/>
    <x v="202"/>
    <x v="202"/>
    <x v="0"/>
    <x v="19"/>
    <x v="2"/>
    <x v="1"/>
    <x v="4"/>
    <x v="202"/>
    <x v="202"/>
    <x v="202"/>
    <x v="202"/>
    <x v="202"/>
    <x v="202"/>
    <x v="202"/>
    <x v="0"/>
    <x v="1"/>
    <x v="202"/>
    <x v="202"/>
    <x v="1"/>
  </r>
  <r>
    <x v="85"/>
    <x v="131"/>
    <x v="3"/>
    <x v="1"/>
    <x v="37"/>
    <x v="3"/>
    <x v="203"/>
    <x v="203"/>
    <x v="1"/>
    <x v="17"/>
    <x v="0"/>
    <x v="1"/>
    <x v="8"/>
    <x v="203"/>
    <x v="203"/>
    <x v="203"/>
    <x v="203"/>
    <x v="203"/>
    <x v="203"/>
    <x v="203"/>
    <x v="0"/>
    <x v="1"/>
    <x v="203"/>
    <x v="203"/>
    <x v="1"/>
  </r>
  <r>
    <x v="32"/>
    <x v="145"/>
    <x v="3"/>
    <x v="0"/>
    <x v="29"/>
    <x v="2"/>
    <x v="204"/>
    <x v="204"/>
    <x v="1"/>
    <x v="2"/>
    <x v="2"/>
    <x v="0"/>
    <x v="7"/>
    <x v="204"/>
    <x v="204"/>
    <x v="204"/>
    <x v="204"/>
    <x v="204"/>
    <x v="204"/>
    <x v="204"/>
    <x v="0"/>
    <x v="0"/>
    <x v="204"/>
    <x v="204"/>
    <x v="0"/>
  </r>
  <r>
    <x v="44"/>
    <x v="146"/>
    <x v="2"/>
    <x v="0"/>
    <x v="23"/>
    <x v="2"/>
    <x v="205"/>
    <x v="205"/>
    <x v="1"/>
    <x v="4"/>
    <x v="0"/>
    <x v="0"/>
    <x v="19"/>
    <x v="205"/>
    <x v="205"/>
    <x v="205"/>
    <x v="205"/>
    <x v="205"/>
    <x v="205"/>
    <x v="205"/>
    <x v="0"/>
    <x v="0"/>
    <x v="205"/>
    <x v="205"/>
    <x v="0"/>
  </r>
  <r>
    <x v="11"/>
    <x v="147"/>
    <x v="3"/>
    <x v="0"/>
    <x v="47"/>
    <x v="0"/>
    <x v="206"/>
    <x v="206"/>
    <x v="0"/>
    <x v="29"/>
    <x v="2"/>
    <x v="1"/>
    <x v="7"/>
    <x v="206"/>
    <x v="206"/>
    <x v="206"/>
    <x v="206"/>
    <x v="206"/>
    <x v="206"/>
    <x v="206"/>
    <x v="0"/>
    <x v="1"/>
    <x v="206"/>
    <x v="206"/>
    <x v="1"/>
  </r>
  <r>
    <x v="76"/>
    <x v="148"/>
    <x v="1"/>
    <x v="0"/>
    <x v="27"/>
    <x v="2"/>
    <x v="207"/>
    <x v="207"/>
    <x v="1"/>
    <x v="22"/>
    <x v="0"/>
    <x v="1"/>
    <x v="11"/>
    <x v="207"/>
    <x v="207"/>
    <x v="207"/>
    <x v="207"/>
    <x v="207"/>
    <x v="207"/>
    <x v="207"/>
    <x v="0"/>
    <x v="1"/>
    <x v="207"/>
    <x v="207"/>
    <x v="1"/>
  </r>
  <r>
    <x v="26"/>
    <x v="149"/>
    <x v="4"/>
    <x v="0"/>
    <x v="35"/>
    <x v="3"/>
    <x v="208"/>
    <x v="208"/>
    <x v="0"/>
    <x v="18"/>
    <x v="0"/>
    <x v="1"/>
    <x v="15"/>
    <x v="208"/>
    <x v="208"/>
    <x v="208"/>
    <x v="208"/>
    <x v="208"/>
    <x v="208"/>
    <x v="208"/>
    <x v="0"/>
    <x v="1"/>
    <x v="208"/>
    <x v="208"/>
    <x v="1"/>
  </r>
  <r>
    <x v="82"/>
    <x v="106"/>
    <x v="1"/>
    <x v="0"/>
    <x v="27"/>
    <x v="2"/>
    <x v="209"/>
    <x v="209"/>
    <x v="1"/>
    <x v="17"/>
    <x v="0"/>
    <x v="1"/>
    <x v="11"/>
    <x v="209"/>
    <x v="209"/>
    <x v="209"/>
    <x v="209"/>
    <x v="209"/>
    <x v="209"/>
    <x v="209"/>
    <x v="0"/>
    <x v="1"/>
    <x v="209"/>
    <x v="209"/>
    <x v="1"/>
  </r>
  <r>
    <x v="78"/>
    <x v="150"/>
    <x v="2"/>
    <x v="1"/>
    <x v="34"/>
    <x v="3"/>
    <x v="210"/>
    <x v="210"/>
    <x v="0"/>
    <x v="25"/>
    <x v="2"/>
    <x v="0"/>
    <x v="5"/>
    <x v="210"/>
    <x v="210"/>
    <x v="210"/>
    <x v="210"/>
    <x v="210"/>
    <x v="210"/>
    <x v="210"/>
    <x v="0"/>
    <x v="1"/>
    <x v="210"/>
    <x v="210"/>
    <x v="1"/>
  </r>
  <r>
    <x v="9"/>
    <x v="1"/>
    <x v="2"/>
    <x v="3"/>
    <x v="6"/>
    <x v="0"/>
    <x v="211"/>
    <x v="211"/>
    <x v="1"/>
    <x v="12"/>
    <x v="0"/>
    <x v="1"/>
    <x v="4"/>
    <x v="211"/>
    <x v="211"/>
    <x v="211"/>
    <x v="211"/>
    <x v="211"/>
    <x v="211"/>
    <x v="211"/>
    <x v="0"/>
    <x v="0"/>
    <x v="211"/>
    <x v="211"/>
    <x v="0"/>
  </r>
  <r>
    <x v="0"/>
    <x v="106"/>
    <x v="1"/>
    <x v="0"/>
    <x v="47"/>
    <x v="0"/>
    <x v="212"/>
    <x v="212"/>
    <x v="0"/>
    <x v="10"/>
    <x v="1"/>
    <x v="1"/>
    <x v="11"/>
    <x v="212"/>
    <x v="212"/>
    <x v="212"/>
    <x v="212"/>
    <x v="212"/>
    <x v="212"/>
    <x v="212"/>
    <x v="0"/>
    <x v="1"/>
    <x v="212"/>
    <x v="212"/>
    <x v="1"/>
  </r>
  <r>
    <x v="30"/>
    <x v="94"/>
    <x v="3"/>
    <x v="2"/>
    <x v="14"/>
    <x v="3"/>
    <x v="213"/>
    <x v="213"/>
    <x v="1"/>
    <x v="25"/>
    <x v="1"/>
    <x v="1"/>
    <x v="6"/>
    <x v="213"/>
    <x v="213"/>
    <x v="213"/>
    <x v="213"/>
    <x v="213"/>
    <x v="213"/>
    <x v="213"/>
    <x v="0"/>
    <x v="0"/>
    <x v="213"/>
    <x v="213"/>
    <x v="0"/>
  </r>
  <r>
    <x v="22"/>
    <x v="151"/>
    <x v="3"/>
    <x v="1"/>
    <x v="10"/>
    <x v="2"/>
    <x v="214"/>
    <x v="214"/>
    <x v="1"/>
    <x v="15"/>
    <x v="2"/>
    <x v="1"/>
    <x v="8"/>
    <x v="214"/>
    <x v="214"/>
    <x v="214"/>
    <x v="214"/>
    <x v="214"/>
    <x v="214"/>
    <x v="214"/>
    <x v="0"/>
    <x v="0"/>
    <x v="214"/>
    <x v="214"/>
    <x v="0"/>
  </r>
  <r>
    <x v="0"/>
    <x v="64"/>
    <x v="2"/>
    <x v="1"/>
    <x v="39"/>
    <x v="0"/>
    <x v="215"/>
    <x v="215"/>
    <x v="0"/>
    <x v="28"/>
    <x v="1"/>
    <x v="0"/>
    <x v="5"/>
    <x v="215"/>
    <x v="215"/>
    <x v="215"/>
    <x v="215"/>
    <x v="215"/>
    <x v="215"/>
    <x v="215"/>
    <x v="0"/>
    <x v="1"/>
    <x v="215"/>
    <x v="215"/>
    <x v="1"/>
  </r>
  <r>
    <x v="70"/>
    <x v="50"/>
    <x v="0"/>
    <x v="0"/>
    <x v="21"/>
    <x v="1"/>
    <x v="216"/>
    <x v="216"/>
    <x v="0"/>
    <x v="20"/>
    <x v="1"/>
    <x v="0"/>
    <x v="0"/>
    <x v="216"/>
    <x v="216"/>
    <x v="216"/>
    <x v="216"/>
    <x v="216"/>
    <x v="216"/>
    <x v="216"/>
    <x v="0"/>
    <x v="1"/>
    <x v="216"/>
    <x v="216"/>
    <x v="1"/>
  </r>
  <r>
    <x v="36"/>
    <x v="48"/>
    <x v="3"/>
    <x v="1"/>
    <x v="11"/>
    <x v="0"/>
    <x v="217"/>
    <x v="217"/>
    <x v="1"/>
    <x v="19"/>
    <x v="1"/>
    <x v="0"/>
    <x v="8"/>
    <x v="217"/>
    <x v="217"/>
    <x v="217"/>
    <x v="217"/>
    <x v="217"/>
    <x v="217"/>
    <x v="217"/>
    <x v="0"/>
    <x v="1"/>
    <x v="217"/>
    <x v="217"/>
    <x v="1"/>
  </r>
  <r>
    <x v="15"/>
    <x v="62"/>
    <x v="1"/>
    <x v="0"/>
    <x v="2"/>
    <x v="2"/>
    <x v="218"/>
    <x v="218"/>
    <x v="0"/>
    <x v="15"/>
    <x v="2"/>
    <x v="1"/>
    <x v="11"/>
    <x v="218"/>
    <x v="218"/>
    <x v="218"/>
    <x v="218"/>
    <x v="218"/>
    <x v="218"/>
    <x v="218"/>
    <x v="0"/>
    <x v="1"/>
    <x v="218"/>
    <x v="218"/>
    <x v="1"/>
  </r>
  <r>
    <x v="12"/>
    <x v="90"/>
    <x v="3"/>
    <x v="3"/>
    <x v="23"/>
    <x v="1"/>
    <x v="219"/>
    <x v="219"/>
    <x v="1"/>
    <x v="20"/>
    <x v="2"/>
    <x v="1"/>
    <x v="14"/>
    <x v="219"/>
    <x v="219"/>
    <x v="219"/>
    <x v="219"/>
    <x v="219"/>
    <x v="219"/>
    <x v="219"/>
    <x v="0"/>
    <x v="1"/>
    <x v="219"/>
    <x v="219"/>
    <x v="1"/>
  </r>
  <r>
    <x v="87"/>
    <x v="152"/>
    <x v="1"/>
    <x v="3"/>
    <x v="40"/>
    <x v="2"/>
    <x v="220"/>
    <x v="220"/>
    <x v="0"/>
    <x v="2"/>
    <x v="1"/>
    <x v="0"/>
    <x v="16"/>
    <x v="220"/>
    <x v="220"/>
    <x v="220"/>
    <x v="220"/>
    <x v="220"/>
    <x v="220"/>
    <x v="220"/>
    <x v="0"/>
    <x v="1"/>
    <x v="220"/>
    <x v="220"/>
    <x v="1"/>
  </r>
  <r>
    <x v="48"/>
    <x v="153"/>
    <x v="2"/>
    <x v="1"/>
    <x v="16"/>
    <x v="3"/>
    <x v="221"/>
    <x v="221"/>
    <x v="1"/>
    <x v="12"/>
    <x v="2"/>
    <x v="0"/>
    <x v="5"/>
    <x v="221"/>
    <x v="221"/>
    <x v="221"/>
    <x v="221"/>
    <x v="221"/>
    <x v="221"/>
    <x v="221"/>
    <x v="0"/>
    <x v="1"/>
    <x v="221"/>
    <x v="221"/>
    <x v="1"/>
  </r>
  <r>
    <x v="26"/>
    <x v="154"/>
    <x v="3"/>
    <x v="1"/>
    <x v="26"/>
    <x v="1"/>
    <x v="222"/>
    <x v="222"/>
    <x v="0"/>
    <x v="24"/>
    <x v="0"/>
    <x v="1"/>
    <x v="8"/>
    <x v="222"/>
    <x v="222"/>
    <x v="222"/>
    <x v="222"/>
    <x v="222"/>
    <x v="222"/>
    <x v="222"/>
    <x v="0"/>
    <x v="1"/>
    <x v="222"/>
    <x v="222"/>
    <x v="1"/>
  </r>
  <r>
    <x v="15"/>
    <x v="155"/>
    <x v="1"/>
    <x v="2"/>
    <x v="3"/>
    <x v="2"/>
    <x v="223"/>
    <x v="223"/>
    <x v="1"/>
    <x v="19"/>
    <x v="1"/>
    <x v="0"/>
    <x v="2"/>
    <x v="223"/>
    <x v="223"/>
    <x v="223"/>
    <x v="223"/>
    <x v="223"/>
    <x v="223"/>
    <x v="223"/>
    <x v="0"/>
    <x v="0"/>
    <x v="223"/>
    <x v="223"/>
    <x v="0"/>
  </r>
  <r>
    <x v="15"/>
    <x v="156"/>
    <x v="2"/>
    <x v="1"/>
    <x v="42"/>
    <x v="1"/>
    <x v="224"/>
    <x v="224"/>
    <x v="1"/>
    <x v="20"/>
    <x v="2"/>
    <x v="1"/>
    <x v="5"/>
    <x v="224"/>
    <x v="224"/>
    <x v="224"/>
    <x v="224"/>
    <x v="224"/>
    <x v="224"/>
    <x v="224"/>
    <x v="0"/>
    <x v="1"/>
    <x v="224"/>
    <x v="224"/>
    <x v="1"/>
  </r>
  <r>
    <x v="28"/>
    <x v="157"/>
    <x v="0"/>
    <x v="2"/>
    <x v="4"/>
    <x v="2"/>
    <x v="225"/>
    <x v="225"/>
    <x v="1"/>
    <x v="4"/>
    <x v="2"/>
    <x v="1"/>
    <x v="3"/>
    <x v="225"/>
    <x v="225"/>
    <x v="225"/>
    <x v="225"/>
    <x v="225"/>
    <x v="225"/>
    <x v="225"/>
    <x v="0"/>
    <x v="1"/>
    <x v="225"/>
    <x v="225"/>
    <x v="1"/>
  </r>
  <r>
    <x v="52"/>
    <x v="87"/>
    <x v="1"/>
    <x v="3"/>
    <x v="29"/>
    <x v="1"/>
    <x v="226"/>
    <x v="226"/>
    <x v="0"/>
    <x v="26"/>
    <x v="1"/>
    <x v="1"/>
    <x v="16"/>
    <x v="226"/>
    <x v="226"/>
    <x v="226"/>
    <x v="226"/>
    <x v="226"/>
    <x v="226"/>
    <x v="226"/>
    <x v="0"/>
    <x v="1"/>
    <x v="226"/>
    <x v="226"/>
    <x v="1"/>
  </r>
  <r>
    <x v="7"/>
    <x v="158"/>
    <x v="0"/>
    <x v="3"/>
    <x v="40"/>
    <x v="2"/>
    <x v="227"/>
    <x v="227"/>
    <x v="1"/>
    <x v="9"/>
    <x v="2"/>
    <x v="1"/>
    <x v="12"/>
    <x v="227"/>
    <x v="227"/>
    <x v="227"/>
    <x v="227"/>
    <x v="227"/>
    <x v="227"/>
    <x v="227"/>
    <x v="0"/>
    <x v="1"/>
    <x v="227"/>
    <x v="227"/>
    <x v="1"/>
  </r>
  <r>
    <x v="78"/>
    <x v="159"/>
    <x v="0"/>
    <x v="0"/>
    <x v="2"/>
    <x v="3"/>
    <x v="228"/>
    <x v="228"/>
    <x v="0"/>
    <x v="4"/>
    <x v="1"/>
    <x v="1"/>
    <x v="0"/>
    <x v="228"/>
    <x v="228"/>
    <x v="228"/>
    <x v="228"/>
    <x v="228"/>
    <x v="228"/>
    <x v="228"/>
    <x v="0"/>
    <x v="1"/>
    <x v="228"/>
    <x v="228"/>
    <x v="1"/>
  </r>
  <r>
    <x v="85"/>
    <x v="91"/>
    <x v="4"/>
    <x v="3"/>
    <x v="14"/>
    <x v="1"/>
    <x v="229"/>
    <x v="229"/>
    <x v="0"/>
    <x v="7"/>
    <x v="2"/>
    <x v="1"/>
    <x v="18"/>
    <x v="229"/>
    <x v="229"/>
    <x v="229"/>
    <x v="229"/>
    <x v="229"/>
    <x v="229"/>
    <x v="229"/>
    <x v="0"/>
    <x v="1"/>
    <x v="229"/>
    <x v="229"/>
    <x v="1"/>
  </r>
  <r>
    <x v="66"/>
    <x v="160"/>
    <x v="3"/>
    <x v="2"/>
    <x v="3"/>
    <x v="1"/>
    <x v="230"/>
    <x v="230"/>
    <x v="0"/>
    <x v="26"/>
    <x v="0"/>
    <x v="0"/>
    <x v="6"/>
    <x v="230"/>
    <x v="230"/>
    <x v="230"/>
    <x v="230"/>
    <x v="230"/>
    <x v="230"/>
    <x v="230"/>
    <x v="0"/>
    <x v="1"/>
    <x v="230"/>
    <x v="230"/>
    <x v="1"/>
  </r>
  <r>
    <x v="88"/>
    <x v="146"/>
    <x v="1"/>
    <x v="1"/>
    <x v="17"/>
    <x v="1"/>
    <x v="231"/>
    <x v="231"/>
    <x v="1"/>
    <x v="14"/>
    <x v="1"/>
    <x v="0"/>
    <x v="13"/>
    <x v="231"/>
    <x v="231"/>
    <x v="231"/>
    <x v="231"/>
    <x v="231"/>
    <x v="231"/>
    <x v="231"/>
    <x v="0"/>
    <x v="0"/>
    <x v="231"/>
    <x v="231"/>
    <x v="0"/>
  </r>
  <r>
    <x v="15"/>
    <x v="6"/>
    <x v="0"/>
    <x v="0"/>
    <x v="9"/>
    <x v="1"/>
    <x v="232"/>
    <x v="232"/>
    <x v="0"/>
    <x v="6"/>
    <x v="0"/>
    <x v="0"/>
    <x v="0"/>
    <x v="232"/>
    <x v="232"/>
    <x v="232"/>
    <x v="232"/>
    <x v="232"/>
    <x v="232"/>
    <x v="232"/>
    <x v="0"/>
    <x v="1"/>
    <x v="232"/>
    <x v="232"/>
    <x v="1"/>
  </r>
  <r>
    <x v="14"/>
    <x v="145"/>
    <x v="4"/>
    <x v="2"/>
    <x v="20"/>
    <x v="3"/>
    <x v="233"/>
    <x v="233"/>
    <x v="0"/>
    <x v="25"/>
    <x v="1"/>
    <x v="1"/>
    <x v="9"/>
    <x v="233"/>
    <x v="233"/>
    <x v="233"/>
    <x v="233"/>
    <x v="233"/>
    <x v="233"/>
    <x v="233"/>
    <x v="0"/>
    <x v="1"/>
    <x v="233"/>
    <x v="233"/>
    <x v="1"/>
  </r>
  <r>
    <x v="44"/>
    <x v="161"/>
    <x v="2"/>
    <x v="1"/>
    <x v="24"/>
    <x v="1"/>
    <x v="234"/>
    <x v="234"/>
    <x v="0"/>
    <x v="30"/>
    <x v="2"/>
    <x v="0"/>
    <x v="5"/>
    <x v="234"/>
    <x v="234"/>
    <x v="234"/>
    <x v="234"/>
    <x v="234"/>
    <x v="234"/>
    <x v="234"/>
    <x v="0"/>
    <x v="0"/>
    <x v="234"/>
    <x v="234"/>
    <x v="0"/>
  </r>
  <r>
    <x v="41"/>
    <x v="162"/>
    <x v="1"/>
    <x v="0"/>
    <x v="17"/>
    <x v="0"/>
    <x v="235"/>
    <x v="235"/>
    <x v="1"/>
    <x v="18"/>
    <x v="0"/>
    <x v="1"/>
    <x v="11"/>
    <x v="235"/>
    <x v="235"/>
    <x v="235"/>
    <x v="235"/>
    <x v="235"/>
    <x v="235"/>
    <x v="235"/>
    <x v="0"/>
    <x v="0"/>
    <x v="235"/>
    <x v="235"/>
    <x v="0"/>
  </r>
  <r>
    <x v="82"/>
    <x v="163"/>
    <x v="0"/>
    <x v="3"/>
    <x v="44"/>
    <x v="3"/>
    <x v="236"/>
    <x v="236"/>
    <x v="0"/>
    <x v="26"/>
    <x v="2"/>
    <x v="1"/>
    <x v="12"/>
    <x v="236"/>
    <x v="236"/>
    <x v="236"/>
    <x v="236"/>
    <x v="236"/>
    <x v="236"/>
    <x v="236"/>
    <x v="0"/>
    <x v="1"/>
    <x v="236"/>
    <x v="236"/>
    <x v="1"/>
  </r>
  <r>
    <x v="86"/>
    <x v="58"/>
    <x v="3"/>
    <x v="2"/>
    <x v="26"/>
    <x v="0"/>
    <x v="237"/>
    <x v="237"/>
    <x v="0"/>
    <x v="26"/>
    <x v="1"/>
    <x v="1"/>
    <x v="6"/>
    <x v="237"/>
    <x v="237"/>
    <x v="237"/>
    <x v="237"/>
    <x v="237"/>
    <x v="237"/>
    <x v="237"/>
    <x v="0"/>
    <x v="1"/>
    <x v="237"/>
    <x v="237"/>
    <x v="1"/>
  </r>
  <r>
    <x v="82"/>
    <x v="78"/>
    <x v="4"/>
    <x v="1"/>
    <x v="21"/>
    <x v="1"/>
    <x v="238"/>
    <x v="238"/>
    <x v="0"/>
    <x v="0"/>
    <x v="1"/>
    <x v="1"/>
    <x v="17"/>
    <x v="238"/>
    <x v="238"/>
    <x v="238"/>
    <x v="238"/>
    <x v="238"/>
    <x v="238"/>
    <x v="238"/>
    <x v="0"/>
    <x v="0"/>
    <x v="238"/>
    <x v="238"/>
    <x v="0"/>
  </r>
  <r>
    <x v="89"/>
    <x v="164"/>
    <x v="0"/>
    <x v="0"/>
    <x v="33"/>
    <x v="2"/>
    <x v="239"/>
    <x v="239"/>
    <x v="0"/>
    <x v="16"/>
    <x v="1"/>
    <x v="0"/>
    <x v="0"/>
    <x v="239"/>
    <x v="239"/>
    <x v="239"/>
    <x v="239"/>
    <x v="239"/>
    <x v="239"/>
    <x v="239"/>
    <x v="0"/>
    <x v="1"/>
    <x v="239"/>
    <x v="239"/>
    <x v="1"/>
  </r>
  <r>
    <x v="33"/>
    <x v="165"/>
    <x v="3"/>
    <x v="0"/>
    <x v="11"/>
    <x v="0"/>
    <x v="240"/>
    <x v="240"/>
    <x v="1"/>
    <x v="10"/>
    <x v="1"/>
    <x v="0"/>
    <x v="7"/>
    <x v="240"/>
    <x v="240"/>
    <x v="240"/>
    <x v="240"/>
    <x v="240"/>
    <x v="240"/>
    <x v="240"/>
    <x v="0"/>
    <x v="1"/>
    <x v="240"/>
    <x v="240"/>
    <x v="1"/>
  </r>
  <r>
    <x v="8"/>
    <x v="117"/>
    <x v="0"/>
    <x v="3"/>
    <x v="35"/>
    <x v="1"/>
    <x v="241"/>
    <x v="241"/>
    <x v="1"/>
    <x v="9"/>
    <x v="1"/>
    <x v="0"/>
    <x v="12"/>
    <x v="241"/>
    <x v="241"/>
    <x v="241"/>
    <x v="241"/>
    <x v="241"/>
    <x v="241"/>
    <x v="241"/>
    <x v="0"/>
    <x v="1"/>
    <x v="241"/>
    <x v="241"/>
    <x v="1"/>
  </r>
  <r>
    <x v="87"/>
    <x v="28"/>
    <x v="1"/>
    <x v="1"/>
    <x v="20"/>
    <x v="0"/>
    <x v="242"/>
    <x v="242"/>
    <x v="0"/>
    <x v="20"/>
    <x v="0"/>
    <x v="1"/>
    <x v="13"/>
    <x v="242"/>
    <x v="242"/>
    <x v="242"/>
    <x v="242"/>
    <x v="242"/>
    <x v="242"/>
    <x v="242"/>
    <x v="0"/>
    <x v="1"/>
    <x v="242"/>
    <x v="242"/>
    <x v="1"/>
  </r>
  <r>
    <x v="90"/>
    <x v="166"/>
    <x v="1"/>
    <x v="3"/>
    <x v="21"/>
    <x v="1"/>
    <x v="243"/>
    <x v="243"/>
    <x v="0"/>
    <x v="12"/>
    <x v="1"/>
    <x v="0"/>
    <x v="16"/>
    <x v="243"/>
    <x v="243"/>
    <x v="243"/>
    <x v="243"/>
    <x v="243"/>
    <x v="243"/>
    <x v="243"/>
    <x v="0"/>
    <x v="0"/>
    <x v="243"/>
    <x v="243"/>
    <x v="0"/>
  </r>
  <r>
    <x v="17"/>
    <x v="163"/>
    <x v="1"/>
    <x v="3"/>
    <x v="21"/>
    <x v="1"/>
    <x v="244"/>
    <x v="244"/>
    <x v="0"/>
    <x v="6"/>
    <x v="2"/>
    <x v="0"/>
    <x v="16"/>
    <x v="244"/>
    <x v="244"/>
    <x v="244"/>
    <x v="244"/>
    <x v="244"/>
    <x v="244"/>
    <x v="244"/>
    <x v="0"/>
    <x v="0"/>
    <x v="244"/>
    <x v="244"/>
    <x v="0"/>
  </r>
  <r>
    <x v="11"/>
    <x v="167"/>
    <x v="4"/>
    <x v="1"/>
    <x v="31"/>
    <x v="1"/>
    <x v="245"/>
    <x v="245"/>
    <x v="0"/>
    <x v="17"/>
    <x v="0"/>
    <x v="0"/>
    <x v="17"/>
    <x v="245"/>
    <x v="245"/>
    <x v="245"/>
    <x v="245"/>
    <x v="245"/>
    <x v="245"/>
    <x v="245"/>
    <x v="0"/>
    <x v="0"/>
    <x v="245"/>
    <x v="245"/>
    <x v="0"/>
  </r>
  <r>
    <x v="91"/>
    <x v="168"/>
    <x v="1"/>
    <x v="1"/>
    <x v="31"/>
    <x v="2"/>
    <x v="246"/>
    <x v="246"/>
    <x v="1"/>
    <x v="24"/>
    <x v="2"/>
    <x v="1"/>
    <x v="13"/>
    <x v="246"/>
    <x v="246"/>
    <x v="246"/>
    <x v="246"/>
    <x v="246"/>
    <x v="246"/>
    <x v="246"/>
    <x v="0"/>
    <x v="1"/>
    <x v="246"/>
    <x v="246"/>
    <x v="1"/>
  </r>
  <r>
    <x v="92"/>
    <x v="96"/>
    <x v="3"/>
    <x v="1"/>
    <x v="9"/>
    <x v="0"/>
    <x v="247"/>
    <x v="247"/>
    <x v="1"/>
    <x v="13"/>
    <x v="1"/>
    <x v="0"/>
    <x v="8"/>
    <x v="247"/>
    <x v="247"/>
    <x v="247"/>
    <x v="247"/>
    <x v="247"/>
    <x v="247"/>
    <x v="247"/>
    <x v="0"/>
    <x v="1"/>
    <x v="247"/>
    <x v="247"/>
    <x v="1"/>
  </r>
  <r>
    <x v="86"/>
    <x v="113"/>
    <x v="0"/>
    <x v="2"/>
    <x v="13"/>
    <x v="3"/>
    <x v="248"/>
    <x v="248"/>
    <x v="1"/>
    <x v="21"/>
    <x v="2"/>
    <x v="1"/>
    <x v="3"/>
    <x v="248"/>
    <x v="248"/>
    <x v="248"/>
    <x v="248"/>
    <x v="248"/>
    <x v="248"/>
    <x v="248"/>
    <x v="0"/>
    <x v="0"/>
    <x v="248"/>
    <x v="248"/>
    <x v="0"/>
  </r>
  <r>
    <x v="74"/>
    <x v="169"/>
    <x v="2"/>
    <x v="1"/>
    <x v="1"/>
    <x v="3"/>
    <x v="249"/>
    <x v="249"/>
    <x v="1"/>
    <x v="22"/>
    <x v="0"/>
    <x v="0"/>
    <x v="5"/>
    <x v="249"/>
    <x v="249"/>
    <x v="249"/>
    <x v="249"/>
    <x v="249"/>
    <x v="249"/>
    <x v="249"/>
    <x v="0"/>
    <x v="1"/>
    <x v="249"/>
    <x v="249"/>
    <x v="1"/>
  </r>
  <r>
    <x v="67"/>
    <x v="170"/>
    <x v="3"/>
    <x v="0"/>
    <x v="33"/>
    <x v="3"/>
    <x v="250"/>
    <x v="250"/>
    <x v="0"/>
    <x v="25"/>
    <x v="0"/>
    <x v="1"/>
    <x v="7"/>
    <x v="250"/>
    <x v="250"/>
    <x v="250"/>
    <x v="250"/>
    <x v="250"/>
    <x v="250"/>
    <x v="250"/>
    <x v="0"/>
    <x v="1"/>
    <x v="250"/>
    <x v="250"/>
    <x v="1"/>
  </r>
  <r>
    <x v="93"/>
    <x v="59"/>
    <x v="3"/>
    <x v="3"/>
    <x v="34"/>
    <x v="3"/>
    <x v="251"/>
    <x v="251"/>
    <x v="0"/>
    <x v="16"/>
    <x v="0"/>
    <x v="0"/>
    <x v="14"/>
    <x v="251"/>
    <x v="251"/>
    <x v="251"/>
    <x v="251"/>
    <x v="251"/>
    <x v="251"/>
    <x v="251"/>
    <x v="0"/>
    <x v="1"/>
    <x v="251"/>
    <x v="251"/>
    <x v="1"/>
  </r>
  <r>
    <x v="85"/>
    <x v="37"/>
    <x v="1"/>
    <x v="2"/>
    <x v="22"/>
    <x v="1"/>
    <x v="252"/>
    <x v="252"/>
    <x v="1"/>
    <x v="28"/>
    <x v="2"/>
    <x v="0"/>
    <x v="2"/>
    <x v="252"/>
    <x v="252"/>
    <x v="252"/>
    <x v="252"/>
    <x v="252"/>
    <x v="252"/>
    <x v="252"/>
    <x v="0"/>
    <x v="1"/>
    <x v="252"/>
    <x v="252"/>
    <x v="1"/>
  </r>
  <r>
    <x v="35"/>
    <x v="129"/>
    <x v="4"/>
    <x v="1"/>
    <x v="27"/>
    <x v="0"/>
    <x v="253"/>
    <x v="253"/>
    <x v="1"/>
    <x v="4"/>
    <x v="0"/>
    <x v="0"/>
    <x v="17"/>
    <x v="253"/>
    <x v="253"/>
    <x v="253"/>
    <x v="253"/>
    <x v="253"/>
    <x v="253"/>
    <x v="253"/>
    <x v="0"/>
    <x v="0"/>
    <x v="253"/>
    <x v="253"/>
    <x v="0"/>
  </r>
  <r>
    <x v="26"/>
    <x v="150"/>
    <x v="0"/>
    <x v="2"/>
    <x v="25"/>
    <x v="0"/>
    <x v="254"/>
    <x v="254"/>
    <x v="0"/>
    <x v="2"/>
    <x v="2"/>
    <x v="1"/>
    <x v="3"/>
    <x v="254"/>
    <x v="254"/>
    <x v="254"/>
    <x v="254"/>
    <x v="254"/>
    <x v="254"/>
    <x v="254"/>
    <x v="0"/>
    <x v="1"/>
    <x v="254"/>
    <x v="254"/>
    <x v="1"/>
  </r>
  <r>
    <x v="86"/>
    <x v="171"/>
    <x v="4"/>
    <x v="1"/>
    <x v="29"/>
    <x v="2"/>
    <x v="255"/>
    <x v="255"/>
    <x v="0"/>
    <x v="28"/>
    <x v="1"/>
    <x v="0"/>
    <x v="17"/>
    <x v="255"/>
    <x v="255"/>
    <x v="255"/>
    <x v="255"/>
    <x v="255"/>
    <x v="255"/>
    <x v="255"/>
    <x v="0"/>
    <x v="1"/>
    <x v="255"/>
    <x v="255"/>
    <x v="1"/>
  </r>
  <r>
    <x v="29"/>
    <x v="172"/>
    <x v="0"/>
    <x v="2"/>
    <x v="20"/>
    <x v="0"/>
    <x v="256"/>
    <x v="256"/>
    <x v="0"/>
    <x v="17"/>
    <x v="1"/>
    <x v="0"/>
    <x v="3"/>
    <x v="256"/>
    <x v="256"/>
    <x v="256"/>
    <x v="256"/>
    <x v="256"/>
    <x v="256"/>
    <x v="256"/>
    <x v="0"/>
    <x v="1"/>
    <x v="256"/>
    <x v="256"/>
    <x v="1"/>
  </r>
  <r>
    <x v="1"/>
    <x v="173"/>
    <x v="0"/>
    <x v="3"/>
    <x v="1"/>
    <x v="0"/>
    <x v="257"/>
    <x v="257"/>
    <x v="0"/>
    <x v="22"/>
    <x v="2"/>
    <x v="1"/>
    <x v="12"/>
    <x v="257"/>
    <x v="257"/>
    <x v="257"/>
    <x v="257"/>
    <x v="257"/>
    <x v="257"/>
    <x v="257"/>
    <x v="0"/>
    <x v="1"/>
    <x v="257"/>
    <x v="257"/>
    <x v="1"/>
  </r>
  <r>
    <x v="12"/>
    <x v="174"/>
    <x v="4"/>
    <x v="3"/>
    <x v="1"/>
    <x v="0"/>
    <x v="258"/>
    <x v="258"/>
    <x v="0"/>
    <x v="26"/>
    <x v="0"/>
    <x v="1"/>
    <x v="18"/>
    <x v="258"/>
    <x v="258"/>
    <x v="258"/>
    <x v="258"/>
    <x v="258"/>
    <x v="258"/>
    <x v="258"/>
    <x v="0"/>
    <x v="0"/>
    <x v="258"/>
    <x v="258"/>
    <x v="0"/>
  </r>
  <r>
    <x v="94"/>
    <x v="175"/>
    <x v="3"/>
    <x v="0"/>
    <x v="42"/>
    <x v="2"/>
    <x v="259"/>
    <x v="259"/>
    <x v="1"/>
    <x v="30"/>
    <x v="2"/>
    <x v="1"/>
    <x v="7"/>
    <x v="259"/>
    <x v="259"/>
    <x v="259"/>
    <x v="259"/>
    <x v="259"/>
    <x v="259"/>
    <x v="259"/>
    <x v="0"/>
    <x v="0"/>
    <x v="259"/>
    <x v="259"/>
    <x v="0"/>
  </r>
  <r>
    <x v="26"/>
    <x v="109"/>
    <x v="0"/>
    <x v="0"/>
    <x v="4"/>
    <x v="3"/>
    <x v="260"/>
    <x v="260"/>
    <x v="1"/>
    <x v="27"/>
    <x v="2"/>
    <x v="1"/>
    <x v="0"/>
    <x v="260"/>
    <x v="260"/>
    <x v="260"/>
    <x v="260"/>
    <x v="260"/>
    <x v="260"/>
    <x v="260"/>
    <x v="0"/>
    <x v="0"/>
    <x v="260"/>
    <x v="260"/>
    <x v="0"/>
  </r>
  <r>
    <x v="49"/>
    <x v="162"/>
    <x v="4"/>
    <x v="1"/>
    <x v="1"/>
    <x v="0"/>
    <x v="261"/>
    <x v="261"/>
    <x v="0"/>
    <x v="15"/>
    <x v="2"/>
    <x v="0"/>
    <x v="17"/>
    <x v="261"/>
    <x v="261"/>
    <x v="261"/>
    <x v="261"/>
    <x v="261"/>
    <x v="261"/>
    <x v="261"/>
    <x v="0"/>
    <x v="0"/>
    <x v="261"/>
    <x v="261"/>
    <x v="0"/>
  </r>
  <r>
    <x v="88"/>
    <x v="26"/>
    <x v="0"/>
    <x v="3"/>
    <x v="34"/>
    <x v="2"/>
    <x v="262"/>
    <x v="262"/>
    <x v="0"/>
    <x v="0"/>
    <x v="1"/>
    <x v="0"/>
    <x v="12"/>
    <x v="262"/>
    <x v="262"/>
    <x v="262"/>
    <x v="262"/>
    <x v="262"/>
    <x v="262"/>
    <x v="262"/>
    <x v="0"/>
    <x v="0"/>
    <x v="262"/>
    <x v="262"/>
    <x v="0"/>
  </r>
  <r>
    <x v="41"/>
    <x v="170"/>
    <x v="2"/>
    <x v="2"/>
    <x v="1"/>
    <x v="2"/>
    <x v="263"/>
    <x v="263"/>
    <x v="1"/>
    <x v="7"/>
    <x v="2"/>
    <x v="1"/>
    <x v="10"/>
    <x v="263"/>
    <x v="263"/>
    <x v="263"/>
    <x v="263"/>
    <x v="263"/>
    <x v="263"/>
    <x v="263"/>
    <x v="0"/>
    <x v="1"/>
    <x v="263"/>
    <x v="263"/>
    <x v="1"/>
  </r>
  <r>
    <x v="95"/>
    <x v="8"/>
    <x v="3"/>
    <x v="2"/>
    <x v="10"/>
    <x v="1"/>
    <x v="264"/>
    <x v="264"/>
    <x v="0"/>
    <x v="15"/>
    <x v="1"/>
    <x v="0"/>
    <x v="6"/>
    <x v="264"/>
    <x v="264"/>
    <x v="264"/>
    <x v="264"/>
    <x v="264"/>
    <x v="264"/>
    <x v="264"/>
    <x v="0"/>
    <x v="1"/>
    <x v="264"/>
    <x v="264"/>
    <x v="1"/>
  </r>
  <r>
    <x v="88"/>
    <x v="18"/>
    <x v="1"/>
    <x v="2"/>
    <x v="28"/>
    <x v="2"/>
    <x v="265"/>
    <x v="265"/>
    <x v="1"/>
    <x v="26"/>
    <x v="2"/>
    <x v="1"/>
    <x v="2"/>
    <x v="265"/>
    <x v="265"/>
    <x v="265"/>
    <x v="265"/>
    <x v="265"/>
    <x v="265"/>
    <x v="265"/>
    <x v="0"/>
    <x v="1"/>
    <x v="265"/>
    <x v="265"/>
    <x v="1"/>
  </r>
  <r>
    <x v="94"/>
    <x v="176"/>
    <x v="0"/>
    <x v="0"/>
    <x v="27"/>
    <x v="3"/>
    <x v="266"/>
    <x v="266"/>
    <x v="1"/>
    <x v="4"/>
    <x v="1"/>
    <x v="0"/>
    <x v="0"/>
    <x v="266"/>
    <x v="266"/>
    <x v="266"/>
    <x v="266"/>
    <x v="266"/>
    <x v="266"/>
    <x v="266"/>
    <x v="0"/>
    <x v="1"/>
    <x v="266"/>
    <x v="266"/>
    <x v="1"/>
  </r>
  <r>
    <x v="78"/>
    <x v="67"/>
    <x v="2"/>
    <x v="2"/>
    <x v="32"/>
    <x v="0"/>
    <x v="267"/>
    <x v="267"/>
    <x v="1"/>
    <x v="20"/>
    <x v="2"/>
    <x v="1"/>
    <x v="10"/>
    <x v="267"/>
    <x v="267"/>
    <x v="267"/>
    <x v="267"/>
    <x v="267"/>
    <x v="267"/>
    <x v="267"/>
    <x v="0"/>
    <x v="0"/>
    <x v="267"/>
    <x v="267"/>
    <x v="0"/>
  </r>
  <r>
    <x v="43"/>
    <x v="177"/>
    <x v="1"/>
    <x v="0"/>
    <x v="22"/>
    <x v="2"/>
    <x v="268"/>
    <x v="268"/>
    <x v="1"/>
    <x v="21"/>
    <x v="2"/>
    <x v="0"/>
    <x v="11"/>
    <x v="268"/>
    <x v="268"/>
    <x v="268"/>
    <x v="268"/>
    <x v="268"/>
    <x v="268"/>
    <x v="268"/>
    <x v="0"/>
    <x v="0"/>
    <x v="268"/>
    <x v="268"/>
    <x v="0"/>
  </r>
  <r>
    <x v="0"/>
    <x v="178"/>
    <x v="1"/>
    <x v="0"/>
    <x v="7"/>
    <x v="3"/>
    <x v="269"/>
    <x v="269"/>
    <x v="0"/>
    <x v="12"/>
    <x v="0"/>
    <x v="1"/>
    <x v="11"/>
    <x v="269"/>
    <x v="269"/>
    <x v="269"/>
    <x v="269"/>
    <x v="269"/>
    <x v="269"/>
    <x v="269"/>
    <x v="0"/>
    <x v="1"/>
    <x v="269"/>
    <x v="269"/>
    <x v="1"/>
  </r>
  <r>
    <x v="20"/>
    <x v="113"/>
    <x v="0"/>
    <x v="1"/>
    <x v="28"/>
    <x v="2"/>
    <x v="270"/>
    <x v="270"/>
    <x v="0"/>
    <x v="27"/>
    <x v="0"/>
    <x v="1"/>
    <x v="1"/>
    <x v="270"/>
    <x v="270"/>
    <x v="270"/>
    <x v="270"/>
    <x v="270"/>
    <x v="270"/>
    <x v="270"/>
    <x v="0"/>
    <x v="0"/>
    <x v="270"/>
    <x v="270"/>
    <x v="0"/>
  </r>
  <r>
    <x v="58"/>
    <x v="16"/>
    <x v="4"/>
    <x v="2"/>
    <x v="20"/>
    <x v="2"/>
    <x v="271"/>
    <x v="271"/>
    <x v="1"/>
    <x v="5"/>
    <x v="2"/>
    <x v="0"/>
    <x v="9"/>
    <x v="271"/>
    <x v="271"/>
    <x v="271"/>
    <x v="271"/>
    <x v="271"/>
    <x v="271"/>
    <x v="271"/>
    <x v="0"/>
    <x v="1"/>
    <x v="271"/>
    <x v="271"/>
    <x v="1"/>
  </r>
  <r>
    <x v="36"/>
    <x v="168"/>
    <x v="0"/>
    <x v="2"/>
    <x v="29"/>
    <x v="2"/>
    <x v="272"/>
    <x v="272"/>
    <x v="0"/>
    <x v="0"/>
    <x v="2"/>
    <x v="0"/>
    <x v="3"/>
    <x v="272"/>
    <x v="272"/>
    <x v="272"/>
    <x v="272"/>
    <x v="272"/>
    <x v="272"/>
    <x v="272"/>
    <x v="0"/>
    <x v="1"/>
    <x v="272"/>
    <x v="272"/>
    <x v="1"/>
  </r>
  <r>
    <x v="60"/>
    <x v="179"/>
    <x v="2"/>
    <x v="3"/>
    <x v="13"/>
    <x v="2"/>
    <x v="273"/>
    <x v="273"/>
    <x v="0"/>
    <x v="7"/>
    <x v="2"/>
    <x v="0"/>
    <x v="4"/>
    <x v="273"/>
    <x v="273"/>
    <x v="273"/>
    <x v="273"/>
    <x v="273"/>
    <x v="273"/>
    <x v="273"/>
    <x v="0"/>
    <x v="1"/>
    <x v="273"/>
    <x v="273"/>
    <x v="1"/>
  </r>
  <r>
    <x v="66"/>
    <x v="180"/>
    <x v="1"/>
    <x v="1"/>
    <x v="30"/>
    <x v="2"/>
    <x v="274"/>
    <x v="274"/>
    <x v="0"/>
    <x v="17"/>
    <x v="2"/>
    <x v="1"/>
    <x v="13"/>
    <x v="274"/>
    <x v="274"/>
    <x v="274"/>
    <x v="274"/>
    <x v="274"/>
    <x v="274"/>
    <x v="274"/>
    <x v="0"/>
    <x v="0"/>
    <x v="274"/>
    <x v="274"/>
    <x v="0"/>
  </r>
  <r>
    <x v="67"/>
    <x v="181"/>
    <x v="0"/>
    <x v="3"/>
    <x v="4"/>
    <x v="3"/>
    <x v="275"/>
    <x v="275"/>
    <x v="0"/>
    <x v="24"/>
    <x v="0"/>
    <x v="0"/>
    <x v="12"/>
    <x v="275"/>
    <x v="275"/>
    <x v="275"/>
    <x v="275"/>
    <x v="275"/>
    <x v="275"/>
    <x v="275"/>
    <x v="0"/>
    <x v="1"/>
    <x v="275"/>
    <x v="275"/>
    <x v="1"/>
  </r>
  <r>
    <x v="28"/>
    <x v="76"/>
    <x v="4"/>
    <x v="1"/>
    <x v="37"/>
    <x v="0"/>
    <x v="276"/>
    <x v="276"/>
    <x v="1"/>
    <x v="25"/>
    <x v="1"/>
    <x v="1"/>
    <x v="17"/>
    <x v="276"/>
    <x v="276"/>
    <x v="276"/>
    <x v="276"/>
    <x v="276"/>
    <x v="276"/>
    <x v="276"/>
    <x v="0"/>
    <x v="1"/>
    <x v="276"/>
    <x v="276"/>
    <x v="1"/>
  </r>
  <r>
    <x v="84"/>
    <x v="92"/>
    <x v="0"/>
    <x v="2"/>
    <x v="17"/>
    <x v="0"/>
    <x v="277"/>
    <x v="277"/>
    <x v="0"/>
    <x v="27"/>
    <x v="2"/>
    <x v="0"/>
    <x v="3"/>
    <x v="277"/>
    <x v="277"/>
    <x v="277"/>
    <x v="277"/>
    <x v="277"/>
    <x v="277"/>
    <x v="277"/>
    <x v="0"/>
    <x v="1"/>
    <x v="277"/>
    <x v="277"/>
    <x v="1"/>
  </r>
  <r>
    <x v="23"/>
    <x v="177"/>
    <x v="3"/>
    <x v="0"/>
    <x v="22"/>
    <x v="0"/>
    <x v="278"/>
    <x v="278"/>
    <x v="1"/>
    <x v="20"/>
    <x v="0"/>
    <x v="0"/>
    <x v="7"/>
    <x v="278"/>
    <x v="278"/>
    <x v="278"/>
    <x v="278"/>
    <x v="278"/>
    <x v="278"/>
    <x v="278"/>
    <x v="0"/>
    <x v="1"/>
    <x v="278"/>
    <x v="278"/>
    <x v="1"/>
  </r>
  <r>
    <x v="50"/>
    <x v="141"/>
    <x v="4"/>
    <x v="0"/>
    <x v="32"/>
    <x v="0"/>
    <x v="279"/>
    <x v="279"/>
    <x v="1"/>
    <x v="1"/>
    <x v="2"/>
    <x v="1"/>
    <x v="15"/>
    <x v="279"/>
    <x v="279"/>
    <x v="279"/>
    <x v="279"/>
    <x v="279"/>
    <x v="279"/>
    <x v="279"/>
    <x v="0"/>
    <x v="1"/>
    <x v="279"/>
    <x v="279"/>
    <x v="1"/>
  </r>
  <r>
    <x v="71"/>
    <x v="40"/>
    <x v="2"/>
    <x v="0"/>
    <x v="47"/>
    <x v="3"/>
    <x v="280"/>
    <x v="280"/>
    <x v="0"/>
    <x v="20"/>
    <x v="2"/>
    <x v="1"/>
    <x v="19"/>
    <x v="280"/>
    <x v="280"/>
    <x v="280"/>
    <x v="280"/>
    <x v="280"/>
    <x v="280"/>
    <x v="280"/>
    <x v="0"/>
    <x v="1"/>
    <x v="280"/>
    <x v="280"/>
    <x v="1"/>
  </r>
  <r>
    <x v="96"/>
    <x v="182"/>
    <x v="1"/>
    <x v="0"/>
    <x v="33"/>
    <x v="1"/>
    <x v="281"/>
    <x v="281"/>
    <x v="1"/>
    <x v="2"/>
    <x v="1"/>
    <x v="0"/>
    <x v="11"/>
    <x v="281"/>
    <x v="281"/>
    <x v="281"/>
    <x v="281"/>
    <x v="281"/>
    <x v="281"/>
    <x v="281"/>
    <x v="0"/>
    <x v="1"/>
    <x v="281"/>
    <x v="281"/>
    <x v="1"/>
  </r>
  <r>
    <x v="79"/>
    <x v="113"/>
    <x v="0"/>
    <x v="0"/>
    <x v="37"/>
    <x v="1"/>
    <x v="282"/>
    <x v="282"/>
    <x v="0"/>
    <x v="5"/>
    <x v="2"/>
    <x v="1"/>
    <x v="0"/>
    <x v="282"/>
    <x v="282"/>
    <x v="282"/>
    <x v="282"/>
    <x v="282"/>
    <x v="282"/>
    <x v="282"/>
    <x v="0"/>
    <x v="1"/>
    <x v="282"/>
    <x v="282"/>
    <x v="1"/>
  </r>
  <r>
    <x v="27"/>
    <x v="183"/>
    <x v="4"/>
    <x v="3"/>
    <x v="18"/>
    <x v="3"/>
    <x v="283"/>
    <x v="283"/>
    <x v="0"/>
    <x v="25"/>
    <x v="2"/>
    <x v="1"/>
    <x v="18"/>
    <x v="283"/>
    <x v="283"/>
    <x v="283"/>
    <x v="283"/>
    <x v="283"/>
    <x v="283"/>
    <x v="283"/>
    <x v="0"/>
    <x v="0"/>
    <x v="283"/>
    <x v="283"/>
    <x v="0"/>
  </r>
  <r>
    <x v="73"/>
    <x v="143"/>
    <x v="3"/>
    <x v="1"/>
    <x v="44"/>
    <x v="3"/>
    <x v="284"/>
    <x v="284"/>
    <x v="1"/>
    <x v="1"/>
    <x v="1"/>
    <x v="0"/>
    <x v="8"/>
    <x v="284"/>
    <x v="284"/>
    <x v="284"/>
    <x v="284"/>
    <x v="284"/>
    <x v="284"/>
    <x v="284"/>
    <x v="0"/>
    <x v="1"/>
    <x v="284"/>
    <x v="284"/>
    <x v="1"/>
  </r>
  <r>
    <x v="34"/>
    <x v="180"/>
    <x v="4"/>
    <x v="2"/>
    <x v="24"/>
    <x v="2"/>
    <x v="285"/>
    <x v="285"/>
    <x v="0"/>
    <x v="17"/>
    <x v="1"/>
    <x v="1"/>
    <x v="9"/>
    <x v="285"/>
    <x v="285"/>
    <x v="285"/>
    <x v="285"/>
    <x v="285"/>
    <x v="285"/>
    <x v="285"/>
    <x v="0"/>
    <x v="0"/>
    <x v="285"/>
    <x v="285"/>
    <x v="0"/>
  </r>
  <r>
    <x v="93"/>
    <x v="184"/>
    <x v="3"/>
    <x v="3"/>
    <x v="42"/>
    <x v="2"/>
    <x v="286"/>
    <x v="286"/>
    <x v="1"/>
    <x v="26"/>
    <x v="1"/>
    <x v="0"/>
    <x v="14"/>
    <x v="286"/>
    <x v="286"/>
    <x v="286"/>
    <x v="286"/>
    <x v="286"/>
    <x v="286"/>
    <x v="286"/>
    <x v="0"/>
    <x v="1"/>
    <x v="286"/>
    <x v="286"/>
    <x v="1"/>
  </r>
  <r>
    <x v="41"/>
    <x v="160"/>
    <x v="2"/>
    <x v="1"/>
    <x v="20"/>
    <x v="2"/>
    <x v="287"/>
    <x v="287"/>
    <x v="1"/>
    <x v="13"/>
    <x v="1"/>
    <x v="0"/>
    <x v="5"/>
    <x v="287"/>
    <x v="287"/>
    <x v="287"/>
    <x v="287"/>
    <x v="287"/>
    <x v="287"/>
    <x v="287"/>
    <x v="0"/>
    <x v="1"/>
    <x v="287"/>
    <x v="287"/>
    <x v="1"/>
  </r>
  <r>
    <x v="19"/>
    <x v="185"/>
    <x v="1"/>
    <x v="0"/>
    <x v="47"/>
    <x v="0"/>
    <x v="288"/>
    <x v="288"/>
    <x v="0"/>
    <x v="9"/>
    <x v="0"/>
    <x v="1"/>
    <x v="11"/>
    <x v="288"/>
    <x v="288"/>
    <x v="288"/>
    <x v="288"/>
    <x v="288"/>
    <x v="288"/>
    <x v="288"/>
    <x v="0"/>
    <x v="1"/>
    <x v="288"/>
    <x v="288"/>
    <x v="1"/>
  </r>
  <r>
    <x v="15"/>
    <x v="149"/>
    <x v="2"/>
    <x v="1"/>
    <x v="42"/>
    <x v="2"/>
    <x v="289"/>
    <x v="289"/>
    <x v="0"/>
    <x v="24"/>
    <x v="0"/>
    <x v="0"/>
    <x v="5"/>
    <x v="289"/>
    <x v="289"/>
    <x v="289"/>
    <x v="289"/>
    <x v="289"/>
    <x v="289"/>
    <x v="289"/>
    <x v="0"/>
    <x v="1"/>
    <x v="289"/>
    <x v="289"/>
    <x v="1"/>
  </r>
  <r>
    <x v="66"/>
    <x v="186"/>
    <x v="0"/>
    <x v="1"/>
    <x v="46"/>
    <x v="1"/>
    <x v="290"/>
    <x v="290"/>
    <x v="0"/>
    <x v="30"/>
    <x v="0"/>
    <x v="1"/>
    <x v="1"/>
    <x v="290"/>
    <x v="290"/>
    <x v="290"/>
    <x v="290"/>
    <x v="290"/>
    <x v="290"/>
    <x v="290"/>
    <x v="0"/>
    <x v="0"/>
    <x v="290"/>
    <x v="290"/>
    <x v="0"/>
  </r>
  <r>
    <x v="57"/>
    <x v="187"/>
    <x v="4"/>
    <x v="0"/>
    <x v="32"/>
    <x v="0"/>
    <x v="291"/>
    <x v="291"/>
    <x v="1"/>
    <x v="16"/>
    <x v="2"/>
    <x v="0"/>
    <x v="15"/>
    <x v="291"/>
    <x v="291"/>
    <x v="291"/>
    <x v="291"/>
    <x v="291"/>
    <x v="291"/>
    <x v="291"/>
    <x v="0"/>
    <x v="1"/>
    <x v="291"/>
    <x v="291"/>
    <x v="1"/>
  </r>
  <r>
    <x v="70"/>
    <x v="24"/>
    <x v="3"/>
    <x v="0"/>
    <x v="32"/>
    <x v="2"/>
    <x v="292"/>
    <x v="292"/>
    <x v="0"/>
    <x v="23"/>
    <x v="1"/>
    <x v="1"/>
    <x v="7"/>
    <x v="292"/>
    <x v="292"/>
    <x v="292"/>
    <x v="292"/>
    <x v="292"/>
    <x v="292"/>
    <x v="292"/>
    <x v="0"/>
    <x v="1"/>
    <x v="292"/>
    <x v="292"/>
    <x v="1"/>
  </r>
  <r>
    <x v="91"/>
    <x v="188"/>
    <x v="3"/>
    <x v="0"/>
    <x v="0"/>
    <x v="0"/>
    <x v="293"/>
    <x v="293"/>
    <x v="1"/>
    <x v="29"/>
    <x v="1"/>
    <x v="1"/>
    <x v="7"/>
    <x v="293"/>
    <x v="293"/>
    <x v="293"/>
    <x v="293"/>
    <x v="293"/>
    <x v="293"/>
    <x v="293"/>
    <x v="0"/>
    <x v="1"/>
    <x v="293"/>
    <x v="293"/>
    <x v="1"/>
  </r>
  <r>
    <x v="72"/>
    <x v="189"/>
    <x v="4"/>
    <x v="2"/>
    <x v="41"/>
    <x v="1"/>
    <x v="294"/>
    <x v="294"/>
    <x v="1"/>
    <x v="19"/>
    <x v="0"/>
    <x v="1"/>
    <x v="9"/>
    <x v="294"/>
    <x v="294"/>
    <x v="294"/>
    <x v="294"/>
    <x v="294"/>
    <x v="294"/>
    <x v="294"/>
    <x v="0"/>
    <x v="1"/>
    <x v="294"/>
    <x v="294"/>
    <x v="1"/>
  </r>
  <r>
    <x v="82"/>
    <x v="178"/>
    <x v="4"/>
    <x v="0"/>
    <x v="1"/>
    <x v="2"/>
    <x v="295"/>
    <x v="295"/>
    <x v="0"/>
    <x v="1"/>
    <x v="2"/>
    <x v="1"/>
    <x v="15"/>
    <x v="295"/>
    <x v="295"/>
    <x v="295"/>
    <x v="295"/>
    <x v="295"/>
    <x v="295"/>
    <x v="295"/>
    <x v="0"/>
    <x v="0"/>
    <x v="295"/>
    <x v="295"/>
    <x v="0"/>
  </r>
  <r>
    <x v="40"/>
    <x v="82"/>
    <x v="0"/>
    <x v="2"/>
    <x v="28"/>
    <x v="1"/>
    <x v="296"/>
    <x v="296"/>
    <x v="0"/>
    <x v="17"/>
    <x v="2"/>
    <x v="1"/>
    <x v="3"/>
    <x v="296"/>
    <x v="296"/>
    <x v="296"/>
    <x v="296"/>
    <x v="296"/>
    <x v="296"/>
    <x v="296"/>
    <x v="0"/>
    <x v="0"/>
    <x v="296"/>
    <x v="296"/>
    <x v="0"/>
  </r>
  <r>
    <x v="73"/>
    <x v="95"/>
    <x v="2"/>
    <x v="0"/>
    <x v="28"/>
    <x v="1"/>
    <x v="297"/>
    <x v="297"/>
    <x v="0"/>
    <x v="20"/>
    <x v="2"/>
    <x v="0"/>
    <x v="19"/>
    <x v="297"/>
    <x v="297"/>
    <x v="297"/>
    <x v="297"/>
    <x v="297"/>
    <x v="297"/>
    <x v="297"/>
    <x v="0"/>
    <x v="1"/>
    <x v="297"/>
    <x v="297"/>
    <x v="1"/>
  </r>
  <r>
    <x v="88"/>
    <x v="190"/>
    <x v="3"/>
    <x v="2"/>
    <x v="4"/>
    <x v="1"/>
    <x v="298"/>
    <x v="298"/>
    <x v="1"/>
    <x v="0"/>
    <x v="0"/>
    <x v="0"/>
    <x v="6"/>
    <x v="298"/>
    <x v="298"/>
    <x v="298"/>
    <x v="298"/>
    <x v="298"/>
    <x v="298"/>
    <x v="298"/>
    <x v="0"/>
    <x v="1"/>
    <x v="298"/>
    <x v="298"/>
    <x v="1"/>
  </r>
  <r>
    <x v="57"/>
    <x v="191"/>
    <x v="0"/>
    <x v="1"/>
    <x v="48"/>
    <x v="2"/>
    <x v="299"/>
    <x v="299"/>
    <x v="0"/>
    <x v="8"/>
    <x v="2"/>
    <x v="1"/>
    <x v="1"/>
    <x v="299"/>
    <x v="299"/>
    <x v="299"/>
    <x v="299"/>
    <x v="299"/>
    <x v="299"/>
    <x v="299"/>
    <x v="0"/>
    <x v="0"/>
    <x v="299"/>
    <x v="299"/>
    <x v="0"/>
  </r>
  <r>
    <x v="29"/>
    <x v="192"/>
    <x v="2"/>
    <x v="3"/>
    <x v="16"/>
    <x v="3"/>
    <x v="300"/>
    <x v="300"/>
    <x v="1"/>
    <x v="19"/>
    <x v="2"/>
    <x v="0"/>
    <x v="4"/>
    <x v="300"/>
    <x v="300"/>
    <x v="300"/>
    <x v="300"/>
    <x v="300"/>
    <x v="300"/>
    <x v="300"/>
    <x v="0"/>
    <x v="1"/>
    <x v="300"/>
    <x v="300"/>
    <x v="1"/>
  </r>
  <r>
    <x v="12"/>
    <x v="160"/>
    <x v="0"/>
    <x v="1"/>
    <x v="13"/>
    <x v="2"/>
    <x v="301"/>
    <x v="301"/>
    <x v="0"/>
    <x v="0"/>
    <x v="2"/>
    <x v="1"/>
    <x v="1"/>
    <x v="301"/>
    <x v="301"/>
    <x v="301"/>
    <x v="301"/>
    <x v="301"/>
    <x v="301"/>
    <x v="301"/>
    <x v="0"/>
    <x v="1"/>
    <x v="301"/>
    <x v="301"/>
    <x v="1"/>
  </r>
  <r>
    <x v="94"/>
    <x v="101"/>
    <x v="3"/>
    <x v="1"/>
    <x v="12"/>
    <x v="1"/>
    <x v="302"/>
    <x v="302"/>
    <x v="0"/>
    <x v="29"/>
    <x v="1"/>
    <x v="1"/>
    <x v="8"/>
    <x v="302"/>
    <x v="302"/>
    <x v="302"/>
    <x v="302"/>
    <x v="302"/>
    <x v="302"/>
    <x v="302"/>
    <x v="0"/>
    <x v="1"/>
    <x v="302"/>
    <x v="302"/>
    <x v="1"/>
  </r>
  <r>
    <x v="11"/>
    <x v="193"/>
    <x v="4"/>
    <x v="0"/>
    <x v="8"/>
    <x v="2"/>
    <x v="303"/>
    <x v="303"/>
    <x v="1"/>
    <x v="26"/>
    <x v="0"/>
    <x v="0"/>
    <x v="15"/>
    <x v="303"/>
    <x v="303"/>
    <x v="303"/>
    <x v="303"/>
    <x v="303"/>
    <x v="303"/>
    <x v="303"/>
    <x v="0"/>
    <x v="1"/>
    <x v="303"/>
    <x v="303"/>
    <x v="1"/>
  </r>
  <r>
    <x v="52"/>
    <x v="43"/>
    <x v="4"/>
    <x v="2"/>
    <x v="20"/>
    <x v="1"/>
    <x v="304"/>
    <x v="304"/>
    <x v="1"/>
    <x v="26"/>
    <x v="1"/>
    <x v="0"/>
    <x v="9"/>
    <x v="304"/>
    <x v="304"/>
    <x v="304"/>
    <x v="304"/>
    <x v="304"/>
    <x v="304"/>
    <x v="304"/>
    <x v="0"/>
    <x v="1"/>
    <x v="304"/>
    <x v="304"/>
    <x v="1"/>
  </r>
  <r>
    <x v="20"/>
    <x v="55"/>
    <x v="2"/>
    <x v="3"/>
    <x v="16"/>
    <x v="3"/>
    <x v="305"/>
    <x v="305"/>
    <x v="0"/>
    <x v="10"/>
    <x v="1"/>
    <x v="1"/>
    <x v="4"/>
    <x v="305"/>
    <x v="305"/>
    <x v="305"/>
    <x v="305"/>
    <x v="305"/>
    <x v="305"/>
    <x v="305"/>
    <x v="0"/>
    <x v="1"/>
    <x v="305"/>
    <x v="305"/>
    <x v="1"/>
  </r>
  <r>
    <x v="11"/>
    <x v="194"/>
    <x v="1"/>
    <x v="0"/>
    <x v="22"/>
    <x v="0"/>
    <x v="306"/>
    <x v="306"/>
    <x v="0"/>
    <x v="16"/>
    <x v="0"/>
    <x v="1"/>
    <x v="11"/>
    <x v="306"/>
    <x v="306"/>
    <x v="306"/>
    <x v="306"/>
    <x v="306"/>
    <x v="306"/>
    <x v="306"/>
    <x v="0"/>
    <x v="1"/>
    <x v="306"/>
    <x v="306"/>
    <x v="1"/>
  </r>
  <r>
    <x v="8"/>
    <x v="195"/>
    <x v="2"/>
    <x v="0"/>
    <x v="1"/>
    <x v="3"/>
    <x v="307"/>
    <x v="307"/>
    <x v="0"/>
    <x v="19"/>
    <x v="1"/>
    <x v="1"/>
    <x v="19"/>
    <x v="307"/>
    <x v="307"/>
    <x v="307"/>
    <x v="307"/>
    <x v="307"/>
    <x v="307"/>
    <x v="307"/>
    <x v="0"/>
    <x v="1"/>
    <x v="307"/>
    <x v="307"/>
    <x v="1"/>
  </r>
  <r>
    <x v="3"/>
    <x v="196"/>
    <x v="1"/>
    <x v="0"/>
    <x v="22"/>
    <x v="3"/>
    <x v="308"/>
    <x v="308"/>
    <x v="0"/>
    <x v="13"/>
    <x v="2"/>
    <x v="1"/>
    <x v="11"/>
    <x v="308"/>
    <x v="308"/>
    <x v="308"/>
    <x v="308"/>
    <x v="308"/>
    <x v="308"/>
    <x v="308"/>
    <x v="0"/>
    <x v="1"/>
    <x v="308"/>
    <x v="308"/>
    <x v="1"/>
  </r>
  <r>
    <x v="49"/>
    <x v="78"/>
    <x v="0"/>
    <x v="1"/>
    <x v="12"/>
    <x v="0"/>
    <x v="309"/>
    <x v="309"/>
    <x v="0"/>
    <x v="0"/>
    <x v="2"/>
    <x v="1"/>
    <x v="1"/>
    <x v="309"/>
    <x v="309"/>
    <x v="309"/>
    <x v="309"/>
    <x v="309"/>
    <x v="309"/>
    <x v="309"/>
    <x v="0"/>
    <x v="0"/>
    <x v="309"/>
    <x v="309"/>
    <x v="0"/>
  </r>
  <r>
    <x v="17"/>
    <x v="102"/>
    <x v="0"/>
    <x v="2"/>
    <x v="46"/>
    <x v="2"/>
    <x v="310"/>
    <x v="310"/>
    <x v="1"/>
    <x v="29"/>
    <x v="2"/>
    <x v="1"/>
    <x v="3"/>
    <x v="310"/>
    <x v="310"/>
    <x v="310"/>
    <x v="310"/>
    <x v="310"/>
    <x v="310"/>
    <x v="310"/>
    <x v="0"/>
    <x v="1"/>
    <x v="310"/>
    <x v="310"/>
    <x v="1"/>
  </r>
  <r>
    <x v="42"/>
    <x v="2"/>
    <x v="3"/>
    <x v="2"/>
    <x v="43"/>
    <x v="0"/>
    <x v="311"/>
    <x v="311"/>
    <x v="1"/>
    <x v="26"/>
    <x v="2"/>
    <x v="0"/>
    <x v="6"/>
    <x v="311"/>
    <x v="311"/>
    <x v="311"/>
    <x v="311"/>
    <x v="311"/>
    <x v="311"/>
    <x v="311"/>
    <x v="0"/>
    <x v="1"/>
    <x v="311"/>
    <x v="311"/>
    <x v="1"/>
  </r>
  <r>
    <x v="73"/>
    <x v="164"/>
    <x v="1"/>
    <x v="3"/>
    <x v="22"/>
    <x v="2"/>
    <x v="312"/>
    <x v="312"/>
    <x v="1"/>
    <x v="6"/>
    <x v="0"/>
    <x v="1"/>
    <x v="16"/>
    <x v="312"/>
    <x v="312"/>
    <x v="312"/>
    <x v="312"/>
    <x v="312"/>
    <x v="312"/>
    <x v="312"/>
    <x v="0"/>
    <x v="1"/>
    <x v="312"/>
    <x v="312"/>
    <x v="1"/>
  </r>
  <r>
    <x v="23"/>
    <x v="197"/>
    <x v="3"/>
    <x v="2"/>
    <x v="5"/>
    <x v="2"/>
    <x v="313"/>
    <x v="313"/>
    <x v="1"/>
    <x v="30"/>
    <x v="1"/>
    <x v="1"/>
    <x v="6"/>
    <x v="313"/>
    <x v="313"/>
    <x v="313"/>
    <x v="313"/>
    <x v="313"/>
    <x v="313"/>
    <x v="313"/>
    <x v="0"/>
    <x v="0"/>
    <x v="313"/>
    <x v="313"/>
    <x v="0"/>
  </r>
  <r>
    <x v="73"/>
    <x v="198"/>
    <x v="4"/>
    <x v="2"/>
    <x v="10"/>
    <x v="1"/>
    <x v="314"/>
    <x v="314"/>
    <x v="0"/>
    <x v="27"/>
    <x v="1"/>
    <x v="0"/>
    <x v="9"/>
    <x v="314"/>
    <x v="314"/>
    <x v="314"/>
    <x v="314"/>
    <x v="314"/>
    <x v="314"/>
    <x v="314"/>
    <x v="0"/>
    <x v="1"/>
    <x v="314"/>
    <x v="314"/>
    <x v="1"/>
  </r>
  <r>
    <x v="97"/>
    <x v="108"/>
    <x v="1"/>
    <x v="0"/>
    <x v="16"/>
    <x v="1"/>
    <x v="315"/>
    <x v="315"/>
    <x v="1"/>
    <x v="3"/>
    <x v="2"/>
    <x v="1"/>
    <x v="11"/>
    <x v="315"/>
    <x v="315"/>
    <x v="315"/>
    <x v="315"/>
    <x v="315"/>
    <x v="315"/>
    <x v="315"/>
    <x v="0"/>
    <x v="0"/>
    <x v="315"/>
    <x v="315"/>
    <x v="0"/>
  </r>
  <r>
    <x v="1"/>
    <x v="199"/>
    <x v="2"/>
    <x v="0"/>
    <x v="11"/>
    <x v="0"/>
    <x v="316"/>
    <x v="316"/>
    <x v="1"/>
    <x v="24"/>
    <x v="2"/>
    <x v="1"/>
    <x v="19"/>
    <x v="316"/>
    <x v="316"/>
    <x v="316"/>
    <x v="316"/>
    <x v="316"/>
    <x v="316"/>
    <x v="316"/>
    <x v="0"/>
    <x v="1"/>
    <x v="316"/>
    <x v="316"/>
    <x v="1"/>
  </r>
  <r>
    <x v="37"/>
    <x v="200"/>
    <x v="4"/>
    <x v="1"/>
    <x v="38"/>
    <x v="3"/>
    <x v="317"/>
    <x v="317"/>
    <x v="1"/>
    <x v="12"/>
    <x v="1"/>
    <x v="0"/>
    <x v="17"/>
    <x v="317"/>
    <x v="317"/>
    <x v="317"/>
    <x v="317"/>
    <x v="317"/>
    <x v="317"/>
    <x v="317"/>
    <x v="0"/>
    <x v="1"/>
    <x v="317"/>
    <x v="317"/>
    <x v="1"/>
  </r>
  <r>
    <x v="60"/>
    <x v="201"/>
    <x v="4"/>
    <x v="0"/>
    <x v="1"/>
    <x v="0"/>
    <x v="318"/>
    <x v="318"/>
    <x v="0"/>
    <x v="18"/>
    <x v="0"/>
    <x v="1"/>
    <x v="15"/>
    <x v="318"/>
    <x v="318"/>
    <x v="318"/>
    <x v="318"/>
    <x v="318"/>
    <x v="318"/>
    <x v="318"/>
    <x v="0"/>
    <x v="0"/>
    <x v="318"/>
    <x v="318"/>
    <x v="0"/>
  </r>
  <r>
    <x v="83"/>
    <x v="202"/>
    <x v="2"/>
    <x v="0"/>
    <x v="48"/>
    <x v="2"/>
    <x v="319"/>
    <x v="319"/>
    <x v="1"/>
    <x v="2"/>
    <x v="1"/>
    <x v="0"/>
    <x v="19"/>
    <x v="319"/>
    <x v="319"/>
    <x v="319"/>
    <x v="319"/>
    <x v="319"/>
    <x v="319"/>
    <x v="319"/>
    <x v="0"/>
    <x v="1"/>
    <x v="319"/>
    <x v="319"/>
    <x v="1"/>
  </r>
  <r>
    <x v="52"/>
    <x v="164"/>
    <x v="4"/>
    <x v="0"/>
    <x v="8"/>
    <x v="1"/>
    <x v="320"/>
    <x v="320"/>
    <x v="0"/>
    <x v="21"/>
    <x v="2"/>
    <x v="1"/>
    <x v="15"/>
    <x v="320"/>
    <x v="320"/>
    <x v="320"/>
    <x v="320"/>
    <x v="320"/>
    <x v="320"/>
    <x v="320"/>
    <x v="0"/>
    <x v="1"/>
    <x v="320"/>
    <x v="320"/>
    <x v="1"/>
  </r>
  <r>
    <x v="46"/>
    <x v="108"/>
    <x v="1"/>
    <x v="0"/>
    <x v="21"/>
    <x v="0"/>
    <x v="321"/>
    <x v="321"/>
    <x v="1"/>
    <x v="20"/>
    <x v="2"/>
    <x v="0"/>
    <x v="11"/>
    <x v="321"/>
    <x v="321"/>
    <x v="321"/>
    <x v="321"/>
    <x v="321"/>
    <x v="321"/>
    <x v="321"/>
    <x v="0"/>
    <x v="0"/>
    <x v="321"/>
    <x v="321"/>
    <x v="0"/>
  </r>
  <r>
    <x v="29"/>
    <x v="68"/>
    <x v="3"/>
    <x v="1"/>
    <x v="22"/>
    <x v="0"/>
    <x v="322"/>
    <x v="322"/>
    <x v="0"/>
    <x v="15"/>
    <x v="0"/>
    <x v="0"/>
    <x v="8"/>
    <x v="322"/>
    <x v="322"/>
    <x v="322"/>
    <x v="322"/>
    <x v="322"/>
    <x v="322"/>
    <x v="322"/>
    <x v="0"/>
    <x v="0"/>
    <x v="322"/>
    <x v="322"/>
    <x v="0"/>
  </r>
  <r>
    <x v="4"/>
    <x v="89"/>
    <x v="4"/>
    <x v="0"/>
    <x v="5"/>
    <x v="1"/>
    <x v="323"/>
    <x v="323"/>
    <x v="1"/>
    <x v="2"/>
    <x v="1"/>
    <x v="0"/>
    <x v="15"/>
    <x v="323"/>
    <x v="323"/>
    <x v="323"/>
    <x v="323"/>
    <x v="323"/>
    <x v="323"/>
    <x v="323"/>
    <x v="0"/>
    <x v="1"/>
    <x v="323"/>
    <x v="323"/>
    <x v="1"/>
  </r>
  <r>
    <x v="62"/>
    <x v="203"/>
    <x v="1"/>
    <x v="3"/>
    <x v="43"/>
    <x v="1"/>
    <x v="324"/>
    <x v="324"/>
    <x v="0"/>
    <x v="1"/>
    <x v="0"/>
    <x v="1"/>
    <x v="16"/>
    <x v="324"/>
    <x v="324"/>
    <x v="324"/>
    <x v="324"/>
    <x v="324"/>
    <x v="324"/>
    <x v="324"/>
    <x v="0"/>
    <x v="0"/>
    <x v="324"/>
    <x v="324"/>
    <x v="0"/>
  </r>
  <r>
    <x v="10"/>
    <x v="77"/>
    <x v="0"/>
    <x v="3"/>
    <x v="4"/>
    <x v="1"/>
    <x v="325"/>
    <x v="325"/>
    <x v="1"/>
    <x v="14"/>
    <x v="0"/>
    <x v="1"/>
    <x v="12"/>
    <x v="325"/>
    <x v="325"/>
    <x v="325"/>
    <x v="325"/>
    <x v="325"/>
    <x v="325"/>
    <x v="325"/>
    <x v="0"/>
    <x v="0"/>
    <x v="325"/>
    <x v="325"/>
    <x v="0"/>
  </r>
  <r>
    <x v="20"/>
    <x v="163"/>
    <x v="1"/>
    <x v="3"/>
    <x v="32"/>
    <x v="2"/>
    <x v="326"/>
    <x v="326"/>
    <x v="0"/>
    <x v="7"/>
    <x v="2"/>
    <x v="0"/>
    <x v="16"/>
    <x v="326"/>
    <x v="326"/>
    <x v="326"/>
    <x v="326"/>
    <x v="326"/>
    <x v="326"/>
    <x v="326"/>
    <x v="0"/>
    <x v="1"/>
    <x v="326"/>
    <x v="326"/>
    <x v="1"/>
  </r>
  <r>
    <x v="89"/>
    <x v="29"/>
    <x v="3"/>
    <x v="3"/>
    <x v="28"/>
    <x v="1"/>
    <x v="327"/>
    <x v="327"/>
    <x v="0"/>
    <x v="21"/>
    <x v="1"/>
    <x v="0"/>
    <x v="14"/>
    <x v="327"/>
    <x v="327"/>
    <x v="327"/>
    <x v="327"/>
    <x v="327"/>
    <x v="327"/>
    <x v="327"/>
    <x v="0"/>
    <x v="0"/>
    <x v="327"/>
    <x v="327"/>
    <x v="0"/>
  </r>
  <r>
    <x v="20"/>
    <x v="204"/>
    <x v="1"/>
    <x v="0"/>
    <x v="35"/>
    <x v="3"/>
    <x v="328"/>
    <x v="328"/>
    <x v="1"/>
    <x v="22"/>
    <x v="2"/>
    <x v="1"/>
    <x v="11"/>
    <x v="328"/>
    <x v="328"/>
    <x v="328"/>
    <x v="328"/>
    <x v="328"/>
    <x v="328"/>
    <x v="328"/>
    <x v="0"/>
    <x v="1"/>
    <x v="328"/>
    <x v="328"/>
    <x v="1"/>
  </r>
  <r>
    <x v="39"/>
    <x v="205"/>
    <x v="2"/>
    <x v="3"/>
    <x v="10"/>
    <x v="0"/>
    <x v="329"/>
    <x v="329"/>
    <x v="0"/>
    <x v="30"/>
    <x v="1"/>
    <x v="1"/>
    <x v="4"/>
    <x v="329"/>
    <x v="329"/>
    <x v="329"/>
    <x v="329"/>
    <x v="329"/>
    <x v="329"/>
    <x v="329"/>
    <x v="0"/>
    <x v="0"/>
    <x v="329"/>
    <x v="329"/>
    <x v="0"/>
  </r>
  <r>
    <x v="5"/>
    <x v="90"/>
    <x v="3"/>
    <x v="0"/>
    <x v="13"/>
    <x v="1"/>
    <x v="330"/>
    <x v="330"/>
    <x v="0"/>
    <x v="28"/>
    <x v="2"/>
    <x v="1"/>
    <x v="7"/>
    <x v="330"/>
    <x v="330"/>
    <x v="330"/>
    <x v="330"/>
    <x v="330"/>
    <x v="330"/>
    <x v="330"/>
    <x v="0"/>
    <x v="1"/>
    <x v="330"/>
    <x v="330"/>
    <x v="1"/>
  </r>
  <r>
    <x v="57"/>
    <x v="206"/>
    <x v="0"/>
    <x v="1"/>
    <x v="20"/>
    <x v="1"/>
    <x v="331"/>
    <x v="331"/>
    <x v="1"/>
    <x v="29"/>
    <x v="2"/>
    <x v="1"/>
    <x v="1"/>
    <x v="331"/>
    <x v="331"/>
    <x v="331"/>
    <x v="331"/>
    <x v="331"/>
    <x v="331"/>
    <x v="331"/>
    <x v="0"/>
    <x v="1"/>
    <x v="331"/>
    <x v="331"/>
    <x v="1"/>
  </r>
  <r>
    <x v="94"/>
    <x v="207"/>
    <x v="2"/>
    <x v="3"/>
    <x v="41"/>
    <x v="2"/>
    <x v="332"/>
    <x v="332"/>
    <x v="1"/>
    <x v="26"/>
    <x v="1"/>
    <x v="1"/>
    <x v="4"/>
    <x v="332"/>
    <x v="332"/>
    <x v="332"/>
    <x v="332"/>
    <x v="332"/>
    <x v="332"/>
    <x v="332"/>
    <x v="0"/>
    <x v="1"/>
    <x v="332"/>
    <x v="332"/>
    <x v="1"/>
  </r>
  <r>
    <x v="45"/>
    <x v="208"/>
    <x v="1"/>
    <x v="2"/>
    <x v="11"/>
    <x v="2"/>
    <x v="333"/>
    <x v="333"/>
    <x v="0"/>
    <x v="16"/>
    <x v="1"/>
    <x v="0"/>
    <x v="2"/>
    <x v="333"/>
    <x v="333"/>
    <x v="333"/>
    <x v="333"/>
    <x v="333"/>
    <x v="333"/>
    <x v="333"/>
    <x v="0"/>
    <x v="1"/>
    <x v="333"/>
    <x v="333"/>
    <x v="1"/>
  </r>
  <r>
    <x v="34"/>
    <x v="14"/>
    <x v="3"/>
    <x v="3"/>
    <x v="25"/>
    <x v="0"/>
    <x v="334"/>
    <x v="334"/>
    <x v="1"/>
    <x v="24"/>
    <x v="2"/>
    <x v="1"/>
    <x v="14"/>
    <x v="334"/>
    <x v="334"/>
    <x v="334"/>
    <x v="334"/>
    <x v="334"/>
    <x v="334"/>
    <x v="334"/>
    <x v="0"/>
    <x v="1"/>
    <x v="334"/>
    <x v="334"/>
    <x v="1"/>
  </r>
  <r>
    <x v="95"/>
    <x v="119"/>
    <x v="0"/>
    <x v="3"/>
    <x v="40"/>
    <x v="3"/>
    <x v="335"/>
    <x v="335"/>
    <x v="1"/>
    <x v="21"/>
    <x v="1"/>
    <x v="0"/>
    <x v="12"/>
    <x v="335"/>
    <x v="335"/>
    <x v="335"/>
    <x v="335"/>
    <x v="335"/>
    <x v="335"/>
    <x v="335"/>
    <x v="0"/>
    <x v="0"/>
    <x v="335"/>
    <x v="335"/>
    <x v="0"/>
  </r>
  <r>
    <x v="90"/>
    <x v="156"/>
    <x v="2"/>
    <x v="0"/>
    <x v="25"/>
    <x v="0"/>
    <x v="336"/>
    <x v="336"/>
    <x v="1"/>
    <x v="14"/>
    <x v="2"/>
    <x v="1"/>
    <x v="19"/>
    <x v="336"/>
    <x v="336"/>
    <x v="336"/>
    <x v="336"/>
    <x v="336"/>
    <x v="336"/>
    <x v="336"/>
    <x v="0"/>
    <x v="0"/>
    <x v="336"/>
    <x v="336"/>
    <x v="0"/>
  </r>
  <r>
    <x v="20"/>
    <x v="123"/>
    <x v="0"/>
    <x v="3"/>
    <x v="41"/>
    <x v="1"/>
    <x v="337"/>
    <x v="337"/>
    <x v="0"/>
    <x v="22"/>
    <x v="1"/>
    <x v="0"/>
    <x v="12"/>
    <x v="337"/>
    <x v="337"/>
    <x v="337"/>
    <x v="337"/>
    <x v="337"/>
    <x v="337"/>
    <x v="337"/>
    <x v="0"/>
    <x v="0"/>
    <x v="337"/>
    <x v="337"/>
    <x v="0"/>
  </r>
  <r>
    <x v="57"/>
    <x v="154"/>
    <x v="1"/>
    <x v="2"/>
    <x v="27"/>
    <x v="3"/>
    <x v="338"/>
    <x v="338"/>
    <x v="0"/>
    <x v="29"/>
    <x v="2"/>
    <x v="0"/>
    <x v="2"/>
    <x v="338"/>
    <x v="338"/>
    <x v="338"/>
    <x v="338"/>
    <x v="338"/>
    <x v="338"/>
    <x v="338"/>
    <x v="0"/>
    <x v="1"/>
    <x v="338"/>
    <x v="338"/>
    <x v="1"/>
  </r>
  <r>
    <x v="21"/>
    <x v="2"/>
    <x v="0"/>
    <x v="0"/>
    <x v="42"/>
    <x v="3"/>
    <x v="339"/>
    <x v="339"/>
    <x v="0"/>
    <x v="12"/>
    <x v="2"/>
    <x v="1"/>
    <x v="0"/>
    <x v="339"/>
    <x v="339"/>
    <x v="339"/>
    <x v="339"/>
    <x v="339"/>
    <x v="339"/>
    <x v="339"/>
    <x v="0"/>
    <x v="1"/>
    <x v="339"/>
    <x v="339"/>
    <x v="1"/>
  </r>
  <r>
    <x v="26"/>
    <x v="96"/>
    <x v="4"/>
    <x v="0"/>
    <x v="40"/>
    <x v="3"/>
    <x v="340"/>
    <x v="340"/>
    <x v="0"/>
    <x v="30"/>
    <x v="2"/>
    <x v="0"/>
    <x v="15"/>
    <x v="340"/>
    <x v="340"/>
    <x v="340"/>
    <x v="340"/>
    <x v="340"/>
    <x v="340"/>
    <x v="340"/>
    <x v="0"/>
    <x v="0"/>
    <x v="340"/>
    <x v="340"/>
    <x v="0"/>
  </r>
  <r>
    <x v="74"/>
    <x v="209"/>
    <x v="2"/>
    <x v="1"/>
    <x v="5"/>
    <x v="3"/>
    <x v="341"/>
    <x v="341"/>
    <x v="0"/>
    <x v="1"/>
    <x v="0"/>
    <x v="0"/>
    <x v="5"/>
    <x v="341"/>
    <x v="341"/>
    <x v="341"/>
    <x v="341"/>
    <x v="341"/>
    <x v="341"/>
    <x v="341"/>
    <x v="0"/>
    <x v="1"/>
    <x v="341"/>
    <x v="341"/>
    <x v="1"/>
  </r>
  <r>
    <x v="13"/>
    <x v="210"/>
    <x v="0"/>
    <x v="1"/>
    <x v="27"/>
    <x v="0"/>
    <x v="342"/>
    <x v="342"/>
    <x v="0"/>
    <x v="18"/>
    <x v="1"/>
    <x v="0"/>
    <x v="1"/>
    <x v="342"/>
    <x v="342"/>
    <x v="342"/>
    <x v="342"/>
    <x v="342"/>
    <x v="342"/>
    <x v="342"/>
    <x v="0"/>
    <x v="1"/>
    <x v="342"/>
    <x v="342"/>
    <x v="1"/>
  </r>
  <r>
    <x v="16"/>
    <x v="101"/>
    <x v="1"/>
    <x v="3"/>
    <x v="39"/>
    <x v="2"/>
    <x v="343"/>
    <x v="343"/>
    <x v="0"/>
    <x v="10"/>
    <x v="2"/>
    <x v="0"/>
    <x v="16"/>
    <x v="343"/>
    <x v="343"/>
    <x v="343"/>
    <x v="343"/>
    <x v="343"/>
    <x v="343"/>
    <x v="343"/>
    <x v="0"/>
    <x v="0"/>
    <x v="343"/>
    <x v="343"/>
    <x v="0"/>
  </r>
  <r>
    <x v="17"/>
    <x v="108"/>
    <x v="1"/>
    <x v="1"/>
    <x v="17"/>
    <x v="2"/>
    <x v="344"/>
    <x v="344"/>
    <x v="1"/>
    <x v="27"/>
    <x v="0"/>
    <x v="1"/>
    <x v="13"/>
    <x v="344"/>
    <x v="344"/>
    <x v="344"/>
    <x v="344"/>
    <x v="344"/>
    <x v="344"/>
    <x v="344"/>
    <x v="0"/>
    <x v="1"/>
    <x v="344"/>
    <x v="344"/>
    <x v="1"/>
  </r>
  <r>
    <x v="32"/>
    <x v="211"/>
    <x v="0"/>
    <x v="1"/>
    <x v="45"/>
    <x v="1"/>
    <x v="345"/>
    <x v="345"/>
    <x v="0"/>
    <x v="14"/>
    <x v="2"/>
    <x v="0"/>
    <x v="1"/>
    <x v="345"/>
    <x v="345"/>
    <x v="345"/>
    <x v="345"/>
    <x v="345"/>
    <x v="345"/>
    <x v="345"/>
    <x v="0"/>
    <x v="1"/>
    <x v="345"/>
    <x v="345"/>
    <x v="1"/>
  </r>
  <r>
    <x v="52"/>
    <x v="146"/>
    <x v="1"/>
    <x v="1"/>
    <x v="29"/>
    <x v="2"/>
    <x v="346"/>
    <x v="346"/>
    <x v="0"/>
    <x v="25"/>
    <x v="0"/>
    <x v="1"/>
    <x v="13"/>
    <x v="346"/>
    <x v="346"/>
    <x v="346"/>
    <x v="346"/>
    <x v="346"/>
    <x v="346"/>
    <x v="346"/>
    <x v="0"/>
    <x v="1"/>
    <x v="346"/>
    <x v="346"/>
    <x v="1"/>
  </r>
  <r>
    <x v="45"/>
    <x v="98"/>
    <x v="3"/>
    <x v="0"/>
    <x v="38"/>
    <x v="2"/>
    <x v="347"/>
    <x v="347"/>
    <x v="1"/>
    <x v="5"/>
    <x v="2"/>
    <x v="0"/>
    <x v="7"/>
    <x v="347"/>
    <x v="347"/>
    <x v="347"/>
    <x v="347"/>
    <x v="347"/>
    <x v="347"/>
    <x v="347"/>
    <x v="0"/>
    <x v="0"/>
    <x v="347"/>
    <x v="347"/>
    <x v="0"/>
  </r>
  <r>
    <x v="75"/>
    <x v="162"/>
    <x v="3"/>
    <x v="0"/>
    <x v="13"/>
    <x v="2"/>
    <x v="348"/>
    <x v="348"/>
    <x v="1"/>
    <x v="10"/>
    <x v="2"/>
    <x v="1"/>
    <x v="7"/>
    <x v="348"/>
    <x v="348"/>
    <x v="348"/>
    <x v="348"/>
    <x v="348"/>
    <x v="348"/>
    <x v="348"/>
    <x v="0"/>
    <x v="1"/>
    <x v="348"/>
    <x v="348"/>
    <x v="1"/>
  </r>
  <r>
    <x v="75"/>
    <x v="34"/>
    <x v="3"/>
    <x v="0"/>
    <x v="8"/>
    <x v="2"/>
    <x v="349"/>
    <x v="349"/>
    <x v="1"/>
    <x v="30"/>
    <x v="0"/>
    <x v="1"/>
    <x v="7"/>
    <x v="349"/>
    <x v="349"/>
    <x v="349"/>
    <x v="349"/>
    <x v="349"/>
    <x v="349"/>
    <x v="349"/>
    <x v="0"/>
    <x v="0"/>
    <x v="349"/>
    <x v="349"/>
    <x v="0"/>
  </r>
  <r>
    <x v="92"/>
    <x v="27"/>
    <x v="4"/>
    <x v="1"/>
    <x v="17"/>
    <x v="1"/>
    <x v="350"/>
    <x v="350"/>
    <x v="0"/>
    <x v="29"/>
    <x v="0"/>
    <x v="1"/>
    <x v="17"/>
    <x v="350"/>
    <x v="350"/>
    <x v="350"/>
    <x v="350"/>
    <x v="350"/>
    <x v="350"/>
    <x v="350"/>
    <x v="0"/>
    <x v="1"/>
    <x v="350"/>
    <x v="350"/>
    <x v="1"/>
  </r>
  <r>
    <x v="5"/>
    <x v="212"/>
    <x v="0"/>
    <x v="0"/>
    <x v="14"/>
    <x v="0"/>
    <x v="351"/>
    <x v="351"/>
    <x v="1"/>
    <x v="22"/>
    <x v="1"/>
    <x v="0"/>
    <x v="0"/>
    <x v="351"/>
    <x v="351"/>
    <x v="351"/>
    <x v="351"/>
    <x v="351"/>
    <x v="351"/>
    <x v="351"/>
    <x v="0"/>
    <x v="1"/>
    <x v="351"/>
    <x v="351"/>
    <x v="1"/>
  </r>
  <r>
    <x v="16"/>
    <x v="128"/>
    <x v="4"/>
    <x v="1"/>
    <x v="3"/>
    <x v="3"/>
    <x v="352"/>
    <x v="352"/>
    <x v="0"/>
    <x v="19"/>
    <x v="1"/>
    <x v="1"/>
    <x v="17"/>
    <x v="352"/>
    <x v="352"/>
    <x v="352"/>
    <x v="352"/>
    <x v="352"/>
    <x v="352"/>
    <x v="352"/>
    <x v="0"/>
    <x v="1"/>
    <x v="352"/>
    <x v="352"/>
    <x v="1"/>
  </r>
  <r>
    <x v="85"/>
    <x v="213"/>
    <x v="1"/>
    <x v="0"/>
    <x v="27"/>
    <x v="2"/>
    <x v="353"/>
    <x v="353"/>
    <x v="0"/>
    <x v="19"/>
    <x v="0"/>
    <x v="1"/>
    <x v="11"/>
    <x v="353"/>
    <x v="353"/>
    <x v="353"/>
    <x v="353"/>
    <x v="353"/>
    <x v="353"/>
    <x v="353"/>
    <x v="0"/>
    <x v="1"/>
    <x v="353"/>
    <x v="353"/>
    <x v="1"/>
  </r>
  <r>
    <x v="69"/>
    <x v="67"/>
    <x v="4"/>
    <x v="0"/>
    <x v="39"/>
    <x v="0"/>
    <x v="354"/>
    <x v="354"/>
    <x v="0"/>
    <x v="18"/>
    <x v="1"/>
    <x v="0"/>
    <x v="15"/>
    <x v="354"/>
    <x v="354"/>
    <x v="354"/>
    <x v="354"/>
    <x v="354"/>
    <x v="354"/>
    <x v="354"/>
    <x v="0"/>
    <x v="1"/>
    <x v="354"/>
    <x v="354"/>
    <x v="1"/>
  </r>
  <r>
    <x v="18"/>
    <x v="214"/>
    <x v="1"/>
    <x v="2"/>
    <x v="29"/>
    <x v="2"/>
    <x v="355"/>
    <x v="355"/>
    <x v="1"/>
    <x v="21"/>
    <x v="0"/>
    <x v="1"/>
    <x v="2"/>
    <x v="355"/>
    <x v="355"/>
    <x v="355"/>
    <x v="355"/>
    <x v="355"/>
    <x v="355"/>
    <x v="355"/>
    <x v="0"/>
    <x v="0"/>
    <x v="355"/>
    <x v="355"/>
    <x v="0"/>
  </r>
  <r>
    <x v="85"/>
    <x v="215"/>
    <x v="1"/>
    <x v="3"/>
    <x v="48"/>
    <x v="2"/>
    <x v="356"/>
    <x v="356"/>
    <x v="1"/>
    <x v="20"/>
    <x v="1"/>
    <x v="0"/>
    <x v="16"/>
    <x v="356"/>
    <x v="356"/>
    <x v="356"/>
    <x v="356"/>
    <x v="356"/>
    <x v="356"/>
    <x v="356"/>
    <x v="0"/>
    <x v="1"/>
    <x v="356"/>
    <x v="356"/>
    <x v="1"/>
  </r>
  <r>
    <x v="91"/>
    <x v="216"/>
    <x v="2"/>
    <x v="1"/>
    <x v="16"/>
    <x v="3"/>
    <x v="357"/>
    <x v="357"/>
    <x v="0"/>
    <x v="8"/>
    <x v="2"/>
    <x v="0"/>
    <x v="5"/>
    <x v="357"/>
    <x v="357"/>
    <x v="357"/>
    <x v="357"/>
    <x v="357"/>
    <x v="357"/>
    <x v="357"/>
    <x v="0"/>
    <x v="0"/>
    <x v="357"/>
    <x v="357"/>
    <x v="0"/>
  </r>
  <r>
    <x v="4"/>
    <x v="20"/>
    <x v="3"/>
    <x v="2"/>
    <x v="3"/>
    <x v="3"/>
    <x v="358"/>
    <x v="358"/>
    <x v="0"/>
    <x v="26"/>
    <x v="1"/>
    <x v="1"/>
    <x v="6"/>
    <x v="358"/>
    <x v="358"/>
    <x v="358"/>
    <x v="358"/>
    <x v="358"/>
    <x v="358"/>
    <x v="358"/>
    <x v="0"/>
    <x v="1"/>
    <x v="358"/>
    <x v="358"/>
    <x v="1"/>
  </r>
  <r>
    <x v="57"/>
    <x v="33"/>
    <x v="1"/>
    <x v="0"/>
    <x v="31"/>
    <x v="3"/>
    <x v="359"/>
    <x v="359"/>
    <x v="0"/>
    <x v="20"/>
    <x v="2"/>
    <x v="0"/>
    <x v="11"/>
    <x v="359"/>
    <x v="359"/>
    <x v="359"/>
    <x v="359"/>
    <x v="359"/>
    <x v="359"/>
    <x v="359"/>
    <x v="0"/>
    <x v="1"/>
    <x v="359"/>
    <x v="359"/>
    <x v="1"/>
  </r>
  <r>
    <x v="88"/>
    <x v="178"/>
    <x v="2"/>
    <x v="1"/>
    <x v="25"/>
    <x v="2"/>
    <x v="360"/>
    <x v="360"/>
    <x v="1"/>
    <x v="26"/>
    <x v="2"/>
    <x v="0"/>
    <x v="5"/>
    <x v="360"/>
    <x v="360"/>
    <x v="360"/>
    <x v="360"/>
    <x v="360"/>
    <x v="360"/>
    <x v="360"/>
    <x v="0"/>
    <x v="1"/>
    <x v="360"/>
    <x v="360"/>
    <x v="1"/>
  </r>
  <r>
    <x v="38"/>
    <x v="217"/>
    <x v="3"/>
    <x v="0"/>
    <x v="22"/>
    <x v="2"/>
    <x v="361"/>
    <x v="361"/>
    <x v="0"/>
    <x v="0"/>
    <x v="1"/>
    <x v="0"/>
    <x v="7"/>
    <x v="361"/>
    <x v="361"/>
    <x v="361"/>
    <x v="361"/>
    <x v="361"/>
    <x v="361"/>
    <x v="361"/>
    <x v="0"/>
    <x v="0"/>
    <x v="361"/>
    <x v="361"/>
    <x v="0"/>
  </r>
  <r>
    <x v="46"/>
    <x v="218"/>
    <x v="1"/>
    <x v="3"/>
    <x v="2"/>
    <x v="2"/>
    <x v="362"/>
    <x v="362"/>
    <x v="1"/>
    <x v="0"/>
    <x v="0"/>
    <x v="1"/>
    <x v="16"/>
    <x v="362"/>
    <x v="362"/>
    <x v="362"/>
    <x v="362"/>
    <x v="362"/>
    <x v="362"/>
    <x v="362"/>
    <x v="0"/>
    <x v="0"/>
    <x v="362"/>
    <x v="362"/>
    <x v="0"/>
  </r>
  <r>
    <x v="18"/>
    <x v="219"/>
    <x v="1"/>
    <x v="2"/>
    <x v="15"/>
    <x v="3"/>
    <x v="363"/>
    <x v="363"/>
    <x v="0"/>
    <x v="2"/>
    <x v="2"/>
    <x v="0"/>
    <x v="2"/>
    <x v="363"/>
    <x v="363"/>
    <x v="363"/>
    <x v="363"/>
    <x v="363"/>
    <x v="363"/>
    <x v="363"/>
    <x v="0"/>
    <x v="1"/>
    <x v="363"/>
    <x v="363"/>
    <x v="1"/>
  </r>
  <r>
    <x v="24"/>
    <x v="131"/>
    <x v="4"/>
    <x v="3"/>
    <x v="34"/>
    <x v="1"/>
    <x v="364"/>
    <x v="364"/>
    <x v="1"/>
    <x v="30"/>
    <x v="2"/>
    <x v="0"/>
    <x v="18"/>
    <x v="364"/>
    <x v="364"/>
    <x v="364"/>
    <x v="364"/>
    <x v="364"/>
    <x v="364"/>
    <x v="364"/>
    <x v="0"/>
    <x v="0"/>
    <x v="364"/>
    <x v="364"/>
    <x v="0"/>
  </r>
  <r>
    <x v="90"/>
    <x v="220"/>
    <x v="4"/>
    <x v="2"/>
    <x v="0"/>
    <x v="0"/>
    <x v="365"/>
    <x v="365"/>
    <x v="0"/>
    <x v="20"/>
    <x v="1"/>
    <x v="0"/>
    <x v="9"/>
    <x v="365"/>
    <x v="365"/>
    <x v="365"/>
    <x v="365"/>
    <x v="365"/>
    <x v="365"/>
    <x v="365"/>
    <x v="0"/>
    <x v="1"/>
    <x v="365"/>
    <x v="365"/>
    <x v="1"/>
  </r>
  <r>
    <x v="44"/>
    <x v="142"/>
    <x v="3"/>
    <x v="0"/>
    <x v="47"/>
    <x v="1"/>
    <x v="366"/>
    <x v="366"/>
    <x v="1"/>
    <x v="26"/>
    <x v="0"/>
    <x v="1"/>
    <x v="7"/>
    <x v="366"/>
    <x v="366"/>
    <x v="366"/>
    <x v="366"/>
    <x v="366"/>
    <x v="366"/>
    <x v="366"/>
    <x v="0"/>
    <x v="1"/>
    <x v="366"/>
    <x v="366"/>
    <x v="1"/>
  </r>
  <r>
    <x v="28"/>
    <x v="221"/>
    <x v="1"/>
    <x v="3"/>
    <x v="6"/>
    <x v="2"/>
    <x v="367"/>
    <x v="367"/>
    <x v="1"/>
    <x v="7"/>
    <x v="0"/>
    <x v="0"/>
    <x v="16"/>
    <x v="367"/>
    <x v="367"/>
    <x v="367"/>
    <x v="367"/>
    <x v="367"/>
    <x v="367"/>
    <x v="367"/>
    <x v="0"/>
    <x v="0"/>
    <x v="367"/>
    <x v="367"/>
    <x v="0"/>
  </r>
  <r>
    <x v="16"/>
    <x v="222"/>
    <x v="0"/>
    <x v="3"/>
    <x v="3"/>
    <x v="2"/>
    <x v="368"/>
    <x v="368"/>
    <x v="1"/>
    <x v="10"/>
    <x v="1"/>
    <x v="1"/>
    <x v="12"/>
    <x v="368"/>
    <x v="368"/>
    <x v="368"/>
    <x v="368"/>
    <x v="368"/>
    <x v="368"/>
    <x v="368"/>
    <x v="0"/>
    <x v="1"/>
    <x v="368"/>
    <x v="368"/>
    <x v="1"/>
  </r>
  <r>
    <x v="1"/>
    <x v="223"/>
    <x v="4"/>
    <x v="0"/>
    <x v="24"/>
    <x v="1"/>
    <x v="369"/>
    <x v="369"/>
    <x v="1"/>
    <x v="8"/>
    <x v="0"/>
    <x v="0"/>
    <x v="15"/>
    <x v="369"/>
    <x v="369"/>
    <x v="369"/>
    <x v="369"/>
    <x v="369"/>
    <x v="369"/>
    <x v="369"/>
    <x v="0"/>
    <x v="0"/>
    <x v="369"/>
    <x v="369"/>
    <x v="0"/>
  </r>
  <r>
    <x v="98"/>
    <x v="54"/>
    <x v="3"/>
    <x v="3"/>
    <x v="8"/>
    <x v="2"/>
    <x v="370"/>
    <x v="370"/>
    <x v="1"/>
    <x v="15"/>
    <x v="1"/>
    <x v="1"/>
    <x v="14"/>
    <x v="370"/>
    <x v="370"/>
    <x v="370"/>
    <x v="370"/>
    <x v="370"/>
    <x v="370"/>
    <x v="370"/>
    <x v="0"/>
    <x v="1"/>
    <x v="370"/>
    <x v="370"/>
    <x v="1"/>
  </r>
  <r>
    <x v="51"/>
    <x v="70"/>
    <x v="1"/>
    <x v="1"/>
    <x v="27"/>
    <x v="0"/>
    <x v="371"/>
    <x v="371"/>
    <x v="1"/>
    <x v="12"/>
    <x v="1"/>
    <x v="1"/>
    <x v="13"/>
    <x v="371"/>
    <x v="371"/>
    <x v="371"/>
    <x v="371"/>
    <x v="371"/>
    <x v="371"/>
    <x v="371"/>
    <x v="0"/>
    <x v="1"/>
    <x v="371"/>
    <x v="371"/>
    <x v="1"/>
  </r>
  <r>
    <x v="73"/>
    <x v="62"/>
    <x v="1"/>
    <x v="2"/>
    <x v="18"/>
    <x v="2"/>
    <x v="372"/>
    <x v="372"/>
    <x v="0"/>
    <x v="23"/>
    <x v="1"/>
    <x v="1"/>
    <x v="2"/>
    <x v="372"/>
    <x v="372"/>
    <x v="372"/>
    <x v="372"/>
    <x v="372"/>
    <x v="372"/>
    <x v="372"/>
    <x v="0"/>
    <x v="0"/>
    <x v="372"/>
    <x v="372"/>
    <x v="0"/>
  </r>
  <r>
    <x v="72"/>
    <x v="224"/>
    <x v="0"/>
    <x v="2"/>
    <x v="47"/>
    <x v="0"/>
    <x v="373"/>
    <x v="373"/>
    <x v="0"/>
    <x v="25"/>
    <x v="2"/>
    <x v="0"/>
    <x v="3"/>
    <x v="373"/>
    <x v="373"/>
    <x v="373"/>
    <x v="373"/>
    <x v="373"/>
    <x v="373"/>
    <x v="373"/>
    <x v="0"/>
    <x v="0"/>
    <x v="373"/>
    <x v="373"/>
    <x v="0"/>
  </r>
  <r>
    <x v="11"/>
    <x v="195"/>
    <x v="3"/>
    <x v="2"/>
    <x v="2"/>
    <x v="1"/>
    <x v="374"/>
    <x v="374"/>
    <x v="0"/>
    <x v="24"/>
    <x v="2"/>
    <x v="0"/>
    <x v="6"/>
    <x v="374"/>
    <x v="374"/>
    <x v="374"/>
    <x v="374"/>
    <x v="374"/>
    <x v="374"/>
    <x v="374"/>
    <x v="0"/>
    <x v="1"/>
    <x v="374"/>
    <x v="374"/>
    <x v="1"/>
  </r>
  <r>
    <x v="1"/>
    <x v="11"/>
    <x v="1"/>
    <x v="1"/>
    <x v="32"/>
    <x v="1"/>
    <x v="375"/>
    <x v="375"/>
    <x v="0"/>
    <x v="28"/>
    <x v="2"/>
    <x v="0"/>
    <x v="13"/>
    <x v="375"/>
    <x v="375"/>
    <x v="375"/>
    <x v="375"/>
    <x v="375"/>
    <x v="375"/>
    <x v="375"/>
    <x v="0"/>
    <x v="0"/>
    <x v="375"/>
    <x v="375"/>
    <x v="0"/>
  </r>
  <r>
    <x v="98"/>
    <x v="225"/>
    <x v="4"/>
    <x v="2"/>
    <x v="7"/>
    <x v="2"/>
    <x v="376"/>
    <x v="376"/>
    <x v="1"/>
    <x v="0"/>
    <x v="1"/>
    <x v="1"/>
    <x v="9"/>
    <x v="376"/>
    <x v="376"/>
    <x v="376"/>
    <x v="376"/>
    <x v="376"/>
    <x v="376"/>
    <x v="376"/>
    <x v="0"/>
    <x v="0"/>
    <x v="376"/>
    <x v="376"/>
    <x v="0"/>
  </r>
  <r>
    <x v="14"/>
    <x v="226"/>
    <x v="0"/>
    <x v="0"/>
    <x v="16"/>
    <x v="0"/>
    <x v="377"/>
    <x v="377"/>
    <x v="0"/>
    <x v="4"/>
    <x v="2"/>
    <x v="0"/>
    <x v="0"/>
    <x v="377"/>
    <x v="377"/>
    <x v="377"/>
    <x v="377"/>
    <x v="377"/>
    <x v="377"/>
    <x v="377"/>
    <x v="0"/>
    <x v="1"/>
    <x v="377"/>
    <x v="377"/>
    <x v="1"/>
  </r>
  <r>
    <x v="56"/>
    <x v="182"/>
    <x v="3"/>
    <x v="3"/>
    <x v="41"/>
    <x v="2"/>
    <x v="378"/>
    <x v="378"/>
    <x v="1"/>
    <x v="24"/>
    <x v="2"/>
    <x v="0"/>
    <x v="14"/>
    <x v="378"/>
    <x v="378"/>
    <x v="378"/>
    <x v="378"/>
    <x v="378"/>
    <x v="378"/>
    <x v="378"/>
    <x v="0"/>
    <x v="1"/>
    <x v="378"/>
    <x v="378"/>
    <x v="1"/>
  </r>
  <r>
    <x v="73"/>
    <x v="174"/>
    <x v="0"/>
    <x v="1"/>
    <x v="6"/>
    <x v="3"/>
    <x v="379"/>
    <x v="379"/>
    <x v="1"/>
    <x v="8"/>
    <x v="2"/>
    <x v="1"/>
    <x v="1"/>
    <x v="379"/>
    <x v="379"/>
    <x v="379"/>
    <x v="379"/>
    <x v="379"/>
    <x v="379"/>
    <x v="379"/>
    <x v="0"/>
    <x v="0"/>
    <x v="379"/>
    <x v="379"/>
    <x v="0"/>
  </r>
  <r>
    <x v="19"/>
    <x v="227"/>
    <x v="4"/>
    <x v="2"/>
    <x v="18"/>
    <x v="3"/>
    <x v="380"/>
    <x v="380"/>
    <x v="1"/>
    <x v="22"/>
    <x v="1"/>
    <x v="0"/>
    <x v="9"/>
    <x v="380"/>
    <x v="380"/>
    <x v="380"/>
    <x v="380"/>
    <x v="380"/>
    <x v="380"/>
    <x v="380"/>
    <x v="0"/>
    <x v="0"/>
    <x v="380"/>
    <x v="380"/>
    <x v="0"/>
  </r>
  <r>
    <x v="85"/>
    <x v="228"/>
    <x v="3"/>
    <x v="0"/>
    <x v="32"/>
    <x v="3"/>
    <x v="381"/>
    <x v="381"/>
    <x v="0"/>
    <x v="22"/>
    <x v="1"/>
    <x v="0"/>
    <x v="7"/>
    <x v="381"/>
    <x v="381"/>
    <x v="381"/>
    <x v="381"/>
    <x v="381"/>
    <x v="381"/>
    <x v="381"/>
    <x v="0"/>
    <x v="1"/>
    <x v="381"/>
    <x v="381"/>
    <x v="1"/>
  </r>
  <r>
    <x v="53"/>
    <x v="166"/>
    <x v="0"/>
    <x v="3"/>
    <x v="5"/>
    <x v="3"/>
    <x v="382"/>
    <x v="382"/>
    <x v="1"/>
    <x v="20"/>
    <x v="1"/>
    <x v="1"/>
    <x v="12"/>
    <x v="382"/>
    <x v="382"/>
    <x v="382"/>
    <x v="382"/>
    <x v="382"/>
    <x v="382"/>
    <x v="382"/>
    <x v="0"/>
    <x v="1"/>
    <x v="382"/>
    <x v="382"/>
    <x v="1"/>
  </r>
  <r>
    <x v="59"/>
    <x v="189"/>
    <x v="2"/>
    <x v="3"/>
    <x v="31"/>
    <x v="2"/>
    <x v="383"/>
    <x v="383"/>
    <x v="0"/>
    <x v="25"/>
    <x v="2"/>
    <x v="1"/>
    <x v="4"/>
    <x v="383"/>
    <x v="383"/>
    <x v="383"/>
    <x v="383"/>
    <x v="383"/>
    <x v="383"/>
    <x v="383"/>
    <x v="0"/>
    <x v="1"/>
    <x v="383"/>
    <x v="383"/>
    <x v="1"/>
  </r>
  <r>
    <x v="82"/>
    <x v="211"/>
    <x v="4"/>
    <x v="1"/>
    <x v="0"/>
    <x v="3"/>
    <x v="384"/>
    <x v="384"/>
    <x v="0"/>
    <x v="4"/>
    <x v="0"/>
    <x v="0"/>
    <x v="17"/>
    <x v="384"/>
    <x v="384"/>
    <x v="384"/>
    <x v="384"/>
    <x v="384"/>
    <x v="384"/>
    <x v="384"/>
    <x v="0"/>
    <x v="1"/>
    <x v="384"/>
    <x v="384"/>
    <x v="1"/>
  </r>
  <r>
    <x v="7"/>
    <x v="229"/>
    <x v="4"/>
    <x v="1"/>
    <x v="13"/>
    <x v="0"/>
    <x v="385"/>
    <x v="385"/>
    <x v="0"/>
    <x v="8"/>
    <x v="2"/>
    <x v="1"/>
    <x v="17"/>
    <x v="385"/>
    <x v="385"/>
    <x v="385"/>
    <x v="385"/>
    <x v="385"/>
    <x v="385"/>
    <x v="385"/>
    <x v="0"/>
    <x v="1"/>
    <x v="385"/>
    <x v="385"/>
    <x v="1"/>
  </r>
  <r>
    <x v="20"/>
    <x v="186"/>
    <x v="4"/>
    <x v="1"/>
    <x v="11"/>
    <x v="1"/>
    <x v="386"/>
    <x v="386"/>
    <x v="0"/>
    <x v="27"/>
    <x v="2"/>
    <x v="0"/>
    <x v="17"/>
    <x v="386"/>
    <x v="386"/>
    <x v="386"/>
    <x v="386"/>
    <x v="386"/>
    <x v="386"/>
    <x v="386"/>
    <x v="0"/>
    <x v="1"/>
    <x v="386"/>
    <x v="386"/>
    <x v="1"/>
  </r>
  <r>
    <x v="95"/>
    <x v="173"/>
    <x v="2"/>
    <x v="0"/>
    <x v="5"/>
    <x v="1"/>
    <x v="387"/>
    <x v="387"/>
    <x v="0"/>
    <x v="20"/>
    <x v="1"/>
    <x v="0"/>
    <x v="19"/>
    <x v="387"/>
    <x v="387"/>
    <x v="387"/>
    <x v="387"/>
    <x v="387"/>
    <x v="387"/>
    <x v="387"/>
    <x v="0"/>
    <x v="1"/>
    <x v="387"/>
    <x v="387"/>
    <x v="1"/>
  </r>
  <r>
    <x v="37"/>
    <x v="185"/>
    <x v="2"/>
    <x v="0"/>
    <x v="14"/>
    <x v="3"/>
    <x v="388"/>
    <x v="388"/>
    <x v="1"/>
    <x v="22"/>
    <x v="1"/>
    <x v="0"/>
    <x v="19"/>
    <x v="388"/>
    <x v="388"/>
    <x v="388"/>
    <x v="388"/>
    <x v="388"/>
    <x v="388"/>
    <x v="388"/>
    <x v="0"/>
    <x v="1"/>
    <x v="388"/>
    <x v="388"/>
    <x v="1"/>
  </r>
  <r>
    <x v="97"/>
    <x v="230"/>
    <x v="1"/>
    <x v="1"/>
    <x v="35"/>
    <x v="3"/>
    <x v="389"/>
    <x v="389"/>
    <x v="1"/>
    <x v="20"/>
    <x v="2"/>
    <x v="0"/>
    <x v="13"/>
    <x v="389"/>
    <x v="389"/>
    <x v="389"/>
    <x v="389"/>
    <x v="389"/>
    <x v="389"/>
    <x v="389"/>
    <x v="0"/>
    <x v="1"/>
    <x v="389"/>
    <x v="389"/>
    <x v="1"/>
  </r>
  <r>
    <x v="56"/>
    <x v="137"/>
    <x v="0"/>
    <x v="2"/>
    <x v="15"/>
    <x v="3"/>
    <x v="390"/>
    <x v="390"/>
    <x v="0"/>
    <x v="14"/>
    <x v="2"/>
    <x v="0"/>
    <x v="3"/>
    <x v="390"/>
    <x v="390"/>
    <x v="390"/>
    <x v="390"/>
    <x v="390"/>
    <x v="390"/>
    <x v="390"/>
    <x v="0"/>
    <x v="1"/>
    <x v="390"/>
    <x v="390"/>
    <x v="1"/>
  </r>
  <r>
    <x v="52"/>
    <x v="230"/>
    <x v="1"/>
    <x v="3"/>
    <x v="46"/>
    <x v="2"/>
    <x v="391"/>
    <x v="391"/>
    <x v="1"/>
    <x v="16"/>
    <x v="0"/>
    <x v="1"/>
    <x v="16"/>
    <x v="391"/>
    <x v="391"/>
    <x v="391"/>
    <x v="391"/>
    <x v="391"/>
    <x v="391"/>
    <x v="391"/>
    <x v="0"/>
    <x v="1"/>
    <x v="391"/>
    <x v="391"/>
    <x v="1"/>
  </r>
  <r>
    <x v="22"/>
    <x v="107"/>
    <x v="0"/>
    <x v="3"/>
    <x v="32"/>
    <x v="1"/>
    <x v="392"/>
    <x v="392"/>
    <x v="0"/>
    <x v="22"/>
    <x v="0"/>
    <x v="1"/>
    <x v="12"/>
    <x v="392"/>
    <x v="392"/>
    <x v="392"/>
    <x v="392"/>
    <x v="392"/>
    <x v="392"/>
    <x v="392"/>
    <x v="0"/>
    <x v="1"/>
    <x v="392"/>
    <x v="392"/>
    <x v="1"/>
  </r>
  <r>
    <x v="95"/>
    <x v="231"/>
    <x v="2"/>
    <x v="0"/>
    <x v="10"/>
    <x v="3"/>
    <x v="393"/>
    <x v="393"/>
    <x v="1"/>
    <x v="14"/>
    <x v="1"/>
    <x v="0"/>
    <x v="19"/>
    <x v="393"/>
    <x v="393"/>
    <x v="393"/>
    <x v="393"/>
    <x v="393"/>
    <x v="393"/>
    <x v="393"/>
    <x v="0"/>
    <x v="0"/>
    <x v="393"/>
    <x v="393"/>
    <x v="0"/>
  </r>
  <r>
    <x v="98"/>
    <x v="32"/>
    <x v="2"/>
    <x v="3"/>
    <x v="45"/>
    <x v="0"/>
    <x v="394"/>
    <x v="394"/>
    <x v="1"/>
    <x v="6"/>
    <x v="0"/>
    <x v="1"/>
    <x v="4"/>
    <x v="394"/>
    <x v="394"/>
    <x v="394"/>
    <x v="394"/>
    <x v="394"/>
    <x v="394"/>
    <x v="394"/>
    <x v="0"/>
    <x v="1"/>
    <x v="394"/>
    <x v="394"/>
    <x v="1"/>
  </r>
  <r>
    <x v="11"/>
    <x v="104"/>
    <x v="1"/>
    <x v="2"/>
    <x v="31"/>
    <x v="3"/>
    <x v="395"/>
    <x v="395"/>
    <x v="1"/>
    <x v="26"/>
    <x v="0"/>
    <x v="1"/>
    <x v="2"/>
    <x v="395"/>
    <x v="395"/>
    <x v="395"/>
    <x v="395"/>
    <x v="395"/>
    <x v="395"/>
    <x v="395"/>
    <x v="0"/>
    <x v="1"/>
    <x v="395"/>
    <x v="395"/>
    <x v="1"/>
  </r>
  <r>
    <x v="82"/>
    <x v="232"/>
    <x v="3"/>
    <x v="3"/>
    <x v="23"/>
    <x v="1"/>
    <x v="396"/>
    <x v="396"/>
    <x v="1"/>
    <x v="29"/>
    <x v="1"/>
    <x v="0"/>
    <x v="14"/>
    <x v="396"/>
    <x v="396"/>
    <x v="396"/>
    <x v="396"/>
    <x v="396"/>
    <x v="396"/>
    <x v="396"/>
    <x v="0"/>
    <x v="1"/>
    <x v="396"/>
    <x v="396"/>
    <x v="1"/>
  </r>
  <r>
    <x v="31"/>
    <x v="197"/>
    <x v="1"/>
    <x v="0"/>
    <x v="8"/>
    <x v="3"/>
    <x v="397"/>
    <x v="397"/>
    <x v="1"/>
    <x v="4"/>
    <x v="0"/>
    <x v="1"/>
    <x v="11"/>
    <x v="397"/>
    <x v="397"/>
    <x v="397"/>
    <x v="397"/>
    <x v="397"/>
    <x v="397"/>
    <x v="397"/>
    <x v="0"/>
    <x v="0"/>
    <x v="397"/>
    <x v="397"/>
    <x v="0"/>
  </r>
  <r>
    <x v="74"/>
    <x v="233"/>
    <x v="0"/>
    <x v="0"/>
    <x v="1"/>
    <x v="1"/>
    <x v="398"/>
    <x v="398"/>
    <x v="1"/>
    <x v="5"/>
    <x v="2"/>
    <x v="1"/>
    <x v="0"/>
    <x v="398"/>
    <x v="398"/>
    <x v="398"/>
    <x v="398"/>
    <x v="398"/>
    <x v="398"/>
    <x v="398"/>
    <x v="0"/>
    <x v="0"/>
    <x v="398"/>
    <x v="398"/>
    <x v="0"/>
  </r>
  <r>
    <x v="71"/>
    <x v="234"/>
    <x v="1"/>
    <x v="2"/>
    <x v="5"/>
    <x v="3"/>
    <x v="399"/>
    <x v="399"/>
    <x v="1"/>
    <x v="21"/>
    <x v="0"/>
    <x v="0"/>
    <x v="2"/>
    <x v="399"/>
    <x v="399"/>
    <x v="399"/>
    <x v="399"/>
    <x v="399"/>
    <x v="399"/>
    <x v="399"/>
    <x v="0"/>
    <x v="1"/>
    <x v="399"/>
    <x v="399"/>
    <x v="1"/>
  </r>
  <r>
    <x v="83"/>
    <x v="235"/>
    <x v="4"/>
    <x v="2"/>
    <x v="41"/>
    <x v="0"/>
    <x v="400"/>
    <x v="400"/>
    <x v="1"/>
    <x v="30"/>
    <x v="1"/>
    <x v="0"/>
    <x v="9"/>
    <x v="400"/>
    <x v="400"/>
    <x v="400"/>
    <x v="400"/>
    <x v="400"/>
    <x v="400"/>
    <x v="400"/>
    <x v="0"/>
    <x v="0"/>
    <x v="400"/>
    <x v="400"/>
    <x v="0"/>
  </r>
  <r>
    <x v="75"/>
    <x v="236"/>
    <x v="0"/>
    <x v="3"/>
    <x v="41"/>
    <x v="3"/>
    <x v="401"/>
    <x v="401"/>
    <x v="1"/>
    <x v="22"/>
    <x v="2"/>
    <x v="0"/>
    <x v="12"/>
    <x v="401"/>
    <x v="401"/>
    <x v="401"/>
    <x v="401"/>
    <x v="401"/>
    <x v="401"/>
    <x v="401"/>
    <x v="0"/>
    <x v="0"/>
    <x v="401"/>
    <x v="401"/>
    <x v="0"/>
  </r>
  <r>
    <x v="15"/>
    <x v="21"/>
    <x v="0"/>
    <x v="3"/>
    <x v="1"/>
    <x v="0"/>
    <x v="402"/>
    <x v="402"/>
    <x v="1"/>
    <x v="5"/>
    <x v="0"/>
    <x v="0"/>
    <x v="12"/>
    <x v="402"/>
    <x v="402"/>
    <x v="402"/>
    <x v="402"/>
    <x v="402"/>
    <x v="402"/>
    <x v="402"/>
    <x v="0"/>
    <x v="1"/>
    <x v="402"/>
    <x v="402"/>
    <x v="1"/>
  </r>
  <r>
    <x v="41"/>
    <x v="168"/>
    <x v="3"/>
    <x v="0"/>
    <x v="36"/>
    <x v="0"/>
    <x v="403"/>
    <x v="403"/>
    <x v="1"/>
    <x v="19"/>
    <x v="2"/>
    <x v="0"/>
    <x v="7"/>
    <x v="403"/>
    <x v="403"/>
    <x v="403"/>
    <x v="403"/>
    <x v="403"/>
    <x v="403"/>
    <x v="403"/>
    <x v="0"/>
    <x v="1"/>
    <x v="403"/>
    <x v="403"/>
    <x v="1"/>
  </r>
  <r>
    <x v="90"/>
    <x v="157"/>
    <x v="2"/>
    <x v="2"/>
    <x v="12"/>
    <x v="3"/>
    <x v="404"/>
    <x v="404"/>
    <x v="1"/>
    <x v="15"/>
    <x v="2"/>
    <x v="0"/>
    <x v="10"/>
    <x v="404"/>
    <x v="404"/>
    <x v="404"/>
    <x v="404"/>
    <x v="404"/>
    <x v="404"/>
    <x v="404"/>
    <x v="0"/>
    <x v="0"/>
    <x v="404"/>
    <x v="404"/>
    <x v="0"/>
  </r>
  <r>
    <x v="20"/>
    <x v="237"/>
    <x v="0"/>
    <x v="2"/>
    <x v="47"/>
    <x v="0"/>
    <x v="405"/>
    <x v="405"/>
    <x v="1"/>
    <x v="11"/>
    <x v="0"/>
    <x v="0"/>
    <x v="3"/>
    <x v="405"/>
    <x v="405"/>
    <x v="405"/>
    <x v="405"/>
    <x v="405"/>
    <x v="405"/>
    <x v="405"/>
    <x v="0"/>
    <x v="0"/>
    <x v="405"/>
    <x v="405"/>
    <x v="0"/>
  </r>
  <r>
    <x v="40"/>
    <x v="238"/>
    <x v="2"/>
    <x v="2"/>
    <x v="5"/>
    <x v="2"/>
    <x v="406"/>
    <x v="406"/>
    <x v="0"/>
    <x v="6"/>
    <x v="0"/>
    <x v="1"/>
    <x v="10"/>
    <x v="406"/>
    <x v="406"/>
    <x v="406"/>
    <x v="406"/>
    <x v="406"/>
    <x v="406"/>
    <x v="406"/>
    <x v="0"/>
    <x v="1"/>
    <x v="406"/>
    <x v="406"/>
    <x v="1"/>
  </r>
  <r>
    <x v="80"/>
    <x v="186"/>
    <x v="1"/>
    <x v="3"/>
    <x v="33"/>
    <x v="3"/>
    <x v="407"/>
    <x v="407"/>
    <x v="1"/>
    <x v="11"/>
    <x v="1"/>
    <x v="0"/>
    <x v="16"/>
    <x v="407"/>
    <x v="407"/>
    <x v="407"/>
    <x v="407"/>
    <x v="407"/>
    <x v="407"/>
    <x v="407"/>
    <x v="0"/>
    <x v="0"/>
    <x v="407"/>
    <x v="407"/>
    <x v="0"/>
  </r>
  <r>
    <x v="57"/>
    <x v="62"/>
    <x v="4"/>
    <x v="2"/>
    <x v="32"/>
    <x v="3"/>
    <x v="408"/>
    <x v="408"/>
    <x v="1"/>
    <x v="21"/>
    <x v="1"/>
    <x v="1"/>
    <x v="9"/>
    <x v="408"/>
    <x v="408"/>
    <x v="408"/>
    <x v="408"/>
    <x v="408"/>
    <x v="408"/>
    <x v="408"/>
    <x v="0"/>
    <x v="0"/>
    <x v="408"/>
    <x v="408"/>
    <x v="0"/>
  </r>
  <r>
    <x v="36"/>
    <x v="37"/>
    <x v="3"/>
    <x v="0"/>
    <x v="22"/>
    <x v="0"/>
    <x v="409"/>
    <x v="409"/>
    <x v="1"/>
    <x v="15"/>
    <x v="2"/>
    <x v="1"/>
    <x v="7"/>
    <x v="409"/>
    <x v="409"/>
    <x v="409"/>
    <x v="409"/>
    <x v="409"/>
    <x v="409"/>
    <x v="409"/>
    <x v="0"/>
    <x v="0"/>
    <x v="409"/>
    <x v="409"/>
    <x v="0"/>
  </r>
  <r>
    <x v="1"/>
    <x v="49"/>
    <x v="2"/>
    <x v="0"/>
    <x v="33"/>
    <x v="0"/>
    <x v="410"/>
    <x v="410"/>
    <x v="1"/>
    <x v="9"/>
    <x v="1"/>
    <x v="0"/>
    <x v="19"/>
    <x v="410"/>
    <x v="410"/>
    <x v="410"/>
    <x v="410"/>
    <x v="410"/>
    <x v="410"/>
    <x v="410"/>
    <x v="0"/>
    <x v="1"/>
    <x v="410"/>
    <x v="410"/>
    <x v="1"/>
  </r>
  <r>
    <x v="27"/>
    <x v="239"/>
    <x v="0"/>
    <x v="3"/>
    <x v="21"/>
    <x v="3"/>
    <x v="411"/>
    <x v="411"/>
    <x v="1"/>
    <x v="4"/>
    <x v="2"/>
    <x v="1"/>
    <x v="12"/>
    <x v="411"/>
    <x v="411"/>
    <x v="411"/>
    <x v="411"/>
    <x v="411"/>
    <x v="411"/>
    <x v="411"/>
    <x v="0"/>
    <x v="0"/>
    <x v="411"/>
    <x v="411"/>
    <x v="0"/>
  </r>
  <r>
    <x v="61"/>
    <x v="173"/>
    <x v="2"/>
    <x v="1"/>
    <x v="46"/>
    <x v="2"/>
    <x v="412"/>
    <x v="412"/>
    <x v="1"/>
    <x v="22"/>
    <x v="2"/>
    <x v="1"/>
    <x v="5"/>
    <x v="412"/>
    <x v="412"/>
    <x v="412"/>
    <x v="412"/>
    <x v="412"/>
    <x v="412"/>
    <x v="412"/>
    <x v="0"/>
    <x v="1"/>
    <x v="412"/>
    <x v="412"/>
    <x v="1"/>
  </r>
  <r>
    <x v="73"/>
    <x v="240"/>
    <x v="0"/>
    <x v="3"/>
    <x v="33"/>
    <x v="0"/>
    <x v="413"/>
    <x v="413"/>
    <x v="0"/>
    <x v="3"/>
    <x v="1"/>
    <x v="1"/>
    <x v="12"/>
    <x v="413"/>
    <x v="413"/>
    <x v="413"/>
    <x v="413"/>
    <x v="413"/>
    <x v="413"/>
    <x v="413"/>
    <x v="0"/>
    <x v="0"/>
    <x v="413"/>
    <x v="413"/>
    <x v="0"/>
  </r>
  <r>
    <x v="50"/>
    <x v="5"/>
    <x v="2"/>
    <x v="1"/>
    <x v="10"/>
    <x v="0"/>
    <x v="414"/>
    <x v="414"/>
    <x v="0"/>
    <x v="14"/>
    <x v="1"/>
    <x v="0"/>
    <x v="5"/>
    <x v="414"/>
    <x v="414"/>
    <x v="414"/>
    <x v="414"/>
    <x v="414"/>
    <x v="414"/>
    <x v="414"/>
    <x v="0"/>
    <x v="0"/>
    <x v="414"/>
    <x v="414"/>
    <x v="0"/>
  </r>
  <r>
    <x v="97"/>
    <x v="64"/>
    <x v="0"/>
    <x v="2"/>
    <x v="23"/>
    <x v="1"/>
    <x v="415"/>
    <x v="415"/>
    <x v="0"/>
    <x v="5"/>
    <x v="1"/>
    <x v="1"/>
    <x v="3"/>
    <x v="415"/>
    <x v="415"/>
    <x v="415"/>
    <x v="415"/>
    <x v="415"/>
    <x v="415"/>
    <x v="415"/>
    <x v="0"/>
    <x v="1"/>
    <x v="415"/>
    <x v="415"/>
    <x v="1"/>
  </r>
  <r>
    <x v="11"/>
    <x v="241"/>
    <x v="1"/>
    <x v="3"/>
    <x v="4"/>
    <x v="2"/>
    <x v="416"/>
    <x v="416"/>
    <x v="1"/>
    <x v="14"/>
    <x v="0"/>
    <x v="1"/>
    <x v="16"/>
    <x v="416"/>
    <x v="416"/>
    <x v="416"/>
    <x v="416"/>
    <x v="416"/>
    <x v="416"/>
    <x v="416"/>
    <x v="0"/>
    <x v="0"/>
    <x v="416"/>
    <x v="416"/>
    <x v="0"/>
  </r>
  <r>
    <x v="81"/>
    <x v="0"/>
    <x v="0"/>
    <x v="0"/>
    <x v="31"/>
    <x v="2"/>
    <x v="417"/>
    <x v="417"/>
    <x v="1"/>
    <x v="27"/>
    <x v="2"/>
    <x v="0"/>
    <x v="0"/>
    <x v="417"/>
    <x v="417"/>
    <x v="417"/>
    <x v="417"/>
    <x v="417"/>
    <x v="417"/>
    <x v="417"/>
    <x v="0"/>
    <x v="1"/>
    <x v="417"/>
    <x v="417"/>
    <x v="1"/>
  </r>
  <r>
    <x v="19"/>
    <x v="172"/>
    <x v="0"/>
    <x v="2"/>
    <x v="45"/>
    <x v="3"/>
    <x v="418"/>
    <x v="418"/>
    <x v="1"/>
    <x v="3"/>
    <x v="2"/>
    <x v="1"/>
    <x v="3"/>
    <x v="418"/>
    <x v="418"/>
    <x v="418"/>
    <x v="418"/>
    <x v="418"/>
    <x v="418"/>
    <x v="418"/>
    <x v="0"/>
    <x v="0"/>
    <x v="418"/>
    <x v="418"/>
    <x v="0"/>
  </r>
  <r>
    <x v="34"/>
    <x v="98"/>
    <x v="4"/>
    <x v="0"/>
    <x v="14"/>
    <x v="2"/>
    <x v="419"/>
    <x v="419"/>
    <x v="0"/>
    <x v="7"/>
    <x v="2"/>
    <x v="1"/>
    <x v="15"/>
    <x v="419"/>
    <x v="419"/>
    <x v="419"/>
    <x v="419"/>
    <x v="419"/>
    <x v="419"/>
    <x v="419"/>
    <x v="0"/>
    <x v="1"/>
    <x v="419"/>
    <x v="419"/>
    <x v="1"/>
  </r>
  <r>
    <x v="84"/>
    <x v="115"/>
    <x v="0"/>
    <x v="2"/>
    <x v="26"/>
    <x v="3"/>
    <x v="420"/>
    <x v="420"/>
    <x v="1"/>
    <x v="8"/>
    <x v="1"/>
    <x v="1"/>
    <x v="3"/>
    <x v="420"/>
    <x v="420"/>
    <x v="420"/>
    <x v="420"/>
    <x v="420"/>
    <x v="420"/>
    <x v="420"/>
    <x v="0"/>
    <x v="0"/>
    <x v="420"/>
    <x v="420"/>
    <x v="0"/>
  </r>
  <r>
    <x v="49"/>
    <x v="85"/>
    <x v="4"/>
    <x v="3"/>
    <x v="18"/>
    <x v="1"/>
    <x v="421"/>
    <x v="421"/>
    <x v="1"/>
    <x v="21"/>
    <x v="1"/>
    <x v="1"/>
    <x v="18"/>
    <x v="421"/>
    <x v="421"/>
    <x v="421"/>
    <x v="421"/>
    <x v="421"/>
    <x v="421"/>
    <x v="421"/>
    <x v="0"/>
    <x v="0"/>
    <x v="421"/>
    <x v="421"/>
    <x v="0"/>
  </r>
  <r>
    <x v="64"/>
    <x v="202"/>
    <x v="3"/>
    <x v="1"/>
    <x v="28"/>
    <x v="2"/>
    <x v="422"/>
    <x v="422"/>
    <x v="0"/>
    <x v="22"/>
    <x v="1"/>
    <x v="1"/>
    <x v="8"/>
    <x v="422"/>
    <x v="422"/>
    <x v="422"/>
    <x v="422"/>
    <x v="422"/>
    <x v="422"/>
    <x v="422"/>
    <x v="0"/>
    <x v="0"/>
    <x v="422"/>
    <x v="422"/>
    <x v="0"/>
  </r>
  <r>
    <x v="94"/>
    <x v="167"/>
    <x v="4"/>
    <x v="2"/>
    <x v="19"/>
    <x v="0"/>
    <x v="423"/>
    <x v="423"/>
    <x v="0"/>
    <x v="24"/>
    <x v="1"/>
    <x v="0"/>
    <x v="9"/>
    <x v="423"/>
    <x v="423"/>
    <x v="423"/>
    <x v="423"/>
    <x v="423"/>
    <x v="423"/>
    <x v="423"/>
    <x v="0"/>
    <x v="1"/>
    <x v="423"/>
    <x v="423"/>
    <x v="1"/>
  </r>
  <r>
    <x v="65"/>
    <x v="242"/>
    <x v="1"/>
    <x v="1"/>
    <x v="0"/>
    <x v="1"/>
    <x v="424"/>
    <x v="424"/>
    <x v="1"/>
    <x v="3"/>
    <x v="1"/>
    <x v="1"/>
    <x v="13"/>
    <x v="424"/>
    <x v="424"/>
    <x v="424"/>
    <x v="424"/>
    <x v="424"/>
    <x v="424"/>
    <x v="424"/>
    <x v="0"/>
    <x v="0"/>
    <x v="424"/>
    <x v="424"/>
    <x v="0"/>
  </r>
  <r>
    <x v="45"/>
    <x v="182"/>
    <x v="4"/>
    <x v="2"/>
    <x v="37"/>
    <x v="3"/>
    <x v="425"/>
    <x v="425"/>
    <x v="1"/>
    <x v="9"/>
    <x v="0"/>
    <x v="0"/>
    <x v="9"/>
    <x v="425"/>
    <x v="425"/>
    <x v="425"/>
    <x v="425"/>
    <x v="425"/>
    <x v="425"/>
    <x v="425"/>
    <x v="0"/>
    <x v="0"/>
    <x v="425"/>
    <x v="425"/>
    <x v="0"/>
  </r>
  <r>
    <x v="93"/>
    <x v="243"/>
    <x v="3"/>
    <x v="0"/>
    <x v="36"/>
    <x v="1"/>
    <x v="426"/>
    <x v="426"/>
    <x v="1"/>
    <x v="5"/>
    <x v="1"/>
    <x v="1"/>
    <x v="7"/>
    <x v="426"/>
    <x v="426"/>
    <x v="426"/>
    <x v="426"/>
    <x v="426"/>
    <x v="426"/>
    <x v="426"/>
    <x v="0"/>
    <x v="1"/>
    <x v="426"/>
    <x v="426"/>
    <x v="1"/>
  </r>
  <r>
    <x v="39"/>
    <x v="163"/>
    <x v="1"/>
    <x v="0"/>
    <x v="14"/>
    <x v="3"/>
    <x v="427"/>
    <x v="427"/>
    <x v="1"/>
    <x v="6"/>
    <x v="2"/>
    <x v="0"/>
    <x v="11"/>
    <x v="427"/>
    <x v="427"/>
    <x v="427"/>
    <x v="427"/>
    <x v="427"/>
    <x v="427"/>
    <x v="427"/>
    <x v="0"/>
    <x v="0"/>
    <x v="427"/>
    <x v="427"/>
    <x v="0"/>
  </r>
  <r>
    <x v="21"/>
    <x v="155"/>
    <x v="2"/>
    <x v="2"/>
    <x v="18"/>
    <x v="1"/>
    <x v="428"/>
    <x v="428"/>
    <x v="0"/>
    <x v="19"/>
    <x v="1"/>
    <x v="0"/>
    <x v="10"/>
    <x v="428"/>
    <x v="428"/>
    <x v="428"/>
    <x v="428"/>
    <x v="428"/>
    <x v="428"/>
    <x v="428"/>
    <x v="0"/>
    <x v="1"/>
    <x v="428"/>
    <x v="428"/>
    <x v="1"/>
  </r>
  <r>
    <x v="7"/>
    <x v="39"/>
    <x v="2"/>
    <x v="1"/>
    <x v="15"/>
    <x v="3"/>
    <x v="429"/>
    <x v="429"/>
    <x v="1"/>
    <x v="8"/>
    <x v="2"/>
    <x v="0"/>
    <x v="5"/>
    <x v="429"/>
    <x v="429"/>
    <x v="429"/>
    <x v="429"/>
    <x v="429"/>
    <x v="429"/>
    <x v="429"/>
    <x v="0"/>
    <x v="0"/>
    <x v="429"/>
    <x v="429"/>
    <x v="0"/>
  </r>
  <r>
    <x v="2"/>
    <x v="244"/>
    <x v="4"/>
    <x v="3"/>
    <x v="12"/>
    <x v="2"/>
    <x v="430"/>
    <x v="430"/>
    <x v="1"/>
    <x v="12"/>
    <x v="1"/>
    <x v="1"/>
    <x v="18"/>
    <x v="430"/>
    <x v="430"/>
    <x v="430"/>
    <x v="430"/>
    <x v="430"/>
    <x v="430"/>
    <x v="430"/>
    <x v="0"/>
    <x v="1"/>
    <x v="430"/>
    <x v="430"/>
    <x v="1"/>
  </r>
  <r>
    <x v="28"/>
    <x v="74"/>
    <x v="4"/>
    <x v="3"/>
    <x v="20"/>
    <x v="0"/>
    <x v="431"/>
    <x v="431"/>
    <x v="0"/>
    <x v="7"/>
    <x v="1"/>
    <x v="1"/>
    <x v="18"/>
    <x v="431"/>
    <x v="431"/>
    <x v="431"/>
    <x v="431"/>
    <x v="431"/>
    <x v="431"/>
    <x v="431"/>
    <x v="0"/>
    <x v="0"/>
    <x v="431"/>
    <x v="431"/>
    <x v="0"/>
  </r>
  <r>
    <x v="92"/>
    <x v="238"/>
    <x v="3"/>
    <x v="0"/>
    <x v="47"/>
    <x v="3"/>
    <x v="432"/>
    <x v="432"/>
    <x v="1"/>
    <x v="15"/>
    <x v="2"/>
    <x v="1"/>
    <x v="7"/>
    <x v="432"/>
    <x v="432"/>
    <x v="432"/>
    <x v="432"/>
    <x v="432"/>
    <x v="432"/>
    <x v="432"/>
    <x v="0"/>
    <x v="1"/>
    <x v="432"/>
    <x v="432"/>
    <x v="1"/>
  </r>
  <r>
    <x v="83"/>
    <x v="245"/>
    <x v="3"/>
    <x v="3"/>
    <x v="20"/>
    <x v="1"/>
    <x v="433"/>
    <x v="433"/>
    <x v="1"/>
    <x v="16"/>
    <x v="2"/>
    <x v="1"/>
    <x v="14"/>
    <x v="433"/>
    <x v="433"/>
    <x v="433"/>
    <x v="433"/>
    <x v="433"/>
    <x v="433"/>
    <x v="433"/>
    <x v="0"/>
    <x v="0"/>
    <x v="433"/>
    <x v="433"/>
    <x v="0"/>
  </r>
  <r>
    <x v="82"/>
    <x v="104"/>
    <x v="0"/>
    <x v="0"/>
    <x v="18"/>
    <x v="3"/>
    <x v="434"/>
    <x v="434"/>
    <x v="0"/>
    <x v="22"/>
    <x v="2"/>
    <x v="1"/>
    <x v="0"/>
    <x v="434"/>
    <x v="434"/>
    <x v="434"/>
    <x v="434"/>
    <x v="434"/>
    <x v="434"/>
    <x v="434"/>
    <x v="0"/>
    <x v="1"/>
    <x v="434"/>
    <x v="434"/>
    <x v="1"/>
  </r>
  <r>
    <x v="7"/>
    <x v="117"/>
    <x v="3"/>
    <x v="3"/>
    <x v="2"/>
    <x v="3"/>
    <x v="435"/>
    <x v="435"/>
    <x v="0"/>
    <x v="25"/>
    <x v="2"/>
    <x v="0"/>
    <x v="14"/>
    <x v="435"/>
    <x v="435"/>
    <x v="435"/>
    <x v="435"/>
    <x v="435"/>
    <x v="435"/>
    <x v="435"/>
    <x v="0"/>
    <x v="0"/>
    <x v="435"/>
    <x v="435"/>
    <x v="0"/>
  </r>
  <r>
    <x v="53"/>
    <x v="46"/>
    <x v="0"/>
    <x v="2"/>
    <x v="44"/>
    <x v="3"/>
    <x v="436"/>
    <x v="436"/>
    <x v="1"/>
    <x v="20"/>
    <x v="0"/>
    <x v="0"/>
    <x v="3"/>
    <x v="436"/>
    <x v="436"/>
    <x v="436"/>
    <x v="436"/>
    <x v="436"/>
    <x v="436"/>
    <x v="436"/>
    <x v="0"/>
    <x v="1"/>
    <x v="436"/>
    <x v="436"/>
    <x v="1"/>
  </r>
  <r>
    <x v="74"/>
    <x v="246"/>
    <x v="1"/>
    <x v="0"/>
    <x v="40"/>
    <x v="1"/>
    <x v="437"/>
    <x v="437"/>
    <x v="0"/>
    <x v="22"/>
    <x v="2"/>
    <x v="0"/>
    <x v="11"/>
    <x v="437"/>
    <x v="437"/>
    <x v="437"/>
    <x v="437"/>
    <x v="437"/>
    <x v="437"/>
    <x v="437"/>
    <x v="0"/>
    <x v="1"/>
    <x v="437"/>
    <x v="437"/>
    <x v="1"/>
  </r>
  <r>
    <x v="32"/>
    <x v="247"/>
    <x v="4"/>
    <x v="0"/>
    <x v="24"/>
    <x v="0"/>
    <x v="438"/>
    <x v="438"/>
    <x v="0"/>
    <x v="8"/>
    <x v="1"/>
    <x v="1"/>
    <x v="15"/>
    <x v="438"/>
    <x v="438"/>
    <x v="438"/>
    <x v="438"/>
    <x v="438"/>
    <x v="438"/>
    <x v="438"/>
    <x v="0"/>
    <x v="0"/>
    <x v="438"/>
    <x v="438"/>
    <x v="0"/>
  </r>
  <r>
    <x v="97"/>
    <x v="248"/>
    <x v="1"/>
    <x v="2"/>
    <x v="27"/>
    <x v="2"/>
    <x v="439"/>
    <x v="439"/>
    <x v="1"/>
    <x v="2"/>
    <x v="1"/>
    <x v="1"/>
    <x v="2"/>
    <x v="439"/>
    <x v="439"/>
    <x v="439"/>
    <x v="439"/>
    <x v="439"/>
    <x v="439"/>
    <x v="439"/>
    <x v="0"/>
    <x v="1"/>
    <x v="439"/>
    <x v="439"/>
    <x v="1"/>
  </r>
  <r>
    <x v="22"/>
    <x v="249"/>
    <x v="3"/>
    <x v="0"/>
    <x v="10"/>
    <x v="0"/>
    <x v="440"/>
    <x v="440"/>
    <x v="0"/>
    <x v="14"/>
    <x v="0"/>
    <x v="0"/>
    <x v="7"/>
    <x v="440"/>
    <x v="440"/>
    <x v="440"/>
    <x v="440"/>
    <x v="440"/>
    <x v="440"/>
    <x v="440"/>
    <x v="0"/>
    <x v="0"/>
    <x v="440"/>
    <x v="440"/>
    <x v="0"/>
  </r>
  <r>
    <x v="53"/>
    <x v="75"/>
    <x v="1"/>
    <x v="3"/>
    <x v="20"/>
    <x v="3"/>
    <x v="441"/>
    <x v="441"/>
    <x v="1"/>
    <x v="19"/>
    <x v="2"/>
    <x v="1"/>
    <x v="16"/>
    <x v="441"/>
    <x v="441"/>
    <x v="441"/>
    <x v="441"/>
    <x v="441"/>
    <x v="441"/>
    <x v="441"/>
    <x v="0"/>
    <x v="1"/>
    <x v="441"/>
    <x v="441"/>
    <x v="1"/>
  </r>
  <r>
    <x v="30"/>
    <x v="250"/>
    <x v="1"/>
    <x v="3"/>
    <x v="44"/>
    <x v="1"/>
    <x v="442"/>
    <x v="442"/>
    <x v="1"/>
    <x v="23"/>
    <x v="1"/>
    <x v="1"/>
    <x v="16"/>
    <x v="442"/>
    <x v="442"/>
    <x v="442"/>
    <x v="442"/>
    <x v="442"/>
    <x v="442"/>
    <x v="442"/>
    <x v="0"/>
    <x v="1"/>
    <x v="442"/>
    <x v="442"/>
    <x v="1"/>
  </r>
  <r>
    <x v="13"/>
    <x v="147"/>
    <x v="1"/>
    <x v="0"/>
    <x v="15"/>
    <x v="0"/>
    <x v="443"/>
    <x v="443"/>
    <x v="1"/>
    <x v="1"/>
    <x v="0"/>
    <x v="0"/>
    <x v="11"/>
    <x v="443"/>
    <x v="443"/>
    <x v="443"/>
    <x v="443"/>
    <x v="443"/>
    <x v="443"/>
    <x v="443"/>
    <x v="0"/>
    <x v="1"/>
    <x v="443"/>
    <x v="443"/>
    <x v="1"/>
  </r>
  <r>
    <x v="22"/>
    <x v="251"/>
    <x v="3"/>
    <x v="3"/>
    <x v="28"/>
    <x v="3"/>
    <x v="444"/>
    <x v="444"/>
    <x v="1"/>
    <x v="9"/>
    <x v="1"/>
    <x v="0"/>
    <x v="14"/>
    <x v="444"/>
    <x v="444"/>
    <x v="444"/>
    <x v="444"/>
    <x v="444"/>
    <x v="444"/>
    <x v="444"/>
    <x v="0"/>
    <x v="1"/>
    <x v="444"/>
    <x v="444"/>
    <x v="1"/>
  </r>
  <r>
    <x v="22"/>
    <x v="252"/>
    <x v="1"/>
    <x v="1"/>
    <x v="31"/>
    <x v="2"/>
    <x v="445"/>
    <x v="445"/>
    <x v="0"/>
    <x v="30"/>
    <x v="0"/>
    <x v="1"/>
    <x v="13"/>
    <x v="445"/>
    <x v="445"/>
    <x v="445"/>
    <x v="445"/>
    <x v="445"/>
    <x v="445"/>
    <x v="445"/>
    <x v="0"/>
    <x v="0"/>
    <x v="445"/>
    <x v="445"/>
    <x v="0"/>
  </r>
  <r>
    <x v="74"/>
    <x v="253"/>
    <x v="0"/>
    <x v="0"/>
    <x v="7"/>
    <x v="2"/>
    <x v="446"/>
    <x v="446"/>
    <x v="1"/>
    <x v="11"/>
    <x v="0"/>
    <x v="1"/>
    <x v="0"/>
    <x v="446"/>
    <x v="446"/>
    <x v="446"/>
    <x v="446"/>
    <x v="446"/>
    <x v="446"/>
    <x v="446"/>
    <x v="0"/>
    <x v="0"/>
    <x v="446"/>
    <x v="446"/>
    <x v="0"/>
  </r>
  <r>
    <x v="24"/>
    <x v="138"/>
    <x v="3"/>
    <x v="2"/>
    <x v="2"/>
    <x v="2"/>
    <x v="447"/>
    <x v="447"/>
    <x v="1"/>
    <x v="24"/>
    <x v="2"/>
    <x v="0"/>
    <x v="6"/>
    <x v="447"/>
    <x v="447"/>
    <x v="447"/>
    <x v="447"/>
    <x v="447"/>
    <x v="447"/>
    <x v="447"/>
    <x v="0"/>
    <x v="1"/>
    <x v="447"/>
    <x v="447"/>
    <x v="1"/>
  </r>
  <r>
    <x v="0"/>
    <x v="9"/>
    <x v="1"/>
    <x v="1"/>
    <x v="36"/>
    <x v="3"/>
    <x v="448"/>
    <x v="448"/>
    <x v="1"/>
    <x v="14"/>
    <x v="0"/>
    <x v="1"/>
    <x v="13"/>
    <x v="448"/>
    <x v="448"/>
    <x v="448"/>
    <x v="448"/>
    <x v="448"/>
    <x v="448"/>
    <x v="448"/>
    <x v="0"/>
    <x v="0"/>
    <x v="448"/>
    <x v="448"/>
    <x v="0"/>
  </r>
  <r>
    <x v="27"/>
    <x v="157"/>
    <x v="3"/>
    <x v="0"/>
    <x v="44"/>
    <x v="1"/>
    <x v="449"/>
    <x v="449"/>
    <x v="1"/>
    <x v="9"/>
    <x v="1"/>
    <x v="0"/>
    <x v="7"/>
    <x v="449"/>
    <x v="449"/>
    <x v="449"/>
    <x v="449"/>
    <x v="449"/>
    <x v="449"/>
    <x v="449"/>
    <x v="0"/>
    <x v="0"/>
    <x v="449"/>
    <x v="449"/>
    <x v="0"/>
  </r>
  <r>
    <x v="86"/>
    <x v="165"/>
    <x v="2"/>
    <x v="2"/>
    <x v="28"/>
    <x v="0"/>
    <x v="450"/>
    <x v="450"/>
    <x v="0"/>
    <x v="19"/>
    <x v="1"/>
    <x v="0"/>
    <x v="10"/>
    <x v="450"/>
    <x v="450"/>
    <x v="450"/>
    <x v="450"/>
    <x v="450"/>
    <x v="450"/>
    <x v="450"/>
    <x v="0"/>
    <x v="1"/>
    <x v="450"/>
    <x v="450"/>
    <x v="1"/>
  </r>
  <r>
    <x v="2"/>
    <x v="91"/>
    <x v="0"/>
    <x v="3"/>
    <x v="22"/>
    <x v="2"/>
    <x v="451"/>
    <x v="451"/>
    <x v="0"/>
    <x v="29"/>
    <x v="2"/>
    <x v="0"/>
    <x v="12"/>
    <x v="451"/>
    <x v="451"/>
    <x v="451"/>
    <x v="451"/>
    <x v="451"/>
    <x v="451"/>
    <x v="451"/>
    <x v="0"/>
    <x v="1"/>
    <x v="451"/>
    <x v="451"/>
    <x v="1"/>
  </r>
  <r>
    <x v="52"/>
    <x v="87"/>
    <x v="1"/>
    <x v="2"/>
    <x v="10"/>
    <x v="3"/>
    <x v="452"/>
    <x v="452"/>
    <x v="0"/>
    <x v="28"/>
    <x v="2"/>
    <x v="1"/>
    <x v="2"/>
    <x v="452"/>
    <x v="452"/>
    <x v="452"/>
    <x v="452"/>
    <x v="452"/>
    <x v="452"/>
    <x v="452"/>
    <x v="0"/>
    <x v="1"/>
    <x v="452"/>
    <x v="452"/>
    <x v="1"/>
  </r>
  <r>
    <x v="19"/>
    <x v="142"/>
    <x v="2"/>
    <x v="1"/>
    <x v="24"/>
    <x v="3"/>
    <x v="453"/>
    <x v="453"/>
    <x v="1"/>
    <x v="22"/>
    <x v="0"/>
    <x v="0"/>
    <x v="5"/>
    <x v="453"/>
    <x v="453"/>
    <x v="453"/>
    <x v="453"/>
    <x v="453"/>
    <x v="453"/>
    <x v="453"/>
    <x v="0"/>
    <x v="1"/>
    <x v="453"/>
    <x v="453"/>
    <x v="1"/>
  </r>
  <r>
    <x v="85"/>
    <x v="254"/>
    <x v="2"/>
    <x v="3"/>
    <x v="15"/>
    <x v="0"/>
    <x v="454"/>
    <x v="454"/>
    <x v="0"/>
    <x v="2"/>
    <x v="2"/>
    <x v="0"/>
    <x v="4"/>
    <x v="454"/>
    <x v="454"/>
    <x v="454"/>
    <x v="454"/>
    <x v="454"/>
    <x v="454"/>
    <x v="454"/>
    <x v="0"/>
    <x v="1"/>
    <x v="454"/>
    <x v="454"/>
    <x v="1"/>
  </r>
  <r>
    <x v="45"/>
    <x v="55"/>
    <x v="3"/>
    <x v="0"/>
    <x v="22"/>
    <x v="2"/>
    <x v="455"/>
    <x v="455"/>
    <x v="0"/>
    <x v="12"/>
    <x v="1"/>
    <x v="1"/>
    <x v="7"/>
    <x v="455"/>
    <x v="455"/>
    <x v="455"/>
    <x v="455"/>
    <x v="455"/>
    <x v="455"/>
    <x v="455"/>
    <x v="0"/>
    <x v="0"/>
    <x v="455"/>
    <x v="455"/>
    <x v="0"/>
  </r>
  <r>
    <x v="14"/>
    <x v="255"/>
    <x v="2"/>
    <x v="3"/>
    <x v="23"/>
    <x v="3"/>
    <x v="456"/>
    <x v="456"/>
    <x v="1"/>
    <x v="13"/>
    <x v="1"/>
    <x v="0"/>
    <x v="4"/>
    <x v="456"/>
    <x v="456"/>
    <x v="456"/>
    <x v="456"/>
    <x v="456"/>
    <x v="456"/>
    <x v="456"/>
    <x v="0"/>
    <x v="0"/>
    <x v="456"/>
    <x v="456"/>
    <x v="0"/>
  </r>
  <r>
    <x v="19"/>
    <x v="105"/>
    <x v="0"/>
    <x v="0"/>
    <x v="23"/>
    <x v="0"/>
    <x v="457"/>
    <x v="457"/>
    <x v="0"/>
    <x v="22"/>
    <x v="2"/>
    <x v="1"/>
    <x v="0"/>
    <x v="457"/>
    <x v="457"/>
    <x v="457"/>
    <x v="457"/>
    <x v="457"/>
    <x v="457"/>
    <x v="457"/>
    <x v="0"/>
    <x v="1"/>
    <x v="457"/>
    <x v="457"/>
    <x v="1"/>
  </r>
  <r>
    <x v="68"/>
    <x v="256"/>
    <x v="0"/>
    <x v="0"/>
    <x v="9"/>
    <x v="1"/>
    <x v="458"/>
    <x v="458"/>
    <x v="1"/>
    <x v="11"/>
    <x v="2"/>
    <x v="1"/>
    <x v="0"/>
    <x v="458"/>
    <x v="458"/>
    <x v="458"/>
    <x v="458"/>
    <x v="458"/>
    <x v="458"/>
    <x v="458"/>
    <x v="0"/>
    <x v="0"/>
    <x v="458"/>
    <x v="458"/>
    <x v="0"/>
  </r>
  <r>
    <x v="89"/>
    <x v="257"/>
    <x v="4"/>
    <x v="2"/>
    <x v="9"/>
    <x v="1"/>
    <x v="459"/>
    <x v="459"/>
    <x v="0"/>
    <x v="3"/>
    <x v="2"/>
    <x v="1"/>
    <x v="9"/>
    <x v="459"/>
    <x v="459"/>
    <x v="459"/>
    <x v="459"/>
    <x v="459"/>
    <x v="459"/>
    <x v="459"/>
    <x v="0"/>
    <x v="0"/>
    <x v="459"/>
    <x v="459"/>
    <x v="0"/>
  </r>
  <r>
    <x v="51"/>
    <x v="250"/>
    <x v="0"/>
    <x v="2"/>
    <x v="33"/>
    <x v="1"/>
    <x v="460"/>
    <x v="460"/>
    <x v="0"/>
    <x v="22"/>
    <x v="0"/>
    <x v="0"/>
    <x v="3"/>
    <x v="460"/>
    <x v="460"/>
    <x v="460"/>
    <x v="460"/>
    <x v="460"/>
    <x v="460"/>
    <x v="460"/>
    <x v="0"/>
    <x v="0"/>
    <x v="460"/>
    <x v="460"/>
    <x v="0"/>
  </r>
  <r>
    <x v="78"/>
    <x v="238"/>
    <x v="2"/>
    <x v="2"/>
    <x v="27"/>
    <x v="2"/>
    <x v="461"/>
    <x v="461"/>
    <x v="0"/>
    <x v="24"/>
    <x v="0"/>
    <x v="0"/>
    <x v="10"/>
    <x v="461"/>
    <x v="461"/>
    <x v="461"/>
    <x v="461"/>
    <x v="461"/>
    <x v="461"/>
    <x v="461"/>
    <x v="0"/>
    <x v="1"/>
    <x v="461"/>
    <x v="461"/>
    <x v="1"/>
  </r>
  <r>
    <x v="79"/>
    <x v="164"/>
    <x v="0"/>
    <x v="1"/>
    <x v="48"/>
    <x v="0"/>
    <x v="462"/>
    <x v="462"/>
    <x v="0"/>
    <x v="16"/>
    <x v="1"/>
    <x v="1"/>
    <x v="1"/>
    <x v="462"/>
    <x v="462"/>
    <x v="462"/>
    <x v="462"/>
    <x v="462"/>
    <x v="462"/>
    <x v="462"/>
    <x v="0"/>
    <x v="1"/>
    <x v="462"/>
    <x v="462"/>
    <x v="1"/>
  </r>
  <r>
    <x v="31"/>
    <x v="1"/>
    <x v="3"/>
    <x v="1"/>
    <x v="1"/>
    <x v="0"/>
    <x v="463"/>
    <x v="463"/>
    <x v="1"/>
    <x v="12"/>
    <x v="0"/>
    <x v="1"/>
    <x v="8"/>
    <x v="463"/>
    <x v="463"/>
    <x v="463"/>
    <x v="463"/>
    <x v="463"/>
    <x v="463"/>
    <x v="463"/>
    <x v="0"/>
    <x v="1"/>
    <x v="463"/>
    <x v="463"/>
    <x v="1"/>
  </r>
  <r>
    <x v="73"/>
    <x v="26"/>
    <x v="4"/>
    <x v="2"/>
    <x v="39"/>
    <x v="3"/>
    <x v="464"/>
    <x v="464"/>
    <x v="1"/>
    <x v="28"/>
    <x v="0"/>
    <x v="1"/>
    <x v="9"/>
    <x v="464"/>
    <x v="464"/>
    <x v="464"/>
    <x v="464"/>
    <x v="464"/>
    <x v="464"/>
    <x v="464"/>
    <x v="0"/>
    <x v="1"/>
    <x v="464"/>
    <x v="464"/>
    <x v="1"/>
  </r>
  <r>
    <x v="33"/>
    <x v="234"/>
    <x v="2"/>
    <x v="1"/>
    <x v="26"/>
    <x v="3"/>
    <x v="465"/>
    <x v="465"/>
    <x v="0"/>
    <x v="19"/>
    <x v="0"/>
    <x v="0"/>
    <x v="5"/>
    <x v="465"/>
    <x v="465"/>
    <x v="465"/>
    <x v="465"/>
    <x v="465"/>
    <x v="465"/>
    <x v="465"/>
    <x v="0"/>
    <x v="1"/>
    <x v="465"/>
    <x v="465"/>
    <x v="1"/>
  </r>
  <r>
    <x v="58"/>
    <x v="83"/>
    <x v="4"/>
    <x v="3"/>
    <x v="31"/>
    <x v="3"/>
    <x v="466"/>
    <x v="466"/>
    <x v="1"/>
    <x v="26"/>
    <x v="0"/>
    <x v="1"/>
    <x v="18"/>
    <x v="466"/>
    <x v="466"/>
    <x v="466"/>
    <x v="466"/>
    <x v="466"/>
    <x v="466"/>
    <x v="466"/>
    <x v="0"/>
    <x v="1"/>
    <x v="466"/>
    <x v="466"/>
    <x v="1"/>
  </r>
  <r>
    <x v="0"/>
    <x v="258"/>
    <x v="2"/>
    <x v="3"/>
    <x v="0"/>
    <x v="0"/>
    <x v="467"/>
    <x v="467"/>
    <x v="0"/>
    <x v="27"/>
    <x v="1"/>
    <x v="1"/>
    <x v="4"/>
    <x v="467"/>
    <x v="467"/>
    <x v="467"/>
    <x v="467"/>
    <x v="467"/>
    <x v="467"/>
    <x v="467"/>
    <x v="0"/>
    <x v="1"/>
    <x v="467"/>
    <x v="467"/>
    <x v="1"/>
  </r>
  <r>
    <x v="93"/>
    <x v="15"/>
    <x v="3"/>
    <x v="1"/>
    <x v="23"/>
    <x v="3"/>
    <x v="468"/>
    <x v="468"/>
    <x v="0"/>
    <x v="15"/>
    <x v="2"/>
    <x v="1"/>
    <x v="8"/>
    <x v="468"/>
    <x v="468"/>
    <x v="468"/>
    <x v="468"/>
    <x v="468"/>
    <x v="468"/>
    <x v="468"/>
    <x v="0"/>
    <x v="0"/>
    <x v="468"/>
    <x v="468"/>
    <x v="0"/>
  </r>
  <r>
    <x v="81"/>
    <x v="259"/>
    <x v="4"/>
    <x v="1"/>
    <x v="25"/>
    <x v="0"/>
    <x v="469"/>
    <x v="469"/>
    <x v="0"/>
    <x v="6"/>
    <x v="1"/>
    <x v="0"/>
    <x v="17"/>
    <x v="469"/>
    <x v="469"/>
    <x v="469"/>
    <x v="469"/>
    <x v="469"/>
    <x v="469"/>
    <x v="469"/>
    <x v="0"/>
    <x v="0"/>
    <x v="469"/>
    <x v="469"/>
    <x v="0"/>
  </r>
  <r>
    <x v="16"/>
    <x v="33"/>
    <x v="1"/>
    <x v="3"/>
    <x v="37"/>
    <x v="0"/>
    <x v="470"/>
    <x v="470"/>
    <x v="0"/>
    <x v="16"/>
    <x v="0"/>
    <x v="1"/>
    <x v="16"/>
    <x v="470"/>
    <x v="470"/>
    <x v="470"/>
    <x v="470"/>
    <x v="470"/>
    <x v="470"/>
    <x v="470"/>
    <x v="0"/>
    <x v="1"/>
    <x v="470"/>
    <x v="470"/>
    <x v="1"/>
  </r>
  <r>
    <x v="88"/>
    <x v="208"/>
    <x v="2"/>
    <x v="0"/>
    <x v="0"/>
    <x v="1"/>
    <x v="471"/>
    <x v="471"/>
    <x v="0"/>
    <x v="0"/>
    <x v="2"/>
    <x v="0"/>
    <x v="19"/>
    <x v="471"/>
    <x v="471"/>
    <x v="471"/>
    <x v="471"/>
    <x v="471"/>
    <x v="471"/>
    <x v="471"/>
    <x v="0"/>
    <x v="1"/>
    <x v="471"/>
    <x v="471"/>
    <x v="1"/>
  </r>
  <r>
    <x v="90"/>
    <x v="141"/>
    <x v="1"/>
    <x v="3"/>
    <x v="22"/>
    <x v="3"/>
    <x v="472"/>
    <x v="472"/>
    <x v="0"/>
    <x v="24"/>
    <x v="2"/>
    <x v="0"/>
    <x v="16"/>
    <x v="472"/>
    <x v="472"/>
    <x v="472"/>
    <x v="472"/>
    <x v="472"/>
    <x v="472"/>
    <x v="472"/>
    <x v="0"/>
    <x v="1"/>
    <x v="472"/>
    <x v="472"/>
    <x v="1"/>
  </r>
  <r>
    <x v="53"/>
    <x v="257"/>
    <x v="4"/>
    <x v="3"/>
    <x v="42"/>
    <x v="1"/>
    <x v="473"/>
    <x v="473"/>
    <x v="1"/>
    <x v="17"/>
    <x v="2"/>
    <x v="1"/>
    <x v="18"/>
    <x v="473"/>
    <x v="473"/>
    <x v="473"/>
    <x v="473"/>
    <x v="473"/>
    <x v="473"/>
    <x v="473"/>
    <x v="0"/>
    <x v="0"/>
    <x v="473"/>
    <x v="473"/>
    <x v="0"/>
  </r>
  <r>
    <x v="88"/>
    <x v="169"/>
    <x v="1"/>
    <x v="1"/>
    <x v="25"/>
    <x v="2"/>
    <x v="474"/>
    <x v="474"/>
    <x v="1"/>
    <x v="20"/>
    <x v="1"/>
    <x v="1"/>
    <x v="13"/>
    <x v="474"/>
    <x v="474"/>
    <x v="474"/>
    <x v="474"/>
    <x v="474"/>
    <x v="474"/>
    <x v="474"/>
    <x v="0"/>
    <x v="0"/>
    <x v="474"/>
    <x v="474"/>
    <x v="0"/>
  </r>
  <r>
    <x v="28"/>
    <x v="181"/>
    <x v="1"/>
    <x v="3"/>
    <x v="32"/>
    <x v="2"/>
    <x v="475"/>
    <x v="475"/>
    <x v="0"/>
    <x v="27"/>
    <x v="2"/>
    <x v="1"/>
    <x v="16"/>
    <x v="475"/>
    <x v="475"/>
    <x v="475"/>
    <x v="475"/>
    <x v="475"/>
    <x v="475"/>
    <x v="475"/>
    <x v="0"/>
    <x v="0"/>
    <x v="475"/>
    <x v="475"/>
    <x v="0"/>
  </r>
  <r>
    <x v="22"/>
    <x v="13"/>
    <x v="4"/>
    <x v="1"/>
    <x v="16"/>
    <x v="2"/>
    <x v="476"/>
    <x v="476"/>
    <x v="1"/>
    <x v="20"/>
    <x v="1"/>
    <x v="0"/>
    <x v="17"/>
    <x v="476"/>
    <x v="476"/>
    <x v="476"/>
    <x v="476"/>
    <x v="476"/>
    <x v="476"/>
    <x v="476"/>
    <x v="0"/>
    <x v="1"/>
    <x v="476"/>
    <x v="476"/>
    <x v="1"/>
  </r>
  <r>
    <x v="33"/>
    <x v="233"/>
    <x v="3"/>
    <x v="1"/>
    <x v="8"/>
    <x v="0"/>
    <x v="477"/>
    <x v="477"/>
    <x v="0"/>
    <x v="9"/>
    <x v="1"/>
    <x v="0"/>
    <x v="8"/>
    <x v="477"/>
    <x v="477"/>
    <x v="477"/>
    <x v="477"/>
    <x v="477"/>
    <x v="337"/>
    <x v="477"/>
    <x v="0"/>
    <x v="1"/>
    <x v="477"/>
    <x v="477"/>
    <x v="1"/>
  </r>
  <r>
    <x v="41"/>
    <x v="168"/>
    <x v="1"/>
    <x v="2"/>
    <x v="20"/>
    <x v="0"/>
    <x v="478"/>
    <x v="478"/>
    <x v="1"/>
    <x v="24"/>
    <x v="0"/>
    <x v="0"/>
    <x v="2"/>
    <x v="478"/>
    <x v="478"/>
    <x v="478"/>
    <x v="478"/>
    <x v="478"/>
    <x v="477"/>
    <x v="478"/>
    <x v="0"/>
    <x v="0"/>
    <x v="478"/>
    <x v="478"/>
    <x v="0"/>
  </r>
  <r>
    <x v="41"/>
    <x v="260"/>
    <x v="1"/>
    <x v="3"/>
    <x v="20"/>
    <x v="0"/>
    <x v="479"/>
    <x v="479"/>
    <x v="1"/>
    <x v="27"/>
    <x v="0"/>
    <x v="1"/>
    <x v="16"/>
    <x v="479"/>
    <x v="479"/>
    <x v="479"/>
    <x v="479"/>
    <x v="479"/>
    <x v="478"/>
    <x v="479"/>
    <x v="0"/>
    <x v="1"/>
    <x v="479"/>
    <x v="479"/>
    <x v="1"/>
  </r>
  <r>
    <x v="30"/>
    <x v="233"/>
    <x v="3"/>
    <x v="0"/>
    <x v="10"/>
    <x v="3"/>
    <x v="480"/>
    <x v="480"/>
    <x v="1"/>
    <x v="0"/>
    <x v="2"/>
    <x v="0"/>
    <x v="7"/>
    <x v="480"/>
    <x v="480"/>
    <x v="480"/>
    <x v="480"/>
    <x v="480"/>
    <x v="479"/>
    <x v="480"/>
    <x v="0"/>
    <x v="0"/>
    <x v="480"/>
    <x v="480"/>
    <x v="0"/>
  </r>
  <r>
    <x v="71"/>
    <x v="87"/>
    <x v="1"/>
    <x v="2"/>
    <x v="31"/>
    <x v="1"/>
    <x v="481"/>
    <x v="481"/>
    <x v="0"/>
    <x v="27"/>
    <x v="2"/>
    <x v="1"/>
    <x v="2"/>
    <x v="481"/>
    <x v="481"/>
    <x v="481"/>
    <x v="481"/>
    <x v="481"/>
    <x v="480"/>
    <x v="481"/>
    <x v="0"/>
    <x v="1"/>
    <x v="481"/>
    <x v="481"/>
    <x v="1"/>
  </r>
  <r>
    <x v="40"/>
    <x v="172"/>
    <x v="1"/>
    <x v="1"/>
    <x v="26"/>
    <x v="0"/>
    <x v="482"/>
    <x v="482"/>
    <x v="1"/>
    <x v="0"/>
    <x v="0"/>
    <x v="1"/>
    <x v="13"/>
    <x v="482"/>
    <x v="482"/>
    <x v="482"/>
    <x v="482"/>
    <x v="482"/>
    <x v="481"/>
    <x v="482"/>
    <x v="0"/>
    <x v="1"/>
    <x v="482"/>
    <x v="482"/>
    <x v="1"/>
  </r>
  <r>
    <x v="70"/>
    <x v="261"/>
    <x v="1"/>
    <x v="1"/>
    <x v="4"/>
    <x v="1"/>
    <x v="483"/>
    <x v="483"/>
    <x v="0"/>
    <x v="0"/>
    <x v="1"/>
    <x v="1"/>
    <x v="13"/>
    <x v="483"/>
    <x v="483"/>
    <x v="483"/>
    <x v="483"/>
    <x v="483"/>
    <x v="482"/>
    <x v="483"/>
    <x v="0"/>
    <x v="0"/>
    <x v="483"/>
    <x v="483"/>
    <x v="0"/>
  </r>
  <r>
    <x v="66"/>
    <x v="262"/>
    <x v="0"/>
    <x v="0"/>
    <x v="41"/>
    <x v="1"/>
    <x v="484"/>
    <x v="484"/>
    <x v="0"/>
    <x v="7"/>
    <x v="1"/>
    <x v="0"/>
    <x v="0"/>
    <x v="484"/>
    <x v="484"/>
    <x v="484"/>
    <x v="484"/>
    <x v="484"/>
    <x v="483"/>
    <x v="484"/>
    <x v="0"/>
    <x v="1"/>
    <x v="484"/>
    <x v="484"/>
    <x v="1"/>
  </r>
  <r>
    <x v="22"/>
    <x v="263"/>
    <x v="3"/>
    <x v="1"/>
    <x v="3"/>
    <x v="1"/>
    <x v="485"/>
    <x v="485"/>
    <x v="0"/>
    <x v="16"/>
    <x v="0"/>
    <x v="0"/>
    <x v="8"/>
    <x v="485"/>
    <x v="485"/>
    <x v="485"/>
    <x v="485"/>
    <x v="485"/>
    <x v="484"/>
    <x v="485"/>
    <x v="0"/>
    <x v="1"/>
    <x v="485"/>
    <x v="485"/>
    <x v="1"/>
  </r>
  <r>
    <x v="66"/>
    <x v="106"/>
    <x v="1"/>
    <x v="3"/>
    <x v="39"/>
    <x v="3"/>
    <x v="486"/>
    <x v="486"/>
    <x v="1"/>
    <x v="25"/>
    <x v="1"/>
    <x v="0"/>
    <x v="16"/>
    <x v="486"/>
    <x v="486"/>
    <x v="486"/>
    <x v="486"/>
    <x v="486"/>
    <x v="485"/>
    <x v="486"/>
    <x v="0"/>
    <x v="1"/>
    <x v="486"/>
    <x v="486"/>
    <x v="1"/>
  </r>
  <r>
    <x v="54"/>
    <x v="5"/>
    <x v="3"/>
    <x v="2"/>
    <x v="42"/>
    <x v="3"/>
    <x v="487"/>
    <x v="487"/>
    <x v="1"/>
    <x v="2"/>
    <x v="0"/>
    <x v="1"/>
    <x v="6"/>
    <x v="487"/>
    <x v="487"/>
    <x v="487"/>
    <x v="487"/>
    <x v="487"/>
    <x v="486"/>
    <x v="487"/>
    <x v="0"/>
    <x v="1"/>
    <x v="487"/>
    <x v="487"/>
    <x v="1"/>
  </r>
  <r>
    <x v="78"/>
    <x v="170"/>
    <x v="2"/>
    <x v="1"/>
    <x v="30"/>
    <x v="2"/>
    <x v="488"/>
    <x v="488"/>
    <x v="1"/>
    <x v="7"/>
    <x v="0"/>
    <x v="0"/>
    <x v="5"/>
    <x v="488"/>
    <x v="488"/>
    <x v="488"/>
    <x v="488"/>
    <x v="488"/>
    <x v="487"/>
    <x v="488"/>
    <x v="0"/>
    <x v="1"/>
    <x v="488"/>
    <x v="488"/>
    <x v="1"/>
  </r>
  <r>
    <x v="57"/>
    <x v="118"/>
    <x v="2"/>
    <x v="1"/>
    <x v="30"/>
    <x v="2"/>
    <x v="489"/>
    <x v="489"/>
    <x v="0"/>
    <x v="4"/>
    <x v="2"/>
    <x v="0"/>
    <x v="5"/>
    <x v="489"/>
    <x v="489"/>
    <x v="489"/>
    <x v="489"/>
    <x v="489"/>
    <x v="488"/>
    <x v="489"/>
    <x v="0"/>
    <x v="0"/>
    <x v="489"/>
    <x v="489"/>
    <x v="0"/>
  </r>
  <r>
    <x v="23"/>
    <x v="96"/>
    <x v="1"/>
    <x v="0"/>
    <x v="13"/>
    <x v="1"/>
    <x v="490"/>
    <x v="490"/>
    <x v="0"/>
    <x v="12"/>
    <x v="2"/>
    <x v="1"/>
    <x v="11"/>
    <x v="490"/>
    <x v="490"/>
    <x v="490"/>
    <x v="490"/>
    <x v="490"/>
    <x v="489"/>
    <x v="490"/>
    <x v="0"/>
    <x v="1"/>
    <x v="490"/>
    <x v="490"/>
    <x v="1"/>
  </r>
  <r>
    <x v="66"/>
    <x v="198"/>
    <x v="3"/>
    <x v="3"/>
    <x v="29"/>
    <x v="2"/>
    <x v="491"/>
    <x v="491"/>
    <x v="1"/>
    <x v="13"/>
    <x v="0"/>
    <x v="1"/>
    <x v="14"/>
    <x v="491"/>
    <x v="491"/>
    <x v="491"/>
    <x v="491"/>
    <x v="491"/>
    <x v="490"/>
    <x v="491"/>
    <x v="0"/>
    <x v="0"/>
    <x v="491"/>
    <x v="491"/>
    <x v="0"/>
  </r>
  <r>
    <x v="93"/>
    <x v="14"/>
    <x v="3"/>
    <x v="1"/>
    <x v="48"/>
    <x v="1"/>
    <x v="492"/>
    <x v="492"/>
    <x v="0"/>
    <x v="24"/>
    <x v="2"/>
    <x v="0"/>
    <x v="8"/>
    <x v="492"/>
    <x v="492"/>
    <x v="492"/>
    <x v="492"/>
    <x v="492"/>
    <x v="491"/>
    <x v="492"/>
    <x v="0"/>
    <x v="0"/>
    <x v="492"/>
    <x v="492"/>
    <x v="0"/>
  </r>
  <r>
    <x v="4"/>
    <x v="264"/>
    <x v="3"/>
    <x v="0"/>
    <x v="20"/>
    <x v="3"/>
    <x v="493"/>
    <x v="493"/>
    <x v="1"/>
    <x v="18"/>
    <x v="0"/>
    <x v="1"/>
    <x v="7"/>
    <x v="493"/>
    <x v="493"/>
    <x v="493"/>
    <x v="493"/>
    <x v="493"/>
    <x v="492"/>
    <x v="493"/>
    <x v="0"/>
    <x v="0"/>
    <x v="493"/>
    <x v="493"/>
    <x v="0"/>
  </r>
  <r>
    <x v="18"/>
    <x v="72"/>
    <x v="0"/>
    <x v="1"/>
    <x v="7"/>
    <x v="3"/>
    <x v="494"/>
    <x v="494"/>
    <x v="1"/>
    <x v="14"/>
    <x v="1"/>
    <x v="0"/>
    <x v="1"/>
    <x v="494"/>
    <x v="494"/>
    <x v="494"/>
    <x v="494"/>
    <x v="494"/>
    <x v="493"/>
    <x v="494"/>
    <x v="0"/>
    <x v="0"/>
    <x v="494"/>
    <x v="494"/>
    <x v="0"/>
  </r>
  <r>
    <x v="53"/>
    <x v="265"/>
    <x v="2"/>
    <x v="0"/>
    <x v="11"/>
    <x v="3"/>
    <x v="495"/>
    <x v="495"/>
    <x v="1"/>
    <x v="16"/>
    <x v="1"/>
    <x v="1"/>
    <x v="19"/>
    <x v="495"/>
    <x v="495"/>
    <x v="495"/>
    <x v="495"/>
    <x v="495"/>
    <x v="494"/>
    <x v="495"/>
    <x v="0"/>
    <x v="1"/>
    <x v="495"/>
    <x v="495"/>
    <x v="1"/>
  </r>
  <r>
    <x v="91"/>
    <x v="266"/>
    <x v="3"/>
    <x v="0"/>
    <x v="26"/>
    <x v="0"/>
    <x v="496"/>
    <x v="496"/>
    <x v="1"/>
    <x v="2"/>
    <x v="1"/>
    <x v="1"/>
    <x v="7"/>
    <x v="496"/>
    <x v="496"/>
    <x v="496"/>
    <x v="496"/>
    <x v="496"/>
    <x v="495"/>
    <x v="496"/>
    <x v="0"/>
    <x v="1"/>
    <x v="496"/>
    <x v="496"/>
    <x v="1"/>
  </r>
  <r>
    <x v="13"/>
    <x v="267"/>
    <x v="3"/>
    <x v="3"/>
    <x v="4"/>
    <x v="1"/>
    <x v="497"/>
    <x v="497"/>
    <x v="0"/>
    <x v="18"/>
    <x v="1"/>
    <x v="0"/>
    <x v="14"/>
    <x v="497"/>
    <x v="497"/>
    <x v="497"/>
    <x v="497"/>
    <x v="497"/>
    <x v="496"/>
    <x v="497"/>
    <x v="0"/>
    <x v="0"/>
    <x v="497"/>
    <x v="497"/>
    <x v="0"/>
  </r>
  <r>
    <x v="1"/>
    <x v="51"/>
    <x v="0"/>
    <x v="1"/>
    <x v="8"/>
    <x v="3"/>
    <x v="498"/>
    <x v="498"/>
    <x v="1"/>
    <x v="4"/>
    <x v="0"/>
    <x v="1"/>
    <x v="1"/>
    <x v="498"/>
    <x v="498"/>
    <x v="498"/>
    <x v="498"/>
    <x v="498"/>
    <x v="497"/>
    <x v="498"/>
    <x v="0"/>
    <x v="1"/>
    <x v="498"/>
    <x v="498"/>
    <x v="1"/>
  </r>
  <r>
    <x v="95"/>
    <x v="6"/>
    <x v="0"/>
    <x v="3"/>
    <x v="1"/>
    <x v="1"/>
    <x v="499"/>
    <x v="499"/>
    <x v="1"/>
    <x v="19"/>
    <x v="1"/>
    <x v="1"/>
    <x v="12"/>
    <x v="499"/>
    <x v="499"/>
    <x v="499"/>
    <x v="499"/>
    <x v="499"/>
    <x v="498"/>
    <x v="499"/>
    <x v="0"/>
    <x v="1"/>
    <x v="499"/>
    <x v="499"/>
    <x v="1"/>
  </r>
  <r>
    <x v="21"/>
    <x v="268"/>
    <x v="3"/>
    <x v="0"/>
    <x v="1"/>
    <x v="2"/>
    <x v="500"/>
    <x v="500"/>
    <x v="1"/>
    <x v="6"/>
    <x v="1"/>
    <x v="1"/>
    <x v="7"/>
    <x v="500"/>
    <x v="500"/>
    <x v="500"/>
    <x v="500"/>
    <x v="500"/>
    <x v="499"/>
    <x v="500"/>
    <x v="0"/>
    <x v="1"/>
    <x v="500"/>
    <x v="500"/>
    <x v="1"/>
  </r>
  <r>
    <x v="61"/>
    <x v="82"/>
    <x v="4"/>
    <x v="2"/>
    <x v="43"/>
    <x v="2"/>
    <x v="501"/>
    <x v="501"/>
    <x v="1"/>
    <x v="2"/>
    <x v="1"/>
    <x v="0"/>
    <x v="9"/>
    <x v="501"/>
    <x v="501"/>
    <x v="501"/>
    <x v="501"/>
    <x v="501"/>
    <x v="500"/>
    <x v="501"/>
    <x v="0"/>
    <x v="1"/>
    <x v="501"/>
    <x v="501"/>
    <x v="1"/>
  </r>
  <r>
    <x v="93"/>
    <x v="172"/>
    <x v="3"/>
    <x v="1"/>
    <x v="9"/>
    <x v="3"/>
    <x v="502"/>
    <x v="502"/>
    <x v="1"/>
    <x v="15"/>
    <x v="1"/>
    <x v="1"/>
    <x v="8"/>
    <x v="502"/>
    <x v="502"/>
    <x v="502"/>
    <x v="502"/>
    <x v="502"/>
    <x v="501"/>
    <x v="502"/>
    <x v="0"/>
    <x v="1"/>
    <x v="502"/>
    <x v="502"/>
    <x v="1"/>
  </r>
  <r>
    <x v="32"/>
    <x v="128"/>
    <x v="3"/>
    <x v="2"/>
    <x v="29"/>
    <x v="1"/>
    <x v="503"/>
    <x v="503"/>
    <x v="1"/>
    <x v="1"/>
    <x v="0"/>
    <x v="1"/>
    <x v="6"/>
    <x v="503"/>
    <x v="503"/>
    <x v="503"/>
    <x v="503"/>
    <x v="503"/>
    <x v="502"/>
    <x v="503"/>
    <x v="0"/>
    <x v="1"/>
    <x v="503"/>
    <x v="503"/>
    <x v="1"/>
  </r>
  <r>
    <x v="74"/>
    <x v="269"/>
    <x v="0"/>
    <x v="1"/>
    <x v="47"/>
    <x v="3"/>
    <x v="504"/>
    <x v="504"/>
    <x v="1"/>
    <x v="23"/>
    <x v="1"/>
    <x v="0"/>
    <x v="1"/>
    <x v="504"/>
    <x v="504"/>
    <x v="504"/>
    <x v="504"/>
    <x v="504"/>
    <x v="503"/>
    <x v="504"/>
    <x v="0"/>
    <x v="1"/>
    <x v="504"/>
    <x v="504"/>
    <x v="1"/>
  </r>
  <r>
    <x v="84"/>
    <x v="27"/>
    <x v="0"/>
    <x v="3"/>
    <x v="42"/>
    <x v="2"/>
    <x v="505"/>
    <x v="505"/>
    <x v="0"/>
    <x v="17"/>
    <x v="2"/>
    <x v="0"/>
    <x v="12"/>
    <x v="505"/>
    <x v="505"/>
    <x v="505"/>
    <x v="505"/>
    <x v="505"/>
    <x v="504"/>
    <x v="505"/>
    <x v="0"/>
    <x v="1"/>
    <x v="505"/>
    <x v="505"/>
    <x v="1"/>
  </r>
  <r>
    <x v="63"/>
    <x v="131"/>
    <x v="3"/>
    <x v="3"/>
    <x v="25"/>
    <x v="3"/>
    <x v="506"/>
    <x v="506"/>
    <x v="0"/>
    <x v="25"/>
    <x v="2"/>
    <x v="1"/>
    <x v="14"/>
    <x v="506"/>
    <x v="506"/>
    <x v="506"/>
    <x v="506"/>
    <x v="506"/>
    <x v="505"/>
    <x v="506"/>
    <x v="0"/>
    <x v="1"/>
    <x v="506"/>
    <x v="506"/>
    <x v="1"/>
  </r>
  <r>
    <x v="47"/>
    <x v="267"/>
    <x v="3"/>
    <x v="3"/>
    <x v="43"/>
    <x v="1"/>
    <x v="507"/>
    <x v="507"/>
    <x v="0"/>
    <x v="26"/>
    <x v="2"/>
    <x v="1"/>
    <x v="14"/>
    <x v="507"/>
    <x v="507"/>
    <x v="507"/>
    <x v="507"/>
    <x v="507"/>
    <x v="506"/>
    <x v="507"/>
    <x v="0"/>
    <x v="1"/>
    <x v="507"/>
    <x v="507"/>
    <x v="1"/>
  </r>
  <r>
    <x v="28"/>
    <x v="24"/>
    <x v="3"/>
    <x v="3"/>
    <x v="40"/>
    <x v="2"/>
    <x v="508"/>
    <x v="508"/>
    <x v="0"/>
    <x v="17"/>
    <x v="2"/>
    <x v="1"/>
    <x v="14"/>
    <x v="508"/>
    <x v="508"/>
    <x v="508"/>
    <x v="508"/>
    <x v="508"/>
    <x v="507"/>
    <x v="508"/>
    <x v="0"/>
    <x v="0"/>
    <x v="508"/>
    <x v="508"/>
    <x v="0"/>
  </r>
  <r>
    <x v="91"/>
    <x v="270"/>
    <x v="0"/>
    <x v="3"/>
    <x v="6"/>
    <x v="0"/>
    <x v="509"/>
    <x v="509"/>
    <x v="1"/>
    <x v="7"/>
    <x v="2"/>
    <x v="0"/>
    <x v="12"/>
    <x v="509"/>
    <x v="509"/>
    <x v="509"/>
    <x v="509"/>
    <x v="509"/>
    <x v="508"/>
    <x v="509"/>
    <x v="0"/>
    <x v="0"/>
    <x v="509"/>
    <x v="509"/>
    <x v="0"/>
  </r>
  <r>
    <x v="31"/>
    <x v="133"/>
    <x v="3"/>
    <x v="2"/>
    <x v="20"/>
    <x v="2"/>
    <x v="510"/>
    <x v="510"/>
    <x v="0"/>
    <x v="13"/>
    <x v="2"/>
    <x v="1"/>
    <x v="6"/>
    <x v="510"/>
    <x v="510"/>
    <x v="510"/>
    <x v="510"/>
    <x v="510"/>
    <x v="509"/>
    <x v="510"/>
    <x v="0"/>
    <x v="1"/>
    <x v="510"/>
    <x v="510"/>
    <x v="1"/>
  </r>
  <r>
    <x v="79"/>
    <x v="100"/>
    <x v="3"/>
    <x v="3"/>
    <x v="26"/>
    <x v="0"/>
    <x v="511"/>
    <x v="511"/>
    <x v="0"/>
    <x v="6"/>
    <x v="0"/>
    <x v="0"/>
    <x v="14"/>
    <x v="511"/>
    <x v="511"/>
    <x v="511"/>
    <x v="511"/>
    <x v="511"/>
    <x v="510"/>
    <x v="511"/>
    <x v="0"/>
    <x v="0"/>
    <x v="511"/>
    <x v="511"/>
    <x v="0"/>
  </r>
  <r>
    <x v="30"/>
    <x v="2"/>
    <x v="1"/>
    <x v="0"/>
    <x v="35"/>
    <x v="3"/>
    <x v="512"/>
    <x v="512"/>
    <x v="0"/>
    <x v="6"/>
    <x v="2"/>
    <x v="0"/>
    <x v="11"/>
    <x v="512"/>
    <x v="512"/>
    <x v="512"/>
    <x v="512"/>
    <x v="512"/>
    <x v="511"/>
    <x v="512"/>
    <x v="0"/>
    <x v="1"/>
    <x v="512"/>
    <x v="512"/>
    <x v="1"/>
  </r>
  <r>
    <x v="91"/>
    <x v="165"/>
    <x v="4"/>
    <x v="0"/>
    <x v="2"/>
    <x v="3"/>
    <x v="513"/>
    <x v="513"/>
    <x v="1"/>
    <x v="1"/>
    <x v="1"/>
    <x v="1"/>
    <x v="15"/>
    <x v="513"/>
    <x v="513"/>
    <x v="513"/>
    <x v="513"/>
    <x v="513"/>
    <x v="512"/>
    <x v="513"/>
    <x v="0"/>
    <x v="0"/>
    <x v="513"/>
    <x v="513"/>
    <x v="0"/>
  </r>
  <r>
    <x v="21"/>
    <x v="228"/>
    <x v="2"/>
    <x v="2"/>
    <x v="18"/>
    <x v="1"/>
    <x v="514"/>
    <x v="514"/>
    <x v="0"/>
    <x v="13"/>
    <x v="2"/>
    <x v="1"/>
    <x v="10"/>
    <x v="514"/>
    <x v="514"/>
    <x v="514"/>
    <x v="514"/>
    <x v="514"/>
    <x v="513"/>
    <x v="514"/>
    <x v="0"/>
    <x v="1"/>
    <x v="514"/>
    <x v="514"/>
    <x v="1"/>
  </r>
  <r>
    <x v="93"/>
    <x v="186"/>
    <x v="4"/>
    <x v="1"/>
    <x v="25"/>
    <x v="0"/>
    <x v="515"/>
    <x v="515"/>
    <x v="0"/>
    <x v="27"/>
    <x v="0"/>
    <x v="0"/>
    <x v="17"/>
    <x v="515"/>
    <x v="515"/>
    <x v="515"/>
    <x v="515"/>
    <x v="515"/>
    <x v="514"/>
    <x v="515"/>
    <x v="0"/>
    <x v="1"/>
    <x v="515"/>
    <x v="515"/>
    <x v="1"/>
  </r>
  <r>
    <x v="41"/>
    <x v="18"/>
    <x v="1"/>
    <x v="0"/>
    <x v="28"/>
    <x v="3"/>
    <x v="516"/>
    <x v="516"/>
    <x v="1"/>
    <x v="2"/>
    <x v="2"/>
    <x v="1"/>
    <x v="11"/>
    <x v="516"/>
    <x v="516"/>
    <x v="516"/>
    <x v="516"/>
    <x v="516"/>
    <x v="515"/>
    <x v="516"/>
    <x v="0"/>
    <x v="1"/>
    <x v="516"/>
    <x v="516"/>
    <x v="1"/>
  </r>
  <r>
    <x v="41"/>
    <x v="144"/>
    <x v="2"/>
    <x v="1"/>
    <x v="15"/>
    <x v="0"/>
    <x v="517"/>
    <x v="517"/>
    <x v="0"/>
    <x v="3"/>
    <x v="1"/>
    <x v="1"/>
    <x v="5"/>
    <x v="517"/>
    <x v="517"/>
    <x v="517"/>
    <x v="517"/>
    <x v="517"/>
    <x v="516"/>
    <x v="517"/>
    <x v="0"/>
    <x v="0"/>
    <x v="517"/>
    <x v="517"/>
    <x v="0"/>
  </r>
  <r>
    <x v="57"/>
    <x v="170"/>
    <x v="3"/>
    <x v="2"/>
    <x v="48"/>
    <x v="3"/>
    <x v="518"/>
    <x v="518"/>
    <x v="1"/>
    <x v="27"/>
    <x v="1"/>
    <x v="0"/>
    <x v="6"/>
    <x v="518"/>
    <x v="518"/>
    <x v="518"/>
    <x v="518"/>
    <x v="518"/>
    <x v="517"/>
    <x v="518"/>
    <x v="0"/>
    <x v="1"/>
    <x v="518"/>
    <x v="518"/>
    <x v="1"/>
  </r>
  <r>
    <x v="59"/>
    <x v="103"/>
    <x v="1"/>
    <x v="1"/>
    <x v="27"/>
    <x v="2"/>
    <x v="519"/>
    <x v="519"/>
    <x v="0"/>
    <x v="12"/>
    <x v="0"/>
    <x v="1"/>
    <x v="13"/>
    <x v="519"/>
    <x v="519"/>
    <x v="519"/>
    <x v="519"/>
    <x v="519"/>
    <x v="518"/>
    <x v="519"/>
    <x v="0"/>
    <x v="1"/>
    <x v="519"/>
    <x v="519"/>
    <x v="1"/>
  </r>
  <r>
    <x v="36"/>
    <x v="245"/>
    <x v="3"/>
    <x v="1"/>
    <x v="35"/>
    <x v="3"/>
    <x v="520"/>
    <x v="520"/>
    <x v="1"/>
    <x v="28"/>
    <x v="0"/>
    <x v="0"/>
    <x v="8"/>
    <x v="520"/>
    <x v="520"/>
    <x v="520"/>
    <x v="520"/>
    <x v="520"/>
    <x v="519"/>
    <x v="520"/>
    <x v="0"/>
    <x v="1"/>
    <x v="520"/>
    <x v="520"/>
    <x v="1"/>
  </r>
  <r>
    <x v="10"/>
    <x v="114"/>
    <x v="0"/>
    <x v="1"/>
    <x v="6"/>
    <x v="1"/>
    <x v="521"/>
    <x v="521"/>
    <x v="0"/>
    <x v="5"/>
    <x v="0"/>
    <x v="1"/>
    <x v="1"/>
    <x v="521"/>
    <x v="521"/>
    <x v="521"/>
    <x v="521"/>
    <x v="521"/>
    <x v="520"/>
    <x v="521"/>
    <x v="0"/>
    <x v="1"/>
    <x v="521"/>
    <x v="521"/>
    <x v="1"/>
  </r>
  <r>
    <x v="20"/>
    <x v="229"/>
    <x v="1"/>
    <x v="1"/>
    <x v="45"/>
    <x v="2"/>
    <x v="522"/>
    <x v="522"/>
    <x v="0"/>
    <x v="22"/>
    <x v="0"/>
    <x v="0"/>
    <x v="13"/>
    <x v="522"/>
    <x v="522"/>
    <x v="522"/>
    <x v="522"/>
    <x v="522"/>
    <x v="521"/>
    <x v="522"/>
    <x v="0"/>
    <x v="1"/>
    <x v="522"/>
    <x v="522"/>
    <x v="1"/>
  </r>
  <r>
    <x v="79"/>
    <x v="13"/>
    <x v="0"/>
    <x v="2"/>
    <x v="13"/>
    <x v="1"/>
    <x v="523"/>
    <x v="523"/>
    <x v="0"/>
    <x v="16"/>
    <x v="2"/>
    <x v="0"/>
    <x v="3"/>
    <x v="523"/>
    <x v="523"/>
    <x v="523"/>
    <x v="523"/>
    <x v="523"/>
    <x v="522"/>
    <x v="523"/>
    <x v="0"/>
    <x v="1"/>
    <x v="523"/>
    <x v="523"/>
    <x v="1"/>
  </r>
  <r>
    <x v="71"/>
    <x v="45"/>
    <x v="1"/>
    <x v="0"/>
    <x v="43"/>
    <x v="2"/>
    <x v="524"/>
    <x v="524"/>
    <x v="1"/>
    <x v="24"/>
    <x v="2"/>
    <x v="1"/>
    <x v="11"/>
    <x v="524"/>
    <x v="524"/>
    <x v="524"/>
    <x v="524"/>
    <x v="524"/>
    <x v="523"/>
    <x v="524"/>
    <x v="0"/>
    <x v="1"/>
    <x v="524"/>
    <x v="524"/>
    <x v="1"/>
  </r>
  <r>
    <x v="99"/>
    <x v="57"/>
    <x v="1"/>
    <x v="3"/>
    <x v="20"/>
    <x v="0"/>
    <x v="525"/>
    <x v="525"/>
    <x v="0"/>
    <x v="18"/>
    <x v="1"/>
    <x v="0"/>
    <x v="16"/>
    <x v="525"/>
    <x v="525"/>
    <x v="525"/>
    <x v="525"/>
    <x v="525"/>
    <x v="524"/>
    <x v="525"/>
    <x v="0"/>
    <x v="0"/>
    <x v="525"/>
    <x v="525"/>
    <x v="0"/>
  </r>
  <r>
    <x v="91"/>
    <x v="108"/>
    <x v="0"/>
    <x v="1"/>
    <x v="7"/>
    <x v="1"/>
    <x v="526"/>
    <x v="526"/>
    <x v="1"/>
    <x v="9"/>
    <x v="0"/>
    <x v="0"/>
    <x v="1"/>
    <x v="526"/>
    <x v="526"/>
    <x v="526"/>
    <x v="526"/>
    <x v="526"/>
    <x v="525"/>
    <x v="526"/>
    <x v="0"/>
    <x v="1"/>
    <x v="526"/>
    <x v="526"/>
    <x v="1"/>
  </r>
  <r>
    <x v="10"/>
    <x v="199"/>
    <x v="2"/>
    <x v="0"/>
    <x v="12"/>
    <x v="3"/>
    <x v="527"/>
    <x v="527"/>
    <x v="1"/>
    <x v="7"/>
    <x v="0"/>
    <x v="1"/>
    <x v="19"/>
    <x v="527"/>
    <x v="527"/>
    <x v="527"/>
    <x v="527"/>
    <x v="527"/>
    <x v="526"/>
    <x v="527"/>
    <x v="0"/>
    <x v="0"/>
    <x v="527"/>
    <x v="527"/>
    <x v="0"/>
  </r>
  <r>
    <x v="54"/>
    <x v="271"/>
    <x v="4"/>
    <x v="0"/>
    <x v="4"/>
    <x v="0"/>
    <x v="528"/>
    <x v="528"/>
    <x v="1"/>
    <x v="7"/>
    <x v="2"/>
    <x v="1"/>
    <x v="15"/>
    <x v="528"/>
    <x v="528"/>
    <x v="528"/>
    <x v="528"/>
    <x v="528"/>
    <x v="527"/>
    <x v="528"/>
    <x v="0"/>
    <x v="0"/>
    <x v="528"/>
    <x v="528"/>
    <x v="0"/>
  </r>
  <r>
    <x v="0"/>
    <x v="272"/>
    <x v="3"/>
    <x v="2"/>
    <x v="31"/>
    <x v="3"/>
    <x v="529"/>
    <x v="529"/>
    <x v="1"/>
    <x v="14"/>
    <x v="0"/>
    <x v="1"/>
    <x v="6"/>
    <x v="529"/>
    <x v="529"/>
    <x v="529"/>
    <x v="529"/>
    <x v="529"/>
    <x v="528"/>
    <x v="529"/>
    <x v="0"/>
    <x v="0"/>
    <x v="529"/>
    <x v="529"/>
    <x v="0"/>
  </r>
  <r>
    <x v="56"/>
    <x v="9"/>
    <x v="1"/>
    <x v="0"/>
    <x v="9"/>
    <x v="2"/>
    <x v="530"/>
    <x v="530"/>
    <x v="0"/>
    <x v="19"/>
    <x v="1"/>
    <x v="0"/>
    <x v="11"/>
    <x v="530"/>
    <x v="530"/>
    <x v="530"/>
    <x v="530"/>
    <x v="530"/>
    <x v="529"/>
    <x v="530"/>
    <x v="0"/>
    <x v="0"/>
    <x v="530"/>
    <x v="530"/>
    <x v="0"/>
  </r>
  <r>
    <x v="99"/>
    <x v="126"/>
    <x v="3"/>
    <x v="2"/>
    <x v="35"/>
    <x v="2"/>
    <x v="531"/>
    <x v="531"/>
    <x v="0"/>
    <x v="30"/>
    <x v="1"/>
    <x v="0"/>
    <x v="6"/>
    <x v="531"/>
    <x v="531"/>
    <x v="531"/>
    <x v="531"/>
    <x v="531"/>
    <x v="530"/>
    <x v="531"/>
    <x v="0"/>
    <x v="0"/>
    <x v="531"/>
    <x v="531"/>
    <x v="0"/>
  </r>
  <r>
    <x v="88"/>
    <x v="259"/>
    <x v="0"/>
    <x v="1"/>
    <x v="30"/>
    <x v="3"/>
    <x v="532"/>
    <x v="532"/>
    <x v="0"/>
    <x v="28"/>
    <x v="0"/>
    <x v="0"/>
    <x v="1"/>
    <x v="532"/>
    <x v="532"/>
    <x v="532"/>
    <x v="532"/>
    <x v="532"/>
    <x v="531"/>
    <x v="532"/>
    <x v="0"/>
    <x v="1"/>
    <x v="532"/>
    <x v="532"/>
    <x v="1"/>
  </r>
  <r>
    <x v="22"/>
    <x v="93"/>
    <x v="3"/>
    <x v="1"/>
    <x v="6"/>
    <x v="3"/>
    <x v="533"/>
    <x v="533"/>
    <x v="1"/>
    <x v="2"/>
    <x v="1"/>
    <x v="1"/>
    <x v="8"/>
    <x v="533"/>
    <x v="533"/>
    <x v="533"/>
    <x v="533"/>
    <x v="533"/>
    <x v="532"/>
    <x v="533"/>
    <x v="0"/>
    <x v="1"/>
    <x v="533"/>
    <x v="533"/>
    <x v="1"/>
  </r>
  <r>
    <x v="78"/>
    <x v="38"/>
    <x v="0"/>
    <x v="3"/>
    <x v="46"/>
    <x v="0"/>
    <x v="534"/>
    <x v="534"/>
    <x v="0"/>
    <x v="18"/>
    <x v="1"/>
    <x v="0"/>
    <x v="12"/>
    <x v="534"/>
    <x v="534"/>
    <x v="534"/>
    <x v="534"/>
    <x v="534"/>
    <x v="533"/>
    <x v="534"/>
    <x v="0"/>
    <x v="1"/>
    <x v="534"/>
    <x v="534"/>
    <x v="1"/>
  </r>
  <r>
    <x v="66"/>
    <x v="167"/>
    <x v="3"/>
    <x v="3"/>
    <x v="44"/>
    <x v="3"/>
    <x v="535"/>
    <x v="535"/>
    <x v="1"/>
    <x v="29"/>
    <x v="2"/>
    <x v="0"/>
    <x v="14"/>
    <x v="535"/>
    <x v="535"/>
    <x v="535"/>
    <x v="535"/>
    <x v="535"/>
    <x v="534"/>
    <x v="535"/>
    <x v="0"/>
    <x v="1"/>
    <x v="535"/>
    <x v="535"/>
    <x v="1"/>
  </r>
  <r>
    <x v="91"/>
    <x v="212"/>
    <x v="4"/>
    <x v="3"/>
    <x v="32"/>
    <x v="1"/>
    <x v="536"/>
    <x v="536"/>
    <x v="1"/>
    <x v="26"/>
    <x v="1"/>
    <x v="1"/>
    <x v="18"/>
    <x v="536"/>
    <x v="536"/>
    <x v="536"/>
    <x v="536"/>
    <x v="536"/>
    <x v="535"/>
    <x v="536"/>
    <x v="0"/>
    <x v="1"/>
    <x v="536"/>
    <x v="536"/>
    <x v="1"/>
  </r>
  <r>
    <x v="38"/>
    <x v="28"/>
    <x v="4"/>
    <x v="0"/>
    <x v="43"/>
    <x v="1"/>
    <x v="537"/>
    <x v="537"/>
    <x v="1"/>
    <x v="6"/>
    <x v="0"/>
    <x v="0"/>
    <x v="15"/>
    <x v="537"/>
    <x v="537"/>
    <x v="537"/>
    <x v="537"/>
    <x v="537"/>
    <x v="536"/>
    <x v="537"/>
    <x v="0"/>
    <x v="1"/>
    <x v="537"/>
    <x v="537"/>
    <x v="1"/>
  </r>
  <r>
    <x v="93"/>
    <x v="273"/>
    <x v="4"/>
    <x v="1"/>
    <x v="39"/>
    <x v="3"/>
    <x v="538"/>
    <x v="538"/>
    <x v="0"/>
    <x v="7"/>
    <x v="0"/>
    <x v="1"/>
    <x v="17"/>
    <x v="538"/>
    <x v="538"/>
    <x v="538"/>
    <x v="538"/>
    <x v="538"/>
    <x v="537"/>
    <x v="538"/>
    <x v="0"/>
    <x v="1"/>
    <x v="538"/>
    <x v="538"/>
    <x v="1"/>
  </r>
  <r>
    <x v="11"/>
    <x v="90"/>
    <x v="4"/>
    <x v="2"/>
    <x v="33"/>
    <x v="1"/>
    <x v="539"/>
    <x v="539"/>
    <x v="0"/>
    <x v="17"/>
    <x v="1"/>
    <x v="1"/>
    <x v="9"/>
    <x v="539"/>
    <x v="539"/>
    <x v="539"/>
    <x v="539"/>
    <x v="539"/>
    <x v="538"/>
    <x v="539"/>
    <x v="0"/>
    <x v="1"/>
    <x v="539"/>
    <x v="539"/>
    <x v="1"/>
  </r>
  <r>
    <x v="29"/>
    <x v="12"/>
    <x v="4"/>
    <x v="3"/>
    <x v="5"/>
    <x v="3"/>
    <x v="540"/>
    <x v="540"/>
    <x v="1"/>
    <x v="20"/>
    <x v="0"/>
    <x v="1"/>
    <x v="18"/>
    <x v="540"/>
    <x v="540"/>
    <x v="540"/>
    <x v="540"/>
    <x v="540"/>
    <x v="539"/>
    <x v="540"/>
    <x v="0"/>
    <x v="1"/>
    <x v="540"/>
    <x v="540"/>
    <x v="1"/>
  </r>
  <r>
    <x v="15"/>
    <x v="186"/>
    <x v="4"/>
    <x v="2"/>
    <x v="25"/>
    <x v="0"/>
    <x v="541"/>
    <x v="541"/>
    <x v="0"/>
    <x v="14"/>
    <x v="2"/>
    <x v="0"/>
    <x v="9"/>
    <x v="541"/>
    <x v="541"/>
    <x v="541"/>
    <x v="541"/>
    <x v="541"/>
    <x v="540"/>
    <x v="541"/>
    <x v="0"/>
    <x v="0"/>
    <x v="541"/>
    <x v="541"/>
    <x v="0"/>
  </r>
  <r>
    <x v="28"/>
    <x v="218"/>
    <x v="0"/>
    <x v="2"/>
    <x v="0"/>
    <x v="1"/>
    <x v="542"/>
    <x v="542"/>
    <x v="0"/>
    <x v="2"/>
    <x v="1"/>
    <x v="0"/>
    <x v="3"/>
    <x v="542"/>
    <x v="542"/>
    <x v="542"/>
    <x v="542"/>
    <x v="542"/>
    <x v="541"/>
    <x v="542"/>
    <x v="0"/>
    <x v="1"/>
    <x v="542"/>
    <x v="542"/>
    <x v="1"/>
  </r>
  <r>
    <x v="82"/>
    <x v="34"/>
    <x v="1"/>
    <x v="3"/>
    <x v="47"/>
    <x v="1"/>
    <x v="543"/>
    <x v="543"/>
    <x v="1"/>
    <x v="26"/>
    <x v="1"/>
    <x v="0"/>
    <x v="16"/>
    <x v="543"/>
    <x v="543"/>
    <x v="543"/>
    <x v="543"/>
    <x v="543"/>
    <x v="542"/>
    <x v="543"/>
    <x v="0"/>
    <x v="1"/>
    <x v="543"/>
    <x v="543"/>
    <x v="1"/>
  </r>
  <r>
    <x v="25"/>
    <x v="274"/>
    <x v="3"/>
    <x v="1"/>
    <x v="43"/>
    <x v="3"/>
    <x v="544"/>
    <x v="544"/>
    <x v="1"/>
    <x v="17"/>
    <x v="1"/>
    <x v="1"/>
    <x v="8"/>
    <x v="544"/>
    <x v="544"/>
    <x v="544"/>
    <x v="544"/>
    <x v="544"/>
    <x v="543"/>
    <x v="544"/>
    <x v="0"/>
    <x v="0"/>
    <x v="544"/>
    <x v="544"/>
    <x v="0"/>
  </r>
  <r>
    <x v="42"/>
    <x v="80"/>
    <x v="4"/>
    <x v="3"/>
    <x v="2"/>
    <x v="1"/>
    <x v="545"/>
    <x v="545"/>
    <x v="0"/>
    <x v="16"/>
    <x v="0"/>
    <x v="1"/>
    <x v="18"/>
    <x v="545"/>
    <x v="545"/>
    <x v="545"/>
    <x v="545"/>
    <x v="545"/>
    <x v="544"/>
    <x v="545"/>
    <x v="0"/>
    <x v="0"/>
    <x v="545"/>
    <x v="545"/>
    <x v="0"/>
  </r>
  <r>
    <x v="11"/>
    <x v="107"/>
    <x v="0"/>
    <x v="2"/>
    <x v="27"/>
    <x v="2"/>
    <x v="546"/>
    <x v="546"/>
    <x v="1"/>
    <x v="30"/>
    <x v="0"/>
    <x v="1"/>
    <x v="3"/>
    <x v="546"/>
    <x v="546"/>
    <x v="546"/>
    <x v="546"/>
    <x v="546"/>
    <x v="545"/>
    <x v="546"/>
    <x v="0"/>
    <x v="0"/>
    <x v="546"/>
    <x v="546"/>
    <x v="0"/>
  </r>
  <r>
    <x v="70"/>
    <x v="130"/>
    <x v="0"/>
    <x v="3"/>
    <x v="12"/>
    <x v="0"/>
    <x v="547"/>
    <x v="547"/>
    <x v="1"/>
    <x v="29"/>
    <x v="1"/>
    <x v="0"/>
    <x v="12"/>
    <x v="547"/>
    <x v="547"/>
    <x v="547"/>
    <x v="547"/>
    <x v="547"/>
    <x v="546"/>
    <x v="547"/>
    <x v="0"/>
    <x v="1"/>
    <x v="547"/>
    <x v="547"/>
    <x v="1"/>
  </r>
  <r>
    <x v="50"/>
    <x v="26"/>
    <x v="0"/>
    <x v="2"/>
    <x v="18"/>
    <x v="0"/>
    <x v="548"/>
    <x v="548"/>
    <x v="0"/>
    <x v="14"/>
    <x v="0"/>
    <x v="0"/>
    <x v="3"/>
    <x v="548"/>
    <x v="548"/>
    <x v="548"/>
    <x v="548"/>
    <x v="548"/>
    <x v="547"/>
    <x v="548"/>
    <x v="0"/>
    <x v="0"/>
    <x v="548"/>
    <x v="548"/>
    <x v="0"/>
  </r>
  <r>
    <x v="46"/>
    <x v="264"/>
    <x v="1"/>
    <x v="2"/>
    <x v="24"/>
    <x v="1"/>
    <x v="549"/>
    <x v="549"/>
    <x v="0"/>
    <x v="27"/>
    <x v="0"/>
    <x v="0"/>
    <x v="2"/>
    <x v="549"/>
    <x v="549"/>
    <x v="549"/>
    <x v="549"/>
    <x v="549"/>
    <x v="548"/>
    <x v="549"/>
    <x v="0"/>
    <x v="1"/>
    <x v="549"/>
    <x v="549"/>
    <x v="1"/>
  </r>
  <r>
    <x v="20"/>
    <x v="217"/>
    <x v="3"/>
    <x v="3"/>
    <x v="4"/>
    <x v="1"/>
    <x v="550"/>
    <x v="550"/>
    <x v="1"/>
    <x v="4"/>
    <x v="1"/>
    <x v="0"/>
    <x v="14"/>
    <x v="550"/>
    <x v="550"/>
    <x v="550"/>
    <x v="550"/>
    <x v="550"/>
    <x v="549"/>
    <x v="550"/>
    <x v="0"/>
    <x v="1"/>
    <x v="550"/>
    <x v="550"/>
    <x v="1"/>
  </r>
  <r>
    <x v="20"/>
    <x v="275"/>
    <x v="1"/>
    <x v="0"/>
    <x v="8"/>
    <x v="2"/>
    <x v="551"/>
    <x v="551"/>
    <x v="0"/>
    <x v="26"/>
    <x v="1"/>
    <x v="0"/>
    <x v="11"/>
    <x v="551"/>
    <x v="551"/>
    <x v="551"/>
    <x v="551"/>
    <x v="551"/>
    <x v="550"/>
    <x v="551"/>
    <x v="0"/>
    <x v="1"/>
    <x v="551"/>
    <x v="551"/>
    <x v="1"/>
  </r>
  <r>
    <x v="4"/>
    <x v="238"/>
    <x v="2"/>
    <x v="3"/>
    <x v="6"/>
    <x v="2"/>
    <x v="552"/>
    <x v="552"/>
    <x v="1"/>
    <x v="25"/>
    <x v="0"/>
    <x v="1"/>
    <x v="4"/>
    <x v="552"/>
    <x v="552"/>
    <x v="552"/>
    <x v="552"/>
    <x v="552"/>
    <x v="551"/>
    <x v="552"/>
    <x v="0"/>
    <x v="0"/>
    <x v="552"/>
    <x v="552"/>
    <x v="0"/>
  </r>
  <r>
    <x v="32"/>
    <x v="198"/>
    <x v="0"/>
    <x v="0"/>
    <x v="43"/>
    <x v="1"/>
    <x v="553"/>
    <x v="553"/>
    <x v="1"/>
    <x v="14"/>
    <x v="1"/>
    <x v="0"/>
    <x v="0"/>
    <x v="553"/>
    <x v="553"/>
    <x v="553"/>
    <x v="553"/>
    <x v="553"/>
    <x v="552"/>
    <x v="553"/>
    <x v="0"/>
    <x v="0"/>
    <x v="553"/>
    <x v="553"/>
    <x v="0"/>
  </r>
  <r>
    <x v="80"/>
    <x v="62"/>
    <x v="2"/>
    <x v="2"/>
    <x v="33"/>
    <x v="1"/>
    <x v="554"/>
    <x v="554"/>
    <x v="0"/>
    <x v="22"/>
    <x v="1"/>
    <x v="1"/>
    <x v="10"/>
    <x v="554"/>
    <x v="554"/>
    <x v="554"/>
    <x v="554"/>
    <x v="554"/>
    <x v="553"/>
    <x v="554"/>
    <x v="0"/>
    <x v="0"/>
    <x v="554"/>
    <x v="554"/>
    <x v="0"/>
  </r>
  <r>
    <x v="70"/>
    <x v="151"/>
    <x v="4"/>
    <x v="2"/>
    <x v="20"/>
    <x v="2"/>
    <x v="555"/>
    <x v="555"/>
    <x v="1"/>
    <x v="7"/>
    <x v="1"/>
    <x v="1"/>
    <x v="9"/>
    <x v="555"/>
    <x v="555"/>
    <x v="555"/>
    <x v="555"/>
    <x v="555"/>
    <x v="554"/>
    <x v="555"/>
    <x v="0"/>
    <x v="0"/>
    <x v="555"/>
    <x v="555"/>
    <x v="0"/>
  </r>
  <r>
    <x v="95"/>
    <x v="276"/>
    <x v="4"/>
    <x v="0"/>
    <x v="43"/>
    <x v="3"/>
    <x v="556"/>
    <x v="556"/>
    <x v="1"/>
    <x v="2"/>
    <x v="1"/>
    <x v="0"/>
    <x v="15"/>
    <x v="556"/>
    <x v="556"/>
    <x v="556"/>
    <x v="556"/>
    <x v="556"/>
    <x v="555"/>
    <x v="556"/>
    <x v="0"/>
    <x v="0"/>
    <x v="556"/>
    <x v="556"/>
    <x v="0"/>
  </r>
  <r>
    <x v="65"/>
    <x v="174"/>
    <x v="1"/>
    <x v="2"/>
    <x v="14"/>
    <x v="2"/>
    <x v="557"/>
    <x v="557"/>
    <x v="1"/>
    <x v="16"/>
    <x v="0"/>
    <x v="1"/>
    <x v="2"/>
    <x v="557"/>
    <x v="557"/>
    <x v="557"/>
    <x v="557"/>
    <x v="557"/>
    <x v="556"/>
    <x v="557"/>
    <x v="0"/>
    <x v="0"/>
    <x v="557"/>
    <x v="557"/>
    <x v="0"/>
  </r>
  <r>
    <x v="20"/>
    <x v="118"/>
    <x v="3"/>
    <x v="0"/>
    <x v="3"/>
    <x v="3"/>
    <x v="558"/>
    <x v="558"/>
    <x v="0"/>
    <x v="7"/>
    <x v="1"/>
    <x v="0"/>
    <x v="7"/>
    <x v="558"/>
    <x v="558"/>
    <x v="558"/>
    <x v="558"/>
    <x v="558"/>
    <x v="557"/>
    <x v="558"/>
    <x v="0"/>
    <x v="1"/>
    <x v="558"/>
    <x v="558"/>
    <x v="1"/>
  </r>
  <r>
    <x v="58"/>
    <x v="120"/>
    <x v="2"/>
    <x v="0"/>
    <x v="12"/>
    <x v="0"/>
    <x v="559"/>
    <x v="559"/>
    <x v="0"/>
    <x v="0"/>
    <x v="2"/>
    <x v="0"/>
    <x v="19"/>
    <x v="559"/>
    <x v="559"/>
    <x v="559"/>
    <x v="559"/>
    <x v="559"/>
    <x v="558"/>
    <x v="559"/>
    <x v="0"/>
    <x v="0"/>
    <x v="559"/>
    <x v="559"/>
    <x v="0"/>
  </r>
  <r>
    <x v="55"/>
    <x v="21"/>
    <x v="3"/>
    <x v="2"/>
    <x v="34"/>
    <x v="0"/>
    <x v="560"/>
    <x v="560"/>
    <x v="0"/>
    <x v="11"/>
    <x v="1"/>
    <x v="1"/>
    <x v="6"/>
    <x v="560"/>
    <x v="560"/>
    <x v="560"/>
    <x v="560"/>
    <x v="560"/>
    <x v="559"/>
    <x v="560"/>
    <x v="0"/>
    <x v="0"/>
    <x v="560"/>
    <x v="560"/>
    <x v="0"/>
  </r>
  <r>
    <x v="80"/>
    <x v="89"/>
    <x v="1"/>
    <x v="1"/>
    <x v="32"/>
    <x v="2"/>
    <x v="561"/>
    <x v="561"/>
    <x v="1"/>
    <x v="22"/>
    <x v="2"/>
    <x v="0"/>
    <x v="13"/>
    <x v="561"/>
    <x v="561"/>
    <x v="561"/>
    <x v="561"/>
    <x v="561"/>
    <x v="560"/>
    <x v="561"/>
    <x v="0"/>
    <x v="0"/>
    <x v="561"/>
    <x v="561"/>
    <x v="0"/>
  </r>
  <r>
    <x v="44"/>
    <x v="150"/>
    <x v="4"/>
    <x v="0"/>
    <x v="20"/>
    <x v="3"/>
    <x v="562"/>
    <x v="562"/>
    <x v="1"/>
    <x v="7"/>
    <x v="1"/>
    <x v="0"/>
    <x v="15"/>
    <x v="562"/>
    <x v="562"/>
    <x v="562"/>
    <x v="562"/>
    <x v="562"/>
    <x v="561"/>
    <x v="562"/>
    <x v="0"/>
    <x v="0"/>
    <x v="562"/>
    <x v="562"/>
    <x v="0"/>
  </r>
  <r>
    <x v="63"/>
    <x v="67"/>
    <x v="3"/>
    <x v="3"/>
    <x v="13"/>
    <x v="2"/>
    <x v="563"/>
    <x v="563"/>
    <x v="0"/>
    <x v="1"/>
    <x v="2"/>
    <x v="1"/>
    <x v="14"/>
    <x v="563"/>
    <x v="563"/>
    <x v="563"/>
    <x v="563"/>
    <x v="563"/>
    <x v="562"/>
    <x v="563"/>
    <x v="0"/>
    <x v="0"/>
    <x v="563"/>
    <x v="563"/>
    <x v="0"/>
  </r>
  <r>
    <x v="81"/>
    <x v="271"/>
    <x v="3"/>
    <x v="3"/>
    <x v="46"/>
    <x v="2"/>
    <x v="564"/>
    <x v="564"/>
    <x v="0"/>
    <x v="8"/>
    <x v="2"/>
    <x v="1"/>
    <x v="14"/>
    <x v="564"/>
    <x v="564"/>
    <x v="564"/>
    <x v="564"/>
    <x v="564"/>
    <x v="563"/>
    <x v="564"/>
    <x v="0"/>
    <x v="0"/>
    <x v="564"/>
    <x v="564"/>
    <x v="0"/>
  </r>
  <r>
    <x v="70"/>
    <x v="264"/>
    <x v="4"/>
    <x v="2"/>
    <x v="14"/>
    <x v="3"/>
    <x v="565"/>
    <x v="565"/>
    <x v="0"/>
    <x v="9"/>
    <x v="1"/>
    <x v="1"/>
    <x v="9"/>
    <x v="565"/>
    <x v="565"/>
    <x v="565"/>
    <x v="565"/>
    <x v="565"/>
    <x v="564"/>
    <x v="565"/>
    <x v="0"/>
    <x v="0"/>
    <x v="565"/>
    <x v="565"/>
    <x v="0"/>
  </r>
  <r>
    <x v="56"/>
    <x v="27"/>
    <x v="2"/>
    <x v="1"/>
    <x v="5"/>
    <x v="2"/>
    <x v="566"/>
    <x v="566"/>
    <x v="1"/>
    <x v="23"/>
    <x v="1"/>
    <x v="1"/>
    <x v="5"/>
    <x v="566"/>
    <x v="566"/>
    <x v="566"/>
    <x v="566"/>
    <x v="566"/>
    <x v="565"/>
    <x v="566"/>
    <x v="0"/>
    <x v="1"/>
    <x v="566"/>
    <x v="566"/>
    <x v="1"/>
  </r>
  <r>
    <x v="98"/>
    <x v="257"/>
    <x v="4"/>
    <x v="2"/>
    <x v="41"/>
    <x v="0"/>
    <x v="567"/>
    <x v="567"/>
    <x v="0"/>
    <x v="0"/>
    <x v="1"/>
    <x v="1"/>
    <x v="9"/>
    <x v="567"/>
    <x v="567"/>
    <x v="567"/>
    <x v="567"/>
    <x v="567"/>
    <x v="566"/>
    <x v="567"/>
    <x v="0"/>
    <x v="1"/>
    <x v="567"/>
    <x v="567"/>
    <x v="1"/>
  </r>
  <r>
    <x v="15"/>
    <x v="277"/>
    <x v="3"/>
    <x v="1"/>
    <x v="0"/>
    <x v="1"/>
    <x v="568"/>
    <x v="568"/>
    <x v="1"/>
    <x v="13"/>
    <x v="2"/>
    <x v="1"/>
    <x v="8"/>
    <x v="568"/>
    <x v="568"/>
    <x v="568"/>
    <x v="568"/>
    <x v="568"/>
    <x v="567"/>
    <x v="568"/>
    <x v="0"/>
    <x v="0"/>
    <x v="568"/>
    <x v="568"/>
    <x v="0"/>
  </r>
  <r>
    <x v="46"/>
    <x v="0"/>
    <x v="2"/>
    <x v="0"/>
    <x v="47"/>
    <x v="1"/>
    <x v="569"/>
    <x v="569"/>
    <x v="0"/>
    <x v="10"/>
    <x v="0"/>
    <x v="0"/>
    <x v="19"/>
    <x v="569"/>
    <x v="569"/>
    <x v="569"/>
    <x v="569"/>
    <x v="569"/>
    <x v="568"/>
    <x v="569"/>
    <x v="0"/>
    <x v="1"/>
    <x v="569"/>
    <x v="569"/>
    <x v="1"/>
  </r>
  <r>
    <x v="7"/>
    <x v="175"/>
    <x v="2"/>
    <x v="0"/>
    <x v="46"/>
    <x v="2"/>
    <x v="570"/>
    <x v="570"/>
    <x v="1"/>
    <x v="20"/>
    <x v="0"/>
    <x v="0"/>
    <x v="19"/>
    <x v="570"/>
    <x v="570"/>
    <x v="570"/>
    <x v="570"/>
    <x v="570"/>
    <x v="569"/>
    <x v="570"/>
    <x v="0"/>
    <x v="0"/>
    <x v="570"/>
    <x v="570"/>
    <x v="0"/>
  </r>
  <r>
    <x v="48"/>
    <x v="29"/>
    <x v="4"/>
    <x v="0"/>
    <x v="18"/>
    <x v="3"/>
    <x v="571"/>
    <x v="571"/>
    <x v="1"/>
    <x v="15"/>
    <x v="1"/>
    <x v="0"/>
    <x v="15"/>
    <x v="571"/>
    <x v="571"/>
    <x v="571"/>
    <x v="571"/>
    <x v="571"/>
    <x v="570"/>
    <x v="571"/>
    <x v="0"/>
    <x v="0"/>
    <x v="571"/>
    <x v="571"/>
    <x v="0"/>
  </r>
  <r>
    <x v="41"/>
    <x v="278"/>
    <x v="3"/>
    <x v="0"/>
    <x v="23"/>
    <x v="3"/>
    <x v="572"/>
    <x v="572"/>
    <x v="0"/>
    <x v="13"/>
    <x v="0"/>
    <x v="1"/>
    <x v="7"/>
    <x v="572"/>
    <x v="572"/>
    <x v="572"/>
    <x v="572"/>
    <x v="572"/>
    <x v="571"/>
    <x v="572"/>
    <x v="0"/>
    <x v="0"/>
    <x v="572"/>
    <x v="572"/>
    <x v="0"/>
  </r>
  <r>
    <x v="45"/>
    <x v="149"/>
    <x v="1"/>
    <x v="3"/>
    <x v="35"/>
    <x v="0"/>
    <x v="573"/>
    <x v="573"/>
    <x v="1"/>
    <x v="16"/>
    <x v="0"/>
    <x v="0"/>
    <x v="16"/>
    <x v="573"/>
    <x v="573"/>
    <x v="573"/>
    <x v="573"/>
    <x v="573"/>
    <x v="572"/>
    <x v="573"/>
    <x v="0"/>
    <x v="1"/>
    <x v="573"/>
    <x v="573"/>
    <x v="1"/>
  </r>
  <r>
    <x v="1"/>
    <x v="279"/>
    <x v="3"/>
    <x v="3"/>
    <x v="33"/>
    <x v="3"/>
    <x v="574"/>
    <x v="574"/>
    <x v="0"/>
    <x v="11"/>
    <x v="1"/>
    <x v="1"/>
    <x v="14"/>
    <x v="574"/>
    <x v="574"/>
    <x v="574"/>
    <x v="574"/>
    <x v="574"/>
    <x v="573"/>
    <x v="574"/>
    <x v="0"/>
    <x v="0"/>
    <x v="574"/>
    <x v="574"/>
    <x v="0"/>
  </r>
  <r>
    <x v="61"/>
    <x v="209"/>
    <x v="0"/>
    <x v="2"/>
    <x v="41"/>
    <x v="3"/>
    <x v="575"/>
    <x v="575"/>
    <x v="1"/>
    <x v="9"/>
    <x v="2"/>
    <x v="0"/>
    <x v="3"/>
    <x v="575"/>
    <x v="575"/>
    <x v="575"/>
    <x v="575"/>
    <x v="575"/>
    <x v="574"/>
    <x v="575"/>
    <x v="0"/>
    <x v="1"/>
    <x v="575"/>
    <x v="575"/>
    <x v="1"/>
  </r>
  <r>
    <x v="55"/>
    <x v="257"/>
    <x v="1"/>
    <x v="1"/>
    <x v="6"/>
    <x v="0"/>
    <x v="576"/>
    <x v="576"/>
    <x v="1"/>
    <x v="17"/>
    <x v="1"/>
    <x v="1"/>
    <x v="13"/>
    <x v="576"/>
    <x v="576"/>
    <x v="576"/>
    <x v="576"/>
    <x v="576"/>
    <x v="575"/>
    <x v="576"/>
    <x v="0"/>
    <x v="0"/>
    <x v="576"/>
    <x v="576"/>
    <x v="0"/>
  </r>
  <r>
    <x v="41"/>
    <x v="118"/>
    <x v="2"/>
    <x v="0"/>
    <x v="16"/>
    <x v="2"/>
    <x v="577"/>
    <x v="577"/>
    <x v="0"/>
    <x v="7"/>
    <x v="0"/>
    <x v="0"/>
    <x v="19"/>
    <x v="577"/>
    <x v="577"/>
    <x v="577"/>
    <x v="577"/>
    <x v="577"/>
    <x v="576"/>
    <x v="577"/>
    <x v="0"/>
    <x v="1"/>
    <x v="577"/>
    <x v="577"/>
    <x v="1"/>
  </r>
  <r>
    <x v="54"/>
    <x v="146"/>
    <x v="1"/>
    <x v="0"/>
    <x v="24"/>
    <x v="1"/>
    <x v="578"/>
    <x v="578"/>
    <x v="1"/>
    <x v="7"/>
    <x v="2"/>
    <x v="1"/>
    <x v="11"/>
    <x v="578"/>
    <x v="578"/>
    <x v="578"/>
    <x v="578"/>
    <x v="578"/>
    <x v="577"/>
    <x v="578"/>
    <x v="0"/>
    <x v="1"/>
    <x v="578"/>
    <x v="578"/>
    <x v="1"/>
  </r>
  <r>
    <x v="34"/>
    <x v="157"/>
    <x v="2"/>
    <x v="1"/>
    <x v="4"/>
    <x v="0"/>
    <x v="579"/>
    <x v="579"/>
    <x v="0"/>
    <x v="20"/>
    <x v="0"/>
    <x v="1"/>
    <x v="5"/>
    <x v="579"/>
    <x v="579"/>
    <x v="579"/>
    <x v="579"/>
    <x v="579"/>
    <x v="578"/>
    <x v="579"/>
    <x v="0"/>
    <x v="1"/>
    <x v="579"/>
    <x v="579"/>
    <x v="1"/>
  </r>
  <r>
    <x v="89"/>
    <x v="24"/>
    <x v="2"/>
    <x v="1"/>
    <x v="31"/>
    <x v="2"/>
    <x v="580"/>
    <x v="580"/>
    <x v="0"/>
    <x v="21"/>
    <x v="2"/>
    <x v="1"/>
    <x v="5"/>
    <x v="580"/>
    <x v="580"/>
    <x v="580"/>
    <x v="580"/>
    <x v="580"/>
    <x v="579"/>
    <x v="580"/>
    <x v="0"/>
    <x v="0"/>
    <x v="580"/>
    <x v="580"/>
    <x v="0"/>
  </r>
  <r>
    <x v="22"/>
    <x v="280"/>
    <x v="1"/>
    <x v="2"/>
    <x v="14"/>
    <x v="0"/>
    <x v="581"/>
    <x v="581"/>
    <x v="0"/>
    <x v="25"/>
    <x v="0"/>
    <x v="1"/>
    <x v="2"/>
    <x v="581"/>
    <x v="581"/>
    <x v="581"/>
    <x v="581"/>
    <x v="581"/>
    <x v="580"/>
    <x v="581"/>
    <x v="0"/>
    <x v="0"/>
    <x v="581"/>
    <x v="581"/>
    <x v="0"/>
  </r>
  <r>
    <x v="8"/>
    <x v="3"/>
    <x v="2"/>
    <x v="1"/>
    <x v="31"/>
    <x v="2"/>
    <x v="582"/>
    <x v="582"/>
    <x v="1"/>
    <x v="22"/>
    <x v="1"/>
    <x v="0"/>
    <x v="5"/>
    <x v="582"/>
    <x v="582"/>
    <x v="582"/>
    <x v="582"/>
    <x v="582"/>
    <x v="581"/>
    <x v="582"/>
    <x v="0"/>
    <x v="0"/>
    <x v="582"/>
    <x v="582"/>
    <x v="0"/>
  </r>
  <r>
    <x v="63"/>
    <x v="281"/>
    <x v="2"/>
    <x v="0"/>
    <x v="17"/>
    <x v="0"/>
    <x v="583"/>
    <x v="583"/>
    <x v="1"/>
    <x v="25"/>
    <x v="0"/>
    <x v="0"/>
    <x v="19"/>
    <x v="583"/>
    <x v="583"/>
    <x v="583"/>
    <x v="583"/>
    <x v="583"/>
    <x v="582"/>
    <x v="583"/>
    <x v="0"/>
    <x v="0"/>
    <x v="583"/>
    <x v="583"/>
    <x v="0"/>
  </r>
  <r>
    <x v="49"/>
    <x v="282"/>
    <x v="0"/>
    <x v="0"/>
    <x v="48"/>
    <x v="2"/>
    <x v="584"/>
    <x v="584"/>
    <x v="1"/>
    <x v="20"/>
    <x v="0"/>
    <x v="1"/>
    <x v="0"/>
    <x v="584"/>
    <x v="584"/>
    <x v="584"/>
    <x v="584"/>
    <x v="584"/>
    <x v="583"/>
    <x v="584"/>
    <x v="0"/>
    <x v="1"/>
    <x v="584"/>
    <x v="584"/>
    <x v="1"/>
  </r>
  <r>
    <x v="23"/>
    <x v="3"/>
    <x v="3"/>
    <x v="0"/>
    <x v="41"/>
    <x v="0"/>
    <x v="585"/>
    <x v="585"/>
    <x v="0"/>
    <x v="7"/>
    <x v="2"/>
    <x v="1"/>
    <x v="7"/>
    <x v="585"/>
    <x v="585"/>
    <x v="585"/>
    <x v="585"/>
    <x v="585"/>
    <x v="584"/>
    <x v="585"/>
    <x v="0"/>
    <x v="1"/>
    <x v="585"/>
    <x v="585"/>
    <x v="1"/>
  </r>
  <r>
    <x v="5"/>
    <x v="208"/>
    <x v="3"/>
    <x v="0"/>
    <x v="12"/>
    <x v="2"/>
    <x v="586"/>
    <x v="586"/>
    <x v="0"/>
    <x v="24"/>
    <x v="0"/>
    <x v="1"/>
    <x v="7"/>
    <x v="586"/>
    <x v="586"/>
    <x v="586"/>
    <x v="586"/>
    <x v="586"/>
    <x v="585"/>
    <x v="586"/>
    <x v="0"/>
    <x v="1"/>
    <x v="586"/>
    <x v="586"/>
    <x v="1"/>
  </r>
  <r>
    <x v="49"/>
    <x v="199"/>
    <x v="0"/>
    <x v="0"/>
    <x v="31"/>
    <x v="0"/>
    <x v="587"/>
    <x v="587"/>
    <x v="1"/>
    <x v="6"/>
    <x v="1"/>
    <x v="0"/>
    <x v="0"/>
    <x v="587"/>
    <x v="587"/>
    <x v="587"/>
    <x v="587"/>
    <x v="587"/>
    <x v="586"/>
    <x v="587"/>
    <x v="0"/>
    <x v="1"/>
    <x v="587"/>
    <x v="587"/>
    <x v="1"/>
  </r>
  <r>
    <x v="99"/>
    <x v="197"/>
    <x v="1"/>
    <x v="2"/>
    <x v="2"/>
    <x v="1"/>
    <x v="588"/>
    <x v="588"/>
    <x v="1"/>
    <x v="22"/>
    <x v="1"/>
    <x v="1"/>
    <x v="2"/>
    <x v="588"/>
    <x v="588"/>
    <x v="588"/>
    <x v="588"/>
    <x v="588"/>
    <x v="587"/>
    <x v="588"/>
    <x v="0"/>
    <x v="1"/>
    <x v="588"/>
    <x v="588"/>
    <x v="1"/>
  </r>
  <r>
    <x v="35"/>
    <x v="283"/>
    <x v="4"/>
    <x v="0"/>
    <x v="17"/>
    <x v="1"/>
    <x v="589"/>
    <x v="589"/>
    <x v="0"/>
    <x v="26"/>
    <x v="1"/>
    <x v="1"/>
    <x v="15"/>
    <x v="589"/>
    <x v="589"/>
    <x v="589"/>
    <x v="589"/>
    <x v="589"/>
    <x v="588"/>
    <x v="589"/>
    <x v="0"/>
    <x v="1"/>
    <x v="589"/>
    <x v="589"/>
    <x v="1"/>
  </r>
  <r>
    <x v="11"/>
    <x v="284"/>
    <x v="4"/>
    <x v="2"/>
    <x v="22"/>
    <x v="3"/>
    <x v="590"/>
    <x v="590"/>
    <x v="1"/>
    <x v="4"/>
    <x v="2"/>
    <x v="0"/>
    <x v="9"/>
    <x v="590"/>
    <x v="590"/>
    <x v="590"/>
    <x v="590"/>
    <x v="590"/>
    <x v="589"/>
    <x v="590"/>
    <x v="0"/>
    <x v="0"/>
    <x v="590"/>
    <x v="590"/>
    <x v="0"/>
  </r>
  <r>
    <x v="18"/>
    <x v="177"/>
    <x v="4"/>
    <x v="0"/>
    <x v="9"/>
    <x v="2"/>
    <x v="591"/>
    <x v="591"/>
    <x v="0"/>
    <x v="3"/>
    <x v="2"/>
    <x v="1"/>
    <x v="15"/>
    <x v="591"/>
    <x v="591"/>
    <x v="591"/>
    <x v="591"/>
    <x v="591"/>
    <x v="590"/>
    <x v="591"/>
    <x v="0"/>
    <x v="0"/>
    <x v="591"/>
    <x v="591"/>
    <x v="0"/>
  </r>
  <r>
    <x v="73"/>
    <x v="285"/>
    <x v="0"/>
    <x v="3"/>
    <x v="17"/>
    <x v="0"/>
    <x v="592"/>
    <x v="592"/>
    <x v="1"/>
    <x v="5"/>
    <x v="0"/>
    <x v="1"/>
    <x v="12"/>
    <x v="592"/>
    <x v="592"/>
    <x v="592"/>
    <x v="592"/>
    <x v="592"/>
    <x v="591"/>
    <x v="592"/>
    <x v="0"/>
    <x v="1"/>
    <x v="592"/>
    <x v="592"/>
    <x v="1"/>
  </r>
  <r>
    <x v="24"/>
    <x v="60"/>
    <x v="0"/>
    <x v="3"/>
    <x v="12"/>
    <x v="2"/>
    <x v="593"/>
    <x v="593"/>
    <x v="0"/>
    <x v="6"/>
    <x v="0"/>
    <x v="0"/>
    <x v="12"/>
    <x v="593"/>
    <x v="593"/>
    <x v="593"/>
    <x v="593"/>
    <x v="593"/>
    <x v="592"/>
    <x v="593"/>
    <x v="0"/>
    <x v="1"/>
    <x v="593"/>
    <x v="593"/>
    <x v="1"/>
  </r>
  <r>
    <x v="73"/>
    <x v="189"/>
    <x v="2"/>
    <x v="3"/>
    <x v="17"/>
    <x v="1"/>
    <x v="594"/>
    <x v="594"/>
    <x v="1"/>
    <x v="29"/>
    <x v="0"/>
    <x v="1"/>
    <x v="4"/>
    <x v="594"/>
    <x v="594"/>
    <x v="594"/>
    <x v="594"/>
    <x v="594"/>
    <x v="593"/>
    <x v="594"/>
    <x v="0"/>
    <x v="1"/>
    <x v="594"/>
    <x v="594"/>
    <x v="1"/>
  </r>
  <r>
    <x v="49"/>
    <x v="50"/>
    <x v="4"/>
    <x v="3"/>
    <x v="5"/>
    <x v="2"/>
    <x v="595"/>
    <x v="595"/>
    <x v="1"/>
    <x v="12"/>
    <x v="2"/>
    <x v="1"/>
    <x v="18"/>
    <x v="595"/>
    <x v="595"/>
    <x v="595"/>
    <x v="595"/>
    <x v="595"/>
    <x v="594"/>
    <x v="595"/>
    <x v="0"/>
    <x v="0"/>
    <x v="595"/>
    <x v="595"/>
    <x v="0"/>
  </r>
  <r>
    <x v="60"/>
    <x v="239"/>
    <x v="1"/>
    <x v="2"/>
    <x v="39"/>
    <x v="0"/>
    <x v="596"/>
    <x v="596"/>
    <x v="0"/>
    <x v="7"/>
    <x v="2"/>
    <x v="0"/>
    <x v="2"/>
    <x v="596"/>
    <x v="596"/>
    <x v="596"/>
    <x v="596"/>
    <x v="596"/>
    <x v="595"/>
    <x v="596"/>
    <x v="0"/>
    <x v="0"/>
    <x v="596"/>
    <x v="596"/>
    <x v="0"/>
  </r>
  <r>
    <x v="78"/>
    <x v="62"/>
    <x v="1"/>
    <x v="2"/>
    <x v="15"/>
    <x v="2"/>
    <x v="597"/>
    <x v="597"/>
    <x v="0"/>
    <x v="7"/>
    <x v="0"/>
    <x v="1"/>
    <x v="2"/>
    <x v="597"/>
    <x v="597"/>
    <x v="597"/>
    <x v="597"/>
    <x v="597"/>
    <x v="596"/>
    <x v="597"/>
    <x v="0"/>
    <x v="0"/>
    <x v="597"/>
    <x v="597"/>
    <x v="0"/>
  </r>
  <r>
    <x v="11"/>
    <x v="115"/>
    <x v="4"/>
    <x v="1"/>
    <x v="39"/>
    <x v="0"/>
    <x v="598"/>
    <x v="598"/>
    <x v="0"/>
    <x v="7"/>
    <x v="2"/>
    <x v="0"/>
    <x v="17"/>
    <x v="598"/>
    <x v="598"/>
    <x v="598"/>
    <x v="598"/>
    <x v="598"/>
    <x v="597"/>
    <x v="598"/>
    <x v="0"/>
    <x v="1"/>
    <x v="598"/>
    <x v="598"/>
    <x v="1"/>
  </r>
  <r>
    <x v="71"/>
    <x v="251"/>
    <x v="4"/>
    <x v="0"/>
    <x v="39"/>
    <x v="1"/>
    <x v="599"/>
    <x v="599"/>
    <x v="1"/>
    <x v="15"/>
    <x v="2"/>
    <x v="1"/>
    <x v="15"/>
    <x v="599"/>
    <x v="599"/>
    <x v="599"/>
    <x v="599"/>
    <x v="599"/>
    <x v="598"/>
    <x v="599"/>
    <x v="0"/>
    <x v="0"/>
    <x v="599"/>
    <x v="599"/>
    <x v="0"/>
  </r>
  <r>
    <x v="30"/>
    <x v="260"/>
    <x v="4"/>
    <x v="3"/>
    <x v="38"/>
    <x v="1"/>
    <x v="600"/>
    <x v="600"/>
    <x v="0"/>
    <x v="10"/>
    <x v="1"/>
    <x v="1"/>
    <x v="18"/>
    <x v="600"/>
    <x v="600"/>
    <x v="600"/>
    <x v="600"/>
    <x v="600"/>
    <x v="599"/>
    <x v="600"/>
    <x v="0"/>
    <x v="1"/>
    <x v="600"/>
    <x v="600"/>
    <x v="1"/>
  </r>
  <r>
    <x v="78"/>
    <x v="82"/>
    <x v="0"/>
    <x v="2"/>
    <x v="1"/>
    <x v="1"/>
    <x v="601"/>
    <x v="601"/>
    <x v="0"/>
    <x v="10"/>
    <x v="1"/>
    <x v="1"/>
    <x v="3"/>
    <x v="601"/>
    <x v="601"/>
    <x v="601"/>
    <x v="601"/>
    <x v="601"/>
    <x v="600"/>
    <x v="601"/>
    <x v="0"/>
    <x v="1"/>
    <x v="601"/>
    <x v="601"/>
    <x v="1"/>
  </r>
  <r>
    <x v="72"/>
    <x v="176"/>
    <x v="0"/>
    <x v="0"/>
    <x v="5"/>
    <x v="3"/>
    <x v="602"/>
    <x v="602"/>
    <x v="1"/>
    <x v="6"/>
    <x v="0"/>
    <x v="1"/>
    <x v="0"/>
    <x v="602"/>
    <x v="602"/>
    <x v="602"/>
    <x v="602"/>
    <x v="602"/>
    <x v="601"/>
    <x v="602"/>
    <x v="0"/>
    <x v="0"/>
    <x v="602"/>
    <x v="602"/>
    <x v="0"/>
  </r>
  <r>
    <x v="70"/>
    <x v="56"/>
    <x v="0"/>
    <x v="0"/>
    <x v="25"/>
    <x v="1"/>
    <x v="603"/>
    <x v="603"/>
    <x v="0"/>
    <x v="30"/>
    <x v="0"/>
    <x v="1"/>
    <x v="0"/>
    <x v="603"/>
    <x v="603"/>
    <x v="603"/>
    <x v="603"/>
    <x v="603"/>
    <x v="602"/>
    <x v="603"/>
    <x v="0"/>
    <x v="0"/>
    <x v="603"/>
    <x v="603"/>
    <x v="0"/>
  </r>
  <r>
    <x v="33"/>
    <x v="255"/>
    <x v="3"/>
    <x v="2"/>
    <x v="25"/>
    <x v="2"/>
    <x v="604"/>
    <x v="604"/>
    <x v="0"/>
    <x v="0"/>
    <x v="1"/>
    <x v="0"/>
    <x v="6"/>
    <x v="604"/>
    <x v="604"/>
    <x v="604"/>
    <x v="604"/>
    <x v="604"/>
    <x v="603"/>
    <x v="604"/>
    <x v="0"/>
    <x v="1"/>
    <x v="604"/>
    <x v="604"/>
    <x v="1"/>
  </r>
  <r>
    <x v="81"/>
    <x v="62"/>
    <x v="1"/>
    <x v="3"/>
    <x v="7"/>
    <x v="3"/>
    <x v="605"/>
    <x v="605"/>
    <x v="0"/>
    <x v="0"/>
    <x v="2"/>
    <x v="1"/>
    <x v="16"/>
    <x v="605"/>
    <x v="605"/>
    <x v="605"/>
    <x v="605"/>
    <x v="605"/>
    <x v="604"/>
    <x v="605"/>
    <x v="0"/>
    <x v="1"/>
    <x v="605"/>
    <x v="605"/>
    <x v="1"/>
  </r>
  <r>
    <x v="71"/>
    <x v="263"/>
    <x v="1"/>
    <x v="1"/>
    <x v="3"/>
    <x v="1"/>
    <x v="606"/>
    <x v="606"/>
    <x v="1"/>
    <x v="19"/>
    <x v="0"/>
    <x v="1"/>
    <x v="13"/>
    <x v="606"/>
    <x v="606"/>
    <x v="606"/>
    <x v="606"/>
    <x v="606"/>
    <x v="605"/>
    <x v="606"/>
    <x v="0"/>
    <x v="1"/>
    <x v="606"/>
    <x v="606"/>
    <x v="1"/>
  </r>
  <r>
    <x v="23"/>
    <x v="18"/>
    <x v="2"/>
    <x v="0"/>
    <x v="17"/>
    <x v="2"/>
    <x v="607"/>
    <x v="607"/>
    <x v="1"/>
    <x v="21"/>
    <x v="0"/>
    <x v="0"/>
    <x v="19"/>
    <x v="607"/>
    <x v="607"/>
    <x v="607"/>
    <x v="607"/>
    <x v="607"/>
    <x v="606"/>
    <x v="607"/>
    <x v="0"/>
    <x v="0"/>
    <x v="607"/>
    <x v="607"/>
    <x v="0"/>
  </r>
  <r>
    <x v="73"/>
    <x v="105"/>
    <x v="0"/>
    <x v="1"/>
    <x v="8"/>
    <x v="2"/>
    <x v="608"/>
    <x v="608"/>
    <x v="1"/>
    <x v="19"/>
    <x v="0"/>
    <x v="0"/>
    <x v="1"/>
    <x v="608"/>
    <x v="608"/>
    <x v="608"/>
    <x v="608"/>
    <x v="608"/>
    <x v="607"/>
    <x v="608"/>
    <x v="0"/>
    <x v="0"/>
    <x v="608"/>
    <x v="608"/>
    <x v="0"/>
  </r>
  <r>
    <x v="16"/>
    <x v="78"/>
    <x v="3"/>
    <x v="3"/>
    <x v="38"/>
    <x v="2"/>
    <x v="609"/>
    <x v="609"/>
    <x v="0"/>
    <x v="2"/>
    <x v="2"/>
    <x v="1"/>
    <x v="14"/>
    <x v="609"/>
    <x v="609"/>
    <x v="609"/>
    <x v="609"/>
    <x v="609"/>
    <x v="608"/>
    <x v="609"/>
    <x v="0"/>
    <x v="1"/>
    <x v="609"/>
    <x v="609"/>
    <x v="1"/>
  </r>
  <r>
    <x v="90"/>
    <x v="146"/>
    <x v="3"/>
    <x v="3"/>
    <x v="21"/>
    <x v="0"/>
    <x v="610"/>
    <x v="610"/>
    <x v="1"/>
    <x v="20"/>
    <x v="1"/>
    <x v="0"/>
    <x v="14"/>
    <x v="610"/>
    <x v="610"/>
    <x v="610"/>
    <x v="610"/>
    <x v="610"/>
    <x v="609"/>
    <x v="610"/>
    <x v="0"/>
    <x v="1"/>
    <x v="610"/>
    <x v="610"/>
    <x v="1"/>
  </r>
  <r>
    <x v="30"/>
    <x v="176"/>
    <x v="1"/>
    <x v="1"/>
    <x v="23"/>
    <x v="3"/>
    <x v="611"/>
    <x v="611"/>
    <x v="0"/>
    <x v="9"/>
    <x v="0"/>
    <x v="1"/>
    <x v="13"/>
    <x v="611"/>
    <x v="611"/>
    <x v="611"/>
    <x v="611"/>
    <x v="611"/>
    <x v="610"/>
    <x v="611"/>
    <x v="0"/>
    <x v="1"/>
    <x v="611"/>
    <x v="611"/>
    <x v="1"/>
  </r>
  <r>
    <x v="42"/>
    <x v="142"/>
    <x v="0"/>
    <x v="3"/>
    <x v="9"/>
    <x v="2"/>
    <x v="612"/>
    <x v="612"/>
    <x v="0"/>
    <x v="2"/>
    <x v="1"/>
    <x v="0"/>
    <x v="12"/>
    <x v="612"/>
    <x v="612"/>
    <x v="612"/>
    <x v="612"/>
    <x v="612"/>
    <x v="611"/>
    <x v="612"/>
    <x v="0"/>
    <x v="1"/>
    <x v="612"/>
    <x v="612"/>
    <x v="1"/>
  </r>
  <r>
    <x v="23"/>
    <x v="42"/>
    <x v="2"/>
    <x v="0"/>
    <x v="41"/>
    <x v="0"/>
    <x v="613"/>
    <x v="613"/>
    <x v="0"/>
    <x v="13"/>
    <x v="1"/>
    <x v="0"/>
    <x v="19"/>
    <x v="613"/>
    <x v="613"/>
    <x v="613"/>
    <x v="613"/>
    <x v="613"/>
    <x v="612"/>
    <x v="613"/>
    <x v="0"/>
    <x v="1"/>
    <x v="613"/>
    <x v="613"/>
    <x v="1"/>
  </r>
  <r>
    <x v="74"/>
    <x v="65"/>
    <x v="0"/>
    <x v="1"/>
    <x v="48"/>
    <x v="1"/>
    <x v="614"/>
    <x v="614"/>
    <x v="1"/>
    <x v="10"/>
    <x v="2"/>
    <x v="1"/>
    <x v="1"/>
    <x v="614"/>
    <x v="614"/>
    <x v="614"/>
    <x v="614"/>
    <x v="614"/>
    <x v="613"/>
    <x v="614"/>
    <x v="0"/>
    <x v="0"/>
    <x v="614"/>
    <x v="614"/>
    <x v="0"/>
  </r>
  <r>
    <x v="81"/>
    <x v="11"/>
    <x v="4"/>
    <x v="3"/>
    <x v="42"/>
    <x v="2"/>
    <x v="615"/>
    <x v="615"/>
    <x v="1"/>
    <x v="9"/>
    <x v="2"/>
    <x v="0"/>
    <x v="18"/>
    <x v="615"/>
    <x v="615"/>
    <x v="615"/>
    <x v="615"/>
    <x v="615"/>
    <x v="614"/>
    <x v="615"/>
    <x v="0"/>
    <x v="1"/>
    <x v="615"/>
    <x v="615"/>
    <x v="1"/>
  </r>
  <r>
    <x v="26"/>
    <x v="115"/>
    <x v="0"/>
    <x v="1"/>
    <x v="20"/>
    <x v="0"/>
    <x v="616"/>
    <x v="616"/>
    <x v="0"/>
    <x v="6"/>
    <x v="2"/>
    <x v="1"/>
    <x v="1"/>
    <x v="616"/>
    <x v="616"/>
    <x v="616"/>
    <x v="616"/>
    <x v="616"/>
    <x v="615"/>
    <x v="616"/>
    <x v="0"/>
    <x v="0"/>
    <x v="616"/>
    <x v="616"/>
    <x v="0"/>
  </r>
  <r>
    <x v="88"/>
    <x v="272"/>
    <x v="4"/>
    <x v="0"/>
    <x v="26"/>
    <x v="2"/>
    <x v="617"/>
    <x v="617"/>
    <x v="0"/>
    <x v="27"/>
    <x v="2"/>
    <x v="0"/>
    <x v="15"/>
    <x v="617"/>
    <x v="617"/>
    <x v="617"/>
    <x v="617"/>
    <x v="617"/>
    <x v="616"/>
    <x v="617"/>
    <x v="0"/>
    <x v="1"/>
    <x v="617"/>
    <x v="617"/>
    <x v="1"/>
  </r>
  <r>
    <x v="24"/>
    <x v="286"/>
    <x v="4"/>
    <x v="3"/>
    <x v="17"/>
    <x v="3"/>
    <x v="618"/>
    <x v="618"/>
    <x v="1"/>
    <x v="21"/>
    <x v="2"/>
    <x v="0"/>
    <x v="18"/>
    <x v="618"/>
    <x v="618"/>
    <x v="618"/>
    <x v="618"/>
    <x v="618"/>
    <x v="617"/>
    <x v="618"/>
    <x v="0"/>
    <x v="0"/>
    <x v="618"/>
    <x v="618"/>
    <x v="0"/>
  </r>
  <r>
    <x v="10"/>
    <x v="287"/>
    <x v="2"/>
    <x v="0"/>
    <x v="1"/>
    <x v="3"/>
    <x v="619"/>
    <x v="619"/>
    <x v="1"/>
    <x v="9"/>
    <x v="2"/>
    <x v="0"/>
    <x v="19"/>
    <x v="619"/>
    <x v="619"/>
    <x v="619"/>
    <x v="619"/>
    <x v="619"/>
    <x v="618"/>
    <x v="619"/>
    <x v="0"/>
    <x v="0"/>
    <x v="619"/>
    <x v="619"/>
    <x v="0"/>
  </r>
  <r>
    <x v="70"/>
    <x v="229"/>
    <x v="1"/>
    <x v="3"/>
    <x v="19"/>
    <x v="1"/>
    <x v="620"/>
    <x v="620"/>
    <x v="1"/>
    <x v="12"/>
    <x v="0"/>
    <x v="1"/>
    <x v="16"/>
    <x v="620"/>
    <x v="620"/>
    <x v="620"/>
    <x v="620"/>
    <x v="620"/>
    <x v="619"/>
    <x v="620"/>
    <x v="0"/>
    <x v="1"/>
    <x v="620"/>
    <x v="620"/>
    <x v="1"/>
  </r>
  <r>
    <x v="4"/>
    <x v="288"/>
    <x v="0"/>
    <x v="2"/>
    <x v="23"/>
    <x v="2"/>
    <x v="621"/>
    <x v="621"/>
    <x v="0"/>
    <x v="30"/>
    <x v="1"/>
    <x v="1"/>
    <x v="3"/>
    <x v="621"/>
    <x v="621"/>
    <x v="621"/>
    <x v="621"/>
    <x v="621"/>
    <x v="620"/>
    <x v="621"/>
    <x v="0"/>
    <x v="0"/>
    <x v="621"/>
    <x v="621"/>
    <x v="0"/>
  </r>
  <r>
    <x v="88"/>
    <x v="141"/>
    <x v="4"/>
    <x v="3"/>
    <x v="40"/>
    <x v="0"/>
    <x v="622"/>
    <x v="622"/>
    <x v="1"/>
    <x v="0"/>
    <x v="2"/>
    <x v="0"/>
    <x v="18"/>
    <x v="622"/>
    <x v="622"/>
    <x v="622"/>
    <x v="622"/>
    <x v="622"/>
    <x v="621"/>
    <x v="622"/>
    <x v="0"/>
    <x v="1"/>
    <x v="622"/>
    <x v="622"/>
    <x v="1"/>
  </r>
  <r>
    <x v="21"/>
    <x v="89"/>
    <x v="0"/>
    <x v="1"/>
    <x v="5"/>
    <x v="1"/>
    <x v="623"/>
    <x v="623"/>
    <x v="1"/>
    <x v="0"/>
    <x v="0"/>
    <x v="1"/>
    <x v="1"/>
    <x v="623"/>
    <x v="623"/>
    <x v="623"/>
    <x v="623"/>
    <x v="623"/>
    <x v="622"/>
    <x v="623"/>
    <x v="0"/>
    <x v="1"/>
    <x v="623"/>
    <x v="623"/>
    <x v="1"/>
  </r>
  <r>
    <x v="40"/>
    <x v="113"/>
    <x v="1"/>
    <x v="3"/>
    <x v="21"/>
    <x v="2"/>
    <x v="624"/>
    <x v="624"/>
    <x v="1"/>
    <x v="27"/>
    <x v="1"/>
    <x v="1"/>
    <x v="16"/>
    <x v="624"/>
    <x v="624"/>
    <x v="624"/>
    <x v="624"/>
    <x v="624"/>
    <x v="623"/>
    <x v="624"/>
    <x v="0"/>
    <x v="1"/>
    <x v="624"/>
    <x v="624"/>
    <x v="1"/>
  </r>
  <r>
    <x v="43"/>
    <x v="250"/>
    <x v="1"/>
    <x v="0"/>
    <x v="20"/>
    <x v="1"/>
    <x v="625"/>
    <x v="625"/>
    <x v="0"/>
    <x v="21"/>
    <x v="2"/>
    <x v="1"/>
    <x v="11"/>
    <x v="625"/>
    <x v="625"/>
    <x v="625"/>
    <x v="625"/>
    <x v="625"/>
    <x v="624"/>
    <x v="625"/>
    <x v="0"/>
    <x v="0"/>
    <x v="625"/>
    <x v="625"/>
    <x v="0"/>
  </r>
  <r>
    <x v="69"/>
    <x v="30"/>
    <x v="3"/>
    <x v="0"/>
    <x v="40"/>
    <x v="0"/>
    <x v="626"/>
    <x v="626"/>
    <x v="1"/>
    <x v="27"/>
    <x v="2"/>
    <x v="0"/>
    <x v="7"/>
    <x v="626"/>
    <x v="626"/>
    <x v="626"/>
    <x v="626"/>
    <x v="626"/>
    <x v="625"/>
    <x v="626"/>
    <x v="0"/>
    <x v="1"/>
    <x v="626"/>
    <x v="626"/>
    <x v="1"/>
  </r>
  <r>
    <x v="47"/>
    <x v="200"/>
    <x v="1"/>
    <x v="3"/>
    <x v="31"/>
    <x v="1"/>
    <x v="627"/>
    <x v="627"/>
    <x v="0"/>
    <x v="21"/>
    <x v="0"/>
    <x v="1"/>
    <x v="16"/>
    <x v="627"/>
    <x v="627"/>
    <x v="627"/>
    <x v="627"/>
    <x v="627"/>
    <x v="626"/>
    <x v="627"/>
    <x v="0"/>
    <x v="0"/>
    <x v="627"/>
    <x v="627"/>
    <x v="0"/>
  </r>
  <r>
    <x v="56"/>
    <x v="128"/>
    <x v="2"/>
    <x v="1"/>
    <x v="48"/>
    <x v="1"/>
    <x v="628"/>
    <x v="628"/>
    <x v="0"/>
    <x v="21"/>
    <x v="1"/>
    <x v="0"/>
    <x v="5"/>
    <x v="628"/>
    <x v="628"/>
    <x v="628"/>
    <x v="628"/>
    <x v="628"/>
    <x v="627"/>
    <x v="628"/>
    <x v="0"/>
    <x v="1"/>
    <x v="628"/>
    <x v="628"/>
    <x v="1"/>
  </r>
  <r>
    <x v="0"/>
    <x v="289"/>
    <x v="4"/>
    <x v="2"/>
    <x v="39"/>
    <x v="1"/>
    <x v="629"/>
    <x v="629"/>
    <x v="0"/>
    <x v="20"/>
    <x v="2"/>
    <x v="0"/>
    <x v="9"/>
    <x v="629"/>
    <x v="629"/>
    <x v="629"/>
    <x v="629"/>
    <x v="629"/>
    <x v="628"/>
    <x v="629"/>
    <x v="0"/>
    <x v="1"/>
    <x v="629"/>
    <x v="629"/>
    <x v="1"/>
  </r>
  <r>
    <x v="6"/>
    <x v="11"/>
    <x v="3"/>
    <x v="1"/>
    <x v="31"/>
    <x v="2"/>
    <x v="630"/>
    <x v="630"/>
    <x v="1"/>
    <x v="15"/>
    <x v="1"/>
    <x v="0"/>
    <x v="8"/>
    <x v="630"/>
    <x v="630"/>
    <x v="630"/>
    <x v="630"/>
    <x v="630"/>
    <x v="629"/>
    <x v="630"/>
    <x v="0"/>
    <x v="1"/>
    <x v="630"/>
    <x v="630"/>
    <x v="1"/>
  </r>
  <r>
    <x v="93"/>
    <x v="163"/>
    <x v="2"/>
    <x v="2"/>
    <x v="38"/>
    <x v="0"/>
    <x v="631"/>
    <x v="631"/>
    <x v="1"/>
    <x v="12"/>
    <x v="0"/>
    <x v="0"/>
    <x v="10"/>
    <x v="631"/>
    <x v="631"/>
    <x v="631"/>
    <x v="631"/>
    <x v="631"/>
    <x v="630"/>
    <x v="631"/>
    <x v="0"/>
    <x v="0"/>
    <x v="631"/>
    <x v="631"/>
    <x v="0"/>
  </r>
  <r>
    <x v="91"/>
    <x v="148"/>
    <x v="0"/>
    <x v="0"/>
    <x v="41"/>
    <x v="3"/>
    <x v="632"/>
    <x v="632"/>
    <x v="1"/>
    <x v="30"/>
    <x v="2"/>
    <x v="0"/>
    <x v="0"/>
    <x v="632"/>
    <x v="632"/>
    <x v="632"/>
    <x v="632"/>
    <x v="632"/>
    <x v="631"/>
    <x v="632"/>
    <x v="0"/>
    <x v="0"/>
    <x v="632"/>
    <x v="632"/>
    <x v="0"/>
  </r>
  <r>
    <x v="73"/>
    <x v="290"/>
    <x v="4"/>
    <x v="1"/>
    <x v="16"/>
    <x v="2"/>
    <x v="633"/>
    <x v="633"/>
    <x v="0"/>
    <x v="9"/>
    <x v="1"/>
    <x v="1"/>
    <x v="17"/>
    <x v="633"/>
    <x v="633"/>
    <x v="633"/>
    <x v="633"/>
    <x v="633"/>
    <x v="632"/>
    <x v="633"/>
    <x v="0"/>
    <x v="1"/>
    <x v="633"/>
    <x v="633"/>
    <x v="1"/>
  </r>
  <r>
    <x v="70"/>
    <x v="66"/>
    <x v="1"/>
    <x v="2"/>
    <x v="12"/>
    <x v="3"/>
    <x v="634"/>
    <x v="634"/>
    <x v="1"/>
    <x v="21"/>
    <x v="0"/>
    <x v="1"/>
    <x v="2"/>
    <x v="634"/>
    <x v="634"/>
    <x v="634"/>
    <x v="634"/>
    <x v="634"/>
    <x v="633"/>
    <x v="634"/>
    <x v="0"/>
    <x v="0"/>
    <x v="634"/>
    <x v="634"/>
    <x v="0"/>
  </r>
  <r>
    <x v="97"/>
    <x v="291"/>
    <x v="4"/>
    <x v="3"/>
    <x v="42"/>
    <x v="3"/>
    <x v="635"/>
    <x v="635"/>
    <x v="0"/>
    <x v="1"/>
    <x v="0"/>
    <x v="0"/>
    <x v="18"/>
    <x v="635"/>
    <x v="635"/>
    <x v="635"/>
    <x v="635"/>
    <x v="635"/>
    <x v="634"/>
    <x v="635"/>
    <x v="0"/>
    <x v="1"/>
    <x v="635"/>
    <x v="635"/>
    <x v="1"/>
  </r>
  <r>
    <x v="0"/>
    <x v="99"/>
    <x v="0"/>
    <x v="0"/>
    <x v="23"/>
    <x v="2"/>
    <x v="636"/>
    <x v="636"/>
    <x v="1"/>
    <x v="23"/>
    <x v="2"/>
    <x v="1"/>
    <x v="0"/>
    <x v="636"/>
    <x v="636"/>
    <x v="636"/>
    <x v="636"/>
    <x v="636"/>
    <x v="635"/>
    <x v="636"/>
    <x v="0"/>
    <x v="1"/>
    <x v="636"/>
    <x v="636"/>
    <x v="1"/>
  </r>
  <r>
    <x v="59"/>
    <x v="70"/>
    <x v="3"/>
    <x v="3"/>
    <x v="11"/>
    <x v="2"/>
    <x v="637"/>
    <x v="637"/>
    <x v="1"/>
    <x v="29"/>
    <x v="1"/>
    <x v="1"/>
    <x v="14"/>
    <x v="637"/>
    <x v="637"/>
    <x v="637"/>
    <x v="637"/>
    <x v="637"/>
    <x v="636"/>
    <x v="637"/>
    <x v="0"/>
    <x v="1"/>
    <x v="637"/>
    <x v="637"/>
    <x v="1"/>
  </r>
  <r>
    <x v="10"/>
    <x v="206"/>
    <x v="3"/>
    <x v="0"/>
    <x v="8"/>
    <x v="0"/>
    <x v="638"/>
    <x v="638"/>
    <x v="1"/>
    <x v="30"/>
    <x v="2"/>
    <x v="1"/>
    <x v="7"/>
    <x v="638"/>
    <x v="638"/>
    <x v="638"/>
    <x v="638"/>
    <x v="638"/>
    <x v="637"/>
    <x v="638"/>
    <x v="0"/>
    <x v="0"/>
    <x v="638"/>
    <x v="638"/>
    <x v="0"/>
  </r>
  <r>
    <x v="14"/>
    <x v="57"/>
    <x v="3"/>
    <x v="1"/>
    <x v="23"/>
    <x v="0"/>
    <x v="639"/>
    <x v="639"/>
    <x v="1"/>
    <x v="22"/>
    <x v="2"/>
    <x v="1"/>
    <x v="8"/>
    <x v="639"/>
    <x v="639"/>
    <x v="639"/>
    <x v="639"/>
    <x v="639"/>
    <x v="638"/>
    <x v="639"/>
    <x v="0"/>
    <x v="0"/>
    <x v="639"/>
    <x v="639"/>
    <x v="0"/>
  </r>
  <r>
    <x v="71"/>
    <x v="186"/>
    <x v="1"/>
    <x v="1"/>
    <x v="27"/>
    <x v="1"/>
    <x v="640"/>
    <x v="640"/>
    <x v="0"/>
    <x v="27"/>
    <x v="1"/>
    <x v="1"/>
    <x v="13"/>
    <x v="640"/>
    <x v="640"/>
    <x v="640"/>
    <x v="640"/>
    <x v="640"/>
    <x v="639"/>
    <x v="640"/>
    <x v="0"/>
    <x v="1"/>
    <x v="640"/>
    <x v="640"/>
    <x v="1"/>
  </r>
  <r>
    <x v="93"/>
    <x v="177"/>
    <x v="2"/>
    <x v="0"/>
    <x v="45"/>
    <x v="3"/>
    <x v="641"/>
    <x v="641"/>
    <x v="0"/>
    <x v="18"/>
    <x v="1"/>
    <x v="1"/>
    <x v="19"/>
    <x v="641"/>
    <x v="641"/>
    <x v="641"/>
    <x v="641"/>
    <x v="641"/>
    <x v="640"/>
    <x v="641"/>
    <x v="0"/>
    <x v="0"/>
    <x v="641"/>
    <x v="641"/>
    <x v="0"/>
  </r>
  <r>
    <x v="84"/>
    <x v="231"/>
    <x v="2"/>
    <x v="0"/>
    <x v="26"/>
    <x v="0"/>
    <x v="642"/>
    <x v="642"/>
    <x v="0"/>
    <x v="14"/>
    <x v="1"/>
    <x v="1"/>
    <x v="19"/>
    <x v="642"/>
    <x v="642"/>
    <x v="642"/>
    <x v="642"/>
    <x v="642"/>
    <x v="641"/>
    <x v="642"/>
    <x v="0"/>
    <x v="0"/>
    <x v="642"/>
    <x v="642"/>
    <x v="0"/>
  </r>
  <r>
    <x v="36"/>
    <x v="292"/>
    <x v="4"/>
    <x v="0"/>
    <x v="45"/>
    <x v="1"/>
    <x v="643"/>
    <x v="643"/>
    <x v="0"/>
    <x v="29"/>
    <x v="0"/>
    <x v="0"/>
    <x v="15"/>
    <x v="643"/>
    <x v="643"/>
    <x v="643"/>
    <x v="643"/>
    <x v="643"/>
    <x v="642"/>
    <x v="643"/>
    <x v="0"/>
    <x v="1"/>
    <x v="643"/>
    <x v="643"/>
    <x v="1"/>
  </r>
  <r>
    <x v="14"/>
    <x v="54"/>
    <x v="1"/>
    <x v="1"/>
    <x v="31"/>
    <x v="0"/>
    <x v="644"/>
    <x v="644"/>
    <x v="1"/>
    <x v="12"/>
    <x v="0"/>
    <x v="0"/>
    <x v="13"/>
    <x v="644"/>
    <x v="644"/>
    <x v="644"/>
    <x v="644"/>
    <x v="644"/>
    <x v="643"/>
    <x v="644"/>
    <x v="0"/>
    <x v="1"/>
    <x v="644"/>
    <x v="644"/>
    <x v="1"/>
  </r>
  <r>
    <x v="27"/>
    <x v="290"/>
    <x v="3"/>
    <x v="2"/>
    <x v="30"/>
    <x v="2"/>
    <x v="645"/>
    <x v="645"/>
    <x v="0"/>
    <x v="23"/>
    <x v="1"/>
    <x v="0"/>
    <x v="6"/>
    <x v="645"/>
    <x v="645"/>
    <x v="645"/>
    <x v="645"/>
    <x v="645"/>
    <x v="644"/>
    <x v="645"/>
    <x v="0"/>
    <x v="1"/>
    <x v="645"/>
    <x v="645"/>
    <x v="1"/>
  </r>
  <r>
    <x v="22"/>
    <x v="263"/>
    <x v="3"/>
    <x v="3"/>
    <x v="37"/>
    <x v="0"/>
    <x v="646"/>
    <x v="646"/>
    <x v="0"/>
    <x v="19"/>
    <x v="0"/>
    <x v="1"/>
    <x v="14"/>
    <x v="646"/>
    <x v="646"/>
    <x v="646"/>
    <x v="646"/>
    <x v="646"/>
    <x v="645"/>
    <x v="646"/>
    <x v="0"/>
    <x v="1"/>
    <x v="646"/>
    <x v="646"/>
    <x v="1"/>
  </r>
  <r>
    <x v="36"/>
    <x v="68"/>
    <x v="0"/>
    <x v="3"/>
    <x v="39"/>
    <x v="3"/>
    <x v="647"/>
    <x v="647"/>
    <x v="0"/>
    <x v="2"/>
    <x v="2"/>
    <x v="1"/>
    <x v="12"/>
    <x v="647"/>
    <x v="647"/>
    <x v="647"/>
    <x v="647"/>
    <x v="647"/>
    <x v="646"/>
    <x v="647"/>
    <x v="0"/>
    <x v="1"/>
    <x v="647"/>
    <x v="647"/>
    <x v="1"/>
  </r>
  <r>
    <x v="39"/>
    <x v="293"/>
    <x v="0"/>
    <x v="1"/>
    <x v="37"/>
    <x v="0"/>
    <x v="648"/>
    <x v="648"/>
    <x v="1"/>
    <x v="15"/>
    <x v="1"/>
    <x v="0"/>
    <x v="1"/>
    <x v="648"/>
    <x v="648"/>
    <x v="648"/>
    <x v="648"/>
    <x v="648"/>
    <x v="647"/>
    <x v="648"/>
    <x v="0"/>
    <x v="0"/>
    <x v="648"/>
    <x v="648"/>
    <x v="0"/>
  </r>
  <r>
    <x v="56"/>
    <x v="42"/>
    <x v="3"/>
    <x v="3"/>
    <x v="25"/>
    <x v="3"/>
    <x v="649"/>
    <x v="649"/>
    <x v="0"/>
    <x v="8"/>
    <x v="2"/>
    <x v="1"/>
    <x v="14"/>
    <x v="649"/>
    <x v="649"/>
    <x v="649"/>
    <x v="649"/>
    <x v="649"/>
    <x v="648"/>
    <x v="649"/>
    <x v="0"/>
    <x v="1"/>
    <x v="649"/>
    <x v="649"/>
    <x v="1"/>
  </r>
  <r>
    <x v="68"/>
    <x v="116"/>
    <x v="3"/>
    <x v="0"/>
    <x v="39"/>
    <x v="2"/>
    <x v="650"/>
    <x v="650"/>
    <x v="0"/>
    <x v="3"/>
    <x v="1"/>
    <x v="1"/>
    <x v="7"/>
    <x v="650"/>
    <x v="650"/>
    <x v="650"/>
    <x v="650"/>
    <x v="650"/>
    <x v="649"/>
    <x v="650"/>
    <x v="0"/>
    <x v="0"/>
    <x v="650"/>
    <x v="650"/>
    <x v="0"/>
  </r>
  <r>
    <x v="46"/>
    <x v="133"/>
    <x v="1"/>
    <x v="2"/>
    <x v="2"/>
    <x v="3"/>
    <x v="651"/>
    <x v="651"/>
    <x v="1"/>
    <x v="5"/>
    <x v="2"/>
    <x v="0"/>
    <x v="2"/>
    <x v="651"/>
    <x v="651"/>
    <x v="651"/>
    <x v="651"/>
    <x v="651"/>
    <x v="650"/>
    <x v="651"/>
    <x v="0"/>
    <x v="1"/>
    <x v="651"/>
    <x v="651"/>
    <x v="1"/>
  </r>
  <r>
    <x v="7"/>
    <x v="285"/>
    <x v="2"/>
    <x v="3"/>
    <x v="46"/>
    <x v="0"/>
    <x v="652"/>
    <x v="652"/>
    <x v="1"/>
    <x v="19"/>
    <x v="1"/>
    <x v="0"/>
    <x v="4"/>
    <x v="652"/>
    <x v="652"/>
    <x v="652"/>
    <x v="652"/>
    <x v="652"/>
    <x v="651"/>
    <x v="652"/>
    <x v="0"/>
    <x v="1"/>
    <x v="652"/>
    <x v="652"/>
    <x v="1"/>
  </r>
  <r>
    <x v="1"/>
    <x v="294"/>
    <x v="0"/>
    <x v="2"/>
    <x v="34"/>
    <x v="1"/>
    <x v="653"/>
    <x v="653"/>
    <x v="0"/>
    <x v="26"/>
    <x v="2"/>
    <x v="0"/>
    <x v="3"/>
    <x v="653"/>
    <x v="653"/>
    <x v="653"/>
    <x v="653"/>
    <x v="653"/>
    <x v="652"/>
    <x v="653"/>
    <x v="0"/>
    <x v="0"/>
    <x v="653"/>
    <x v="653"/>
    <x v="0"/>
  </r>
  <r>
    <x v="8"/>
    <x v="257"/>
    <x v="2"/>
    <x v="0"/>
    <x v="40"/>
    <x v="2"/>
    <x v="654"/>
    <x v="654"/>
    <x v="0"/>
    <x v="29"/>
    <x v="1"/>
    <x v="1"/>
    <x v="19"/>
    <x v="654"/>
    <x v="654"/>
    <x v="654"/>
    <x v="654"/>
    <x v="654"/>
    <x v="653"/>
    <x v="654"/>
    <x v="0"/>
    <x v="1"/>
    <x v="654"/>
    <x v="654"/>
    <x v="1"/>
  </r>
  <r>
    <x v="37"/>
    <x v="278"/>
    <x v="1"/>
    <x v="3"/>
    <x v="44"/>
    <x v="0"/>
    <x v="655"/>
    <x v="655"/>
    <x v="1"/>
    <x v="16"/>
    <x v="1"/>
    <x v="1"/>
    <x v="16"/>
    <x v="655"/>
    <x v="655"/>
    <x v="655"/>
    <x v="655"/>
    <x v="655"/>
    <x v="654"/>
    <x v="655"/>
    <x v="0"/>
    <x v="0"/>
    <x v="655"/>
    <x v="655"/>
    <x v="0"/>
  </r>
  <r>
    <x v="21"/>
    <x v="211"/>
    <x v="3"/>
    <x v="1"/>
    <x v="5"/>
    <x v="2"/>
    <x v="656"/>
    <x v="656"/>
    <x v="0"/>
    <x v="23"/>
    <x v="0"/>
    <x v="1"/>
    <x v="8"/>
    <x v="656"/>
    <x v="656"/>
    <x v="656"/>
    <x v="656"/>
    <x v="656"/>
    <x v="655"/>
    <x v="656"/>
    <x v="0"/>
    <x v="1"/>
    <x v="656"/>
    <x v="656"/>
    <x v="1"/>
  </r>
  <r>
    <x v="40"/>
    <x v="103"/>
    <x v="2"/>
    <x v="2"/>
    <x v="15"/>
    <x v="2"/>
    <x v="657"/>
    <x v="657"/>
    <x v="1"/>
    <x v="17"/>
    <x v="2"/>
    <x v="0"/>
    <x v="10"/>
    <x v="657"/>
    <x v="657"/>
    <x v="657"/>
    <x v="657"/>
    <x v="657"/>
    <x v="656"/>
    <x v="657"/>
    <x v="0"/>
    <x v="0"/>
    <x v="657"/>
    <x v="657"/>
    <x v="0"/>
  </r>
  <r>
    <x v="55"/>
    <x v="79"/>
    <x v="3"/>
    <x v="0"/>
    <x v="31"/>
    <x v="0"/>
    <x v="658"/>
    <x v="658"/>
    <x v="0"/>
    <x v="10"/>
    <x v="0"/>
    <x v="0"/>
    <x v="7"/>
    <x v="658"/>
    <x v="658"/>
    <x v="658"/>
    <x v="658"/>
    <x v="658"/>
    <x v="657"/>
    <x v="658"/>
    <x v="0"/>
    <x v="1"/>
    <x v="658"/>
    <x v="658"/>
    <x v="1"/>
  </r>
  <r>
    <x v="22"/>
    <x v="295"/>
    <x v="3"/>
    <x v="2"/>
    <x v="11"/>
    <x v="0"/>
    <x v="659"/>
    <x v="659"/>
    <x v="0"/>
    <x v="13"/>
    <x v="2"/>
    <x v="1"/>
    <x v="6"/>
    <x v="659"/>
    <x v="659"/>
    <x v="659"/>
    <x v="659"/>
    <x v="659"/>
    <x v="658"/>
    <x v="659"/>
    <x v="0"/>
    <x v="1"/>
    <x v="659"/>
    <x v="659"/>
    <x v="1"/>
  </r>
  <r>
    <x v="90"/>
    <x v="296"/>
    <x v="4"/>
    <x v="3"/>
    <x v="19"/>
    <x v="1"/>
    <x v="660"/>
    <x v="660"/>
    <x v="0"/>
    <x v="4"/>
    <x v="0"/>
    <x v="0"/>
    <x v="18"/>
    <x v="660"/>
    <x v="660"/>
    <x v="660"/>
    <x v="660"/>
    <x v="660"/>
    <x v="659"/>
    <x v="660"/>
    <x v="0"/>
    <x v="0"/>
    <x v="660"/>
    <x v="660"/>
    <x v="0"/>
  </r>
  <r>
    <x v="34"/>
    <x v="238"/>
    <x v="2"/>
    <x v="3"/>
    <x v="4"/>
    <x v="2"/>
    <x v="661"/>
    <x v="661"/>
    <x v="0"/>
    <x v="12"/>
    <x v="1"/>
    <x v="0"/>
    <x v="4"/>
    <x v="661"/>
    <x v="661"/>
    <x v="661"/>
    <x v="661"/>
    <x v="661"/>
    <x v="660"/>
    <x v="661"/>
    <x v="0"/>
    <x v="1"/>
    <x v="661"/>
    <x v="661"/>
    <x v="1"/>
  </r>
  <r>
    <x v="98"/>
    <x v="91"/>
    <x v="2"/>
    <x v="1"/>
    <x v="36"/>
    <x v="2"/>
    <x v="662"/>
    <x v="662"/>
    <x v="0"/>
    <x v="29"/>
    <x v="0"/>
    <x v="1"/>
    <x v="5"/>
    <x v="662"/>
    <x v="662"/>
    <x v="662"/>
    <x v="662"/>
    <x v="662"/>
    <x v="661"/>
    <x v="662"/>
    <x v="0"/>
    <x v="1"/>
    <x v="662"/>
    <x v="662"/>
    <x v="1"/>
  </r>
  <r>
    <x v="81"/>
    <x v="297"/>
    <x v="3"/>
    <x v="0"/>
    <x v="31"/>
    <x v="0"/>
    <x v="663"/>
    <x v="663"/>
    <x v="1"/>
    <x v="14"/>
    <x v="0"/>
    <x v="0"/>
    <x v="7"/>
    <x v="663"/>
    <x v="663"/>
    <x v="663"/>
    <x v="663"/>
    <x v="663"/>
    <x v="662"/>
    <x v="663"/>
    <x v="0"/>
    <x v="0"/>
    <x v="663"/>
    <x v="663"/>
    <x v="0"/>
  </r>
  <r>
    <x v="58"/>
    <x v="204"/>
    <x v="1"/>
    <x v="0"/>
    <x v="20"/>
    <x v="3"/>
    <x v="664"/>
    <x v="664"/>
    <x v="1"/>
    <x v="30"/>
    <x v="1"/>
    <x v="0"/>
    <x v="11"/>
    <x v="664"/>
    <x v="664"/>
    <x v="664"/>
    <x v="664"/>
    <x v="664"/>
    <x v="663"/>
    <x v="664"/>
    <x v="0"/>
    <x v="0"/>
    <x v="664"/>
    <x v="664"/>
    <x v="0"/>
  </r>
  <r>
    <x v="27"/>
    <x v="127"/>
    <x v="4"/>
    <x v="1"/>
    <x v="35"/>
    <x v="0"/>
    <x v="665"/>
    <x v="665"/>
    <x v="0"/>
    <x v="5"/>
    <x v="0"/>
    <x v="0"/>
    <x v="17"/>
    <x v="665"/>
    <x v="665"/>
    <x v="665"/>
    <x v="665"/>
    <x v="665"/>
    <x v="664"/>
    <x v="665"/>
    <x v="0"/>
    <x v="0"/>
    <x v="665"/>
    <x v="665"/>
    <x v="0"/>
  </r>
  <r>
    <x v="40"/>
    <x v="157"/>
    <x v="3"/>
    <x v="1"/>
    <x v="25"/>
    <x v="2"/>
    <x v="666"/>
    <x v="666"/>
    <x v="0"/>
    <x v="13"/>
    <x v="1"/>
    <x v="1"/>
    <x v="8"/>
    <x v="666"/>
    <x v="666"/>
    <x v="666"/>
    <x v="666"/>
    <x v="666"/>
    <x v="665"/>
    <x v="666"/>
    <x v="0"/>
    <x v="1"/>
    <x v="666"/>
    <x v="666"/>
    <x v="1"/>
  </r>
  <r>
    <x v="50"/>
    <x v="28"/>
    <x v="0"/>
    <x v="0"/>
    <x v="27"/>
    <x v="0"/>
    <x v="667"/>
    <x v="667"/>
    <x v="0"/>
    <x v="24"/>
    <x v="2"/>
    <x v="1"/>
    <x v="0"/>
    <x v="667"/>
    <x v="667"/>
    <x v="667"/>
    <x v="667"/>
    <x v="667"/>
    <x v="666"/>
    <x v="667"/>
    <x v="0"/>
    <x v="0"/>
    <x v="667"/>
    <x v="667"/>
    <x v="0"/>
  </r>
  <r>
    <x v="75"/>
    <x v="222"/>
    <x v="0"/>
    <x v="2"/>
    <x v="33"/>
    <x v="1"/>
    <x v="668"/>
    <x v="668"/>
    <x v="1"/>
    <x v="17"/>
    <x v="0"/>
    <x v="0"/>
    <x v="3"/>
    <x v="668"/>
    <x v="668"/>
    <x v="668"/>
    <x v="668"/>
    <x v="668"/>
    <x v="667"/>
    <x v="668"/>
    <x v="0"/>
    <x v="0"/>
    <x v="668"/>
    <x v="668"/>
    <x v="0"/>
  </r>
  <r>
    <x v="83"/>
    <x v="11"/>
    <x v="4"/>
    <x v="2"/>
    <x v="46"/>
    <x v="3"/>
    <x v="669"/>
    <x v="669"/>
    <x v="1"/>
    <x v="21"/>
    <x v="1"/>
    <x v="1"/>
    <x v="9"/>
    <x v="669"/>
    <x v="669"/>
    <x v="669"/>
    <x v="669"/>
    <x v="669"/>
    <x v="668"/>
    <x v="669"/>
    <x v="0"/>
    <x v="0"/>
    <x v="669"/>
    <x v="669"/>
    <x v="0"/>
  </r>
  <r>
    <x v="68"/>
    <x v="136"/>
    <x v="1"/>
    <x v="1"/>
    <x v="8"/>
    <x v="0"/>
    <x v="670"/>
    <x v="670"/>
    <x v="1"/>
    <x v="4"/>
    <x v="1"/>
    <x v="1"/>
    <x v="13"/>
    <x v="670"/>
    <x v="670"/>
    <x v="670"/>
    <x v="670"/>
    <x v="670"/>
    <x v="669"/>
    <x v="670"/>
    <x v="0"/>
    <x v="0"/>
    <x v="670"/>
    <x v="670"/>
    <x v="0"/>
  </r>
  <r>
    <x v="63"/>
    <x v="277"/>
    <x v="3"/>
    <x v="2"/>
    <x v="30"/>
    <x v="1"/>
    <x v="671"/>
    <x v="671"/>
    <x v="1"/>
    <x v="30"/>
    <x v="0"/>
    <x v="1"/>
    <x v="6"/>
    <x v="671"/>
    <x v="671"/>
    <x v="671"/>
    <x v="671"/>
    <x v="671"/>
    <x v="670"/>
    <x v="671"/>
    <x v="0"/>
    <x v="0"/>
    <x v="671"/>
    <x v="671"/>
    <x v="0"/>
  </r>
  <r>
    <x v="72"/>
    <x v="231"/>
    <x v="2"/>
    <x v="0"/>
    <x v="36"/>
    <x v="2"/>
    <x v="672"/>
    <x v="672"/>
    <x v="1"/>
    <x v="30"/>
    <x v="2"/>
    <x v="0"/>
    <x v="19"/>
    <x v="672"/>
    <x v="672"/>
    <x v="672"/>
    <x v="672"/>
    <x v="672"/>
    <x v="671"/>
    <x v="672"/>
    <x v="0"/>
    <x v="0"/>
    <x v="672"/>
    <x v="672"/>
    <x v="0"/>
  </r>
  <r>
    <x v="17"/>
    <x v="32"/>
    <x v="4"/>
    <x v="3"/>
    <x v="25"/>
    <x v="0"/>
    <x v="673"/>
    <x v="673"/>
    <x v="1"/>
    <x v="29"/>
    <x v="0"/>
    <x v="1"/>
    <x v="18"/>
    <x v="673"/>
    <x v="673"/>
    <x v="673"/>
    <x v="673"/>
    <x v="673"/>
    <x v="672"/>
    <x v="673"/>
    <x v="0"/>
    <x v="1"/>
    <x v="673"/>
    <x v="673"/>
    <x v="1"/>
  </r>
  <r>
    <x v="6"/>
    <x v="170"/>
    <x v="1"/>
    <x v="3"/>
    <x v="24"/>
    <x v="2"/>
    <x v="674"/>
    <x v="674"/>
    <x v="1"/>
    <x v="1"/>
    <x v="1"/>
    <x v="0"/>
    <x v="16"/>
    <x v="674"/>
    <x v="674"/>
    <x v="674"/>
    <x v="674"/>
    <x v="674"/>
    <x v="673"/>
    <x v="674"/>
    <x v="0"/>
    <x v="0"/>
    <x v="674"/>
    <x v="674"/>
    <x v="0"/>
  </r>
  <r>
    <x v="45"/>
    <x v="70"/>
    <x v="2"/>
    <x v="2"/>
    <x v="5"/>
    <x v="1"/>
    <x v="675"/>
    <x v="675"/>
    <x v="1"/>
    <x v="7"/>
    <x v="2"/>
    <x v="0"/>
    <x v="10"/>
    <x v="675"/>
    <x v="675"/>
    <x v="675"/>
    <x v="675"/>
    <x v="675"/>
    <x v="674"/>
    <x v="675"/>
    <x v="0"/>
    <x v="0"/>
    <x v="675"/>
    <x v="675"/>
    <x v="0"/>
  </r>
  <r>
    <x v="65"/>
    <x v="11"/>
    <x v="0"/>
    <x v="1"/>
    <x v="42"/>
    <x v="2"/>
    <x v="676"/>
    <x v="676"/>
    <x v="0"/>
    <x v="30"/>
    <x v="0"/>
    <x v="1"/>
    <x v="1"/>
    <x v="676"/>
    <x v="676"/>
    <x v="676"/>
    <x v="676"/>
    <x v="676"/>
    <x v="675"/>
    <x v="676"/>
    <x v="0"/>
    <x v="0"/>
    <x v="676"/>
    <x v="676"/>
    <x v="0"/>
  </r>
  <r>
    <x v="74"/>
    <x v="298"/>
    <x v="0"/>
    <x v="1"/>
    <x v="44"/>
    <x v="1"/>
    <x v="677"/>
    <x v="677"/>
    <x v="1"/>
    <x v="4"/>
    <x v="1"/>
    <x v="0"/>
    <x v="1"/>
    <x v="677"/>
    <x v="677"/>
    <x v="677"/>
    <x v="677"/>
    <x v="677"/>
    <x v="676"/>
    <x v="677"/>
    <x v="0"/>
    <x v="0"/>
    <x v="677"/>
    <x v="677"/>
    <x v="0"/>
  </r>
  <r>
    <x v="90"/>
    <x v="61"/>
    <x v="2"/>
    <x v="1"/>
    <x v="39"/>
    <x v="1"/>
    <x v="678"/>
    <x v="678"/>
    <x v="1"/>
    <x v="19"/>
    <x v="0"/>
    <x v="1"/>
    <x v="5"/>
    <x v="678"/>
    <x v="678"/>
    <x v="678"/>
    <x v="678"/>
    <x v="678"/>
    <x v="677"/>
    <x v="678"/>
    <x v="0"/>
    <x v="0"/>
    <x v="678"/>
    <x v="678"/>
    <x v="0"/>
  </r>
  <r>
    <x v="43"/>
    <x v="90"/>
    <x v="4"/>
    <x v="1"/>
    <x v="26"/>
    <x v="1"/>
    <x v="679"/>
    <x v="679"/>
    <x v="1"/>
    <x v="13"/>
    <x v="2"/>
    <x v="1"/>
    <x v="17"/>
    <x v="679"/>
    <x v="679"/>
    <x v="679"/>
    <x v="679"/>
    <x v="679"/>
    <x v="678"/>
    <x v="679"/>
    <x v="0"/>
    <x v="1"/>
    <x v="679"/>
    <x v="679"/>
    <x v="1"/>
  </r>
  <r>
    <x v="23"/>
    <x v="175"/>
    <x v="0"/>
    <x v="1"/>
    <x v="11"/>
    <x v="0"/>
    <x v="680"/>
    <x v="680"/>
    <x v="1"/>
    <x v="10"/>
    <x v="2"/>
    <x v="0"/>
    <x v="1"/>
    <x v="680"/>
    <x v="680"/>
    <x v="680"/>
    <x v="680"/>
    <x v="680"/>
    <x v="679"/>
    <x v="680"/>
    <x v="0"/>
    <x v="1"/>
    <x v="680"/>
    <x v="680"/>
    <x v="1"/>
  </r>
  <r>
    <x v="64"/>
    <x v="273"/>
    <x v="3"/>
    <x v="2"/>
    <x v="14"/>
    <x v="2"/>
    <x v="681"/>
    <x v="681"/>
    <x v="0"/>
    <x v="9"/>
    <x v="2"/>
    <x v="0"/>
    <x v="6"/>
    <x v="681"/>
    <x v="681"/>
    <x v="681"/>
    <x v="681"/>
    <x v="681"/>
    <x v="680"/>
    <x v="681"/>
    <x v="0"/>
    <x v="1"/>
    <x v="681"/>
    <x v="681"/>
    <x v="1"/>
  </r>
  <r>
    <x v="38"/>
    <x v="59"/>
    <x v="2"/>
    <x v="3"/>
    <x v="26"/>
    <x v="2"/>
    <x v="682"/>
    <x v="682"/>
    <x v="1"/>
    <x v="0"/>
    <x v="2"/>
    <x v="1"/>
    <x v="4"/>
    <x v="682"/>
    <x v="682"/>
    <x v="682"/>
    <x v="682"/>
    <x v="682"/>
    <x v="681"/>
    <x v="682"/>
    <x v="0"/>
    <x v="0"/>
    <x v="682"/>
    <x v="682"/>
    <x v="0"/>
  </r>
  <r>
    <x v="49"/>
    <x v="299"/>
    <x v="2"/>
    <x v="3"/>
    <x v="42"/>
    <x v="3"/>
    <x v="683"/>
    <x v="683"/>
    <x v="0"/>
    <x v="6"/>
    <x v="2"/>
    <x v="1"/>
    <x v="4"/>
    <x v="683"/>
    <x v="683"/>
    <x v="683"/>
    <x v="683"/>
    <x v="683"/>
    <x v="682"/>
    <x v="683"/>
    <x v="0"/>
    <x v="1"/>
    <x v="683"/>
    <x v="683"/>
    <x v="1"/>
  </r>
  <r>
    <x v="86"/>
    <x v="94"/>
    <x v="0"/>
    <x v="2"/>
    <x v="14"/>
    <x v="3"/>
    <x v="684"/>
    <x v="684"/>
    <x v="0"/>
    <x v="15"/>
    <x v="0"/>
    <x v="1"/>
    <x v="3"/>
    <x v="684"/>
    <x v="684"/>
    <x v="684"/>
    <x v="684"/>
    <x v="684"/>
    <x v="683"/>
    <x v="684"/>
    <x v="0"/>
    <x v="0"/>
    <x v="684"/>
    <x v="684"/>
    <x v="0"/>
  </r>
  <r>
    <x v="96"/>
    <x v="273"/>
    <x v="4"/>
    <x v="1"/>
    <x v="15"/>
    <x v="3"/>
    <x v="685"/>
    <x v="685"/>
    <x v="0"/>
    <x v="26"/>
    <x v="2"/>
    <x v="1"/>
    <x v="17"/>
    <x v="685"/>
    <x v="685"/>
    <x v="685"/>
    <x v="685"/>
    <x v="685"/>
    <x v="684"/>
    <x v="685"/>
    <x v="0"/>
    <x v="0"/>
    <x v="685"/>
    <x v="685"/>
    <x v="0"/>
  </r>
  <r>
    <x v="88"/>
    <x v="300"/>
    <x v="3"/>
    <x v="2"/>
    <x v="5"/>
    <x v="3"/>
    <x v="686"/>
    <x v="686"/>
    <x v="1"/>
    <x v="0"/>
    <x v="2"/>
    <x v="0"/>
    <x v="6"/>
    <x v="686"/>
    <x v="686"/>
    <x v="686"/>
    <x v="686"/>
    <x v="686"/>
    <x v="685"/>
    <x v="686"/>
    <x v="0"/>
    <x v="0"/>
    <x v="686"/>
    <x v="686"/>
    <x v="0"/>
  </r>
  <r>
    <x v="4"/>
    <x v="228"/>
    <x v="4"/>
    <x v="3"/>
    <x v="24"/>
    <x v="2"/>
    <x v="687"/>
    <x v="687"/>
    <x v="1"/>
    <x v="2"/>
    <x v="1"/>
    <x v="0"/>
    <x v="18"/>
    <x v="687"/>
    <x v="687"/>
    <x v="687"/>
    <x v="687"/>
    <x v="687"/>
    <x v="686"/>
    <x v="687"/>
    <x v="0"/>
    <x v="1"/>
    <x v="687"/>
    <x v="687"/>
    <x v="1"/>
  </r>
  <r>
    <x v="52"/>
    <x v="194"/>
    <x v="1"/>
    <x v="0"/>
    <x v="10"/>
    <x v="1"/>
    <x v="688"/>
    <x v="688"/>
    <x v="1"/>
    <x v="14"/>
    <x v="2"/>
    <x v="0"/>
    <x v="11"/>
    <x v="688"/>
    <x v="688"/>
    <x v="688"/>
    <x v="688"/>
    <x v="688"/>
    <x v="687"/>
    <x v="688"/>
    <x v="0"/>
    <x v="0"/>
    <x v="688"/>
    <x v="688"/>
    <x v="0"/>
  </r>
  <r>
    <x v="36"/>
    <x v="32"/>
    <x v="1"/>
    <x v="2"/>
    <x v="46"/>
    <x v="1"/>
    <x v="689"/>
    <x v="689"/>
    <x v="0"/>
    <x v="5"/>
    <x v="1"/>
    <x v="1"/>
    <x v="2"/>
    <x v="689"/>
    <x v="689"/>
    <x v="689"/>
    <x v="689"/>
    <x v="689"/>
    <x v="688"/>
    <x v="689"/>
    <x v="0"/>
    <x v="1"/>
    <x v="689"/>
    <x v="689"/>
    <x v="1"/>
  </r>
  <r>
    <x v="25"/>
    <x v="275"/>
    <x v="0"/>
    <x v="1"/>
    <x v="3"/>
    <x v="0"/>
    <x v="690"/>
    <x v="690"/>
    <x v="0"/>
    <x v="29"/>
    <x v="1"/>
    <x v="0"/>
    <x v="1"/>
    <x v="690"/>
    <x v="690"/>
    <x v="690"/>
    <x v="690"/>
    <x v="690"/>
    <x v="689"/>
    <x v="690"/>
    <x v="0"/>
    <x v="1"/>
    <x v="690"/>
    <x v="690"/>
    <x v="1"/>
  </r>
  <r>
    <x v="55"/>
    <x v="185"/>
    <x v="0"/>
    <x v="3"/>
    <x v="39"/>
    <x v="1"/>
    <x v="691"/>
    <x v="691"/>
    <x v="0"/>
    <x v="13"/>
    <x v="1"/>
    <x v="0"/>
    <x v="12"/>
    <x v="691"/>
    <x v="691"/>
    <x v="691"/>
    <x v="691"/>
    <x v="691"/>
    <x v="690"/>
    <x v="691"/>
    <x v="0"/>
    <x v="1"/>
    <x v="691"/>
    <x v="691"/>
    <x v="1"/>
  </r>
  <r>
    <x v="41"/>
    <x v="24"/>
    <x v="0"/>
    <x v="3"/>
    <x v="21"/>
    <x v="2"/>
    <x v="692"/>
    <x v="692"/>
    <x v="0"/>
    <x v="22"/>
    <x v="0"/>
    <x v="0"/>
    <x v="12"/>
    <x v="692"/>
    <x v="692"/>
    <x v="692"/>
    <x v="692"/>
    <x v="692"/>
    <x v="691"/>
    <x v="692"/>
    <x v="0"/>
    <x v="0"/>
    <x v="692"/>
    <x v="692"/>
    <x v="0"/>
  </r>
  <r>
    <x v="88"/>
    <x v="89"/>
    <x v="1"/>
    <x v="3"/>
    <x v="43"/>
    <x v="2"/>
    <x v="693"/>
    <x v="693"/>
    <x v="1"/>
    <x v="12"/>
    <x v="0"/>
    <x v="0"/>
    <x v="16"/>
    <x v="693"/>
    <x v="693"/>
    <x v="693"/>
    <x v="693"/>
    <x v="693"/>
    <x v="692"/>
    <x v="693"/>
    <x v="0"/>
    <x v="1"/>
    <x v="693"/>
    <x v="693"/>
    <x v="1"/>
  </r>
  <r>
    <x v="36"/>
    <x v="137"/>
    <x v="4"/>
    <x v="3"/>
    <x v="38"/>
    <x v="2"/>
    <x v="694"/>
    <x v="694"/>
    <x v="1"/>
    <x v="27"/>
    <x v="1"/>
    <x v="1"/>
    <x v="18"/>
    <x v="694"/>
    <x v="694"/>
    <x v="694"/>
    <x v="694"/>
    <x v="694"/>
    <x v="693"/>
    <x v="694"/>
    <x v="0"/>
    <x v="1"/>
    <x v="694"/>
    <x v="694"/>
    <x v="1"/>
  </r>
  <r>
    <x v="95"/>
    <x v="301"/>
    <x v="4"/>
    <x v="1"/>
    <x v="30"/>
    <x v="0"/>
    <x v="695"/>
    <x v="695"/>
    <x v="1"/>
    <x v="4"/>
    <x v="0"/>
    <x v="0"/>
    <x v="17"/>
    <x v="695"/>
    <x v="695"/>
    <x v="695"/>
    <x v="695"/>
    <x v="695"/>
    <x v="694"/>
    <x v="695"/>
    <x v="0"/>
    <x v="1"/>
    <x v="695"/>
    <x v="695"/>
    <x v="1"/>
  </r>
  <r>
    <x v="64"/>
    <x v="204"/>
    <x v="0"/>
    <x v="0"/>
    <x v="39"/>
    <x v="3"/>
    <x v="696"/>
    <x v="696"/>
    <x v="0"/>
    <x v="0"/>
    <x v="2"/>
    <x v="0"/>
    <x v="0"/>
    <x v="696"/>
    <x v="696"/>
    <x v="696"/>
    <x v="696"/>
    <x v="696"/>
    <x v="695"/>
    <x v="696"/>
    <x v="0"/>
    <x v="1"/>
    <x v="696"/>
    <x v="696"/>
    <x v="1"/>
  </r>
  <r>
    <x v="81"/>
    <x v="302"/>
    <x v="3"/>
    <x v="3"/>
    <x v="17"/>
    <x v="1"/>
    <x v="697"/>
    <x v="697"/>
    <x v="0"/>
    <x v="5"/>
    <x v="0"/>
    <x v="0"/>
    <x v="14"/>
    <x v="697"/>
    <x v="697"/>
    <x v="697"/>
    <x v="697"/>
    <x v="697"/>
    <x v="696"/>
    <x v="697"/>
    <x v="0"/>
    <x v="1"/>
    <x v="697"/>
    <x v="697"/>
    <x v="1"/>
  </r>
  <r>
    <x v="28"/>
    <x v="32"/>
    <x v="4"/>
    <x v="2"/>
    <x v="28"/>
    <x v="2"/>
    <x v="698"/>
    <x v="698"/>
    <x v="1"/>
    <x v="20"/>
    <x v="2"/>
    <x v="0"/>
    <x v="9"/>
    <x v="698"/>
    <x v="698"/>
    <x v="698"/>
    <x v="698"/>
    <x v="698"/>
    <x v="697"/>
    <x v="698"/>
    <x v="0"/>
    <x v="1"/>
    <x v="698"/>
    <x v="698"/>
    <x v="1"/>
  </r>
  <r>
    <x v="22"/>
    <x v="266"/>
    <x v="1"/>
    <x v="0"/>
    <x v="39"/>
    <x v="2"/>
    <x v="699"/>
    <x v="699"/>
    <x v="1"/>
    <x v="0"/>
    <x v="2"/>
    <x v="1"/>
    <x v="11"/>
    <x v="699"/>
    <x v="699"/>
    <x v="699"/>
    <x v="699"/>
    <x v="699"/>
    <x v="698"/>
    <x v="699"/>
    <x v="0"/>
    <x v="0"/>
    <x v="699"/>
    <x v="699"/>
    <x v="0"/>
  </r>
  <r>
    <x v="94"/>
    <x v="32"/>
    <x v="2"/>
    <x v="3"/>
    <x v="6"/>
    <x v="3"/>
    <x v="700"/>
    <x v="700"/>
    <x v="0"/>
    <x v="15"/>
    <x v="0"/>
    <x v="1"/>
    <x v="4"/>
    <x v="700"/>
    <x v="700"/>
    <x v="700"/>
    <x v="700"/>
    <x v="700"/>
    <x v="699"/>
    <x v="700"/>
    <x v="0"/>
    <x v="0"/>
    <x v="700"/>
    <x v="700"/>
    <x v="0"/>
  </r>
  <r>
    <x v="28"/>
    <x v="171"/>
    <x v="2"/>
    <x v="0"/>
    <x v="13"/>
    <x v="2"/>
    <x v="701"/>
    <x v="701"/>
    <x v="1"/>
    <x v="23"/>
    <x v="0"/>
    <x v="0"/>
    <x v="19"/>
    <x v="701"/>
    <x v="701"/>
    <x v="701"/>
    <x v="701"/>
    <x v="701"/>
    <x v="700"/>
    <x v="701"/>
    <x v="0"/>
    <x v="1"/>
    <x v="701"/>
    <x v="701"/>
    <x v="1"/>
  </r>
  <r>
    <x v="3"/>
    <x v="104"/>
    <x v="2"/>
    <x v="2"/>
    <x v="26"/>
    <x v="1"/>
    <x v="702"/>
    <x v="702"/>
    <x v="1"/>
    <x v="21"/>
    <x v="1"/>
    <x v="1"/>
    <x v="10"/>
    <x v="702"/>
    <x v="702"/>
    <x v="702"/>
    <x v="702"/>
    <x v="702"/>
    <x v="701"/>
    <x v="702"/>
    <x v="0"/>
    <x v="1"/>
    <x v="702"/>
    <x v="702"/>
    <x v="1"/>
  </r>
  <r>
    <x v="4"/>
    <x v="15"/>
    <x v="3"/>
    <x v="3"/>
    <x v="35"/>
    <x v="0"/>
    <x v="703"/>
    <x v="703"/>
    <x v="0"/>
    <x v="7"/>
    <x v="0"/>
    <x v="1"/>
    <x v="14"/>
    <x v="703"/>
    <x v="703"/>
    <x v="703"/>
    <x v="703"/>
    <x v="703"/>
    <x v="702"/>
    <x v="703"/>
    <x v="0"/>
    <x v="1"/>
    <x v="703"/>
    <x v="703"/>
    <x v="1"/>
  </r>
  <r>
    <x v="36"/>
    <x v="291"/>
    <x v="0"/>
    <x v="2"/>
    <x v="40"/>
    <x v="2"/>
    <x v="704"/>
    <x v="704"/>
    <x v="0"/>
    <x v="3"/>
    <x v="0"/>
    <x v="1"/>
    <x v="3"/>
    <x v="704"/>
    <x v="704"/>
    <x v="704"/>
    <x v="704"/>
    <x v="704"/>
    <x v="703"/>
    <x v="704"/>
    <x v="0"/>
    <x v="0"/>
    <x v="704"/>
    <x v="704"/>
    <x v="0"/>
  </r>
  <r>
    <x v="66"/>
    <x v="133"/>
    <x v="1"/>
    <x v="1"/>
    <x v="46"/>
    <x v="1"/>
    <x v="705"/>
    <x v="705"/>
    <x v="0"/>
    <x v="26"/>
    <x v="0"/>
    <x v="1"/>
    <x v="13"/>
    <x v="705"/>
    <x v="705"/>
    <x v="705"/>
    <x v="705"/>
    <x v="705"/>
    <x v="704"/>
    <x v="705"/>
    <x v="0"/>
    <x v="1"/>
    <x v="705"/>
    <x v="705"/>
    <x v="1"/>
  </r>
  <r>
    <x v="12"/>
    <x v="216"/>
    <x v="3"/>
    <x v="3"/>
    <x v="3"/>
    <x v="2"/>
    <x v="706"/>
    <x v="706"/>
    <x v="1"/>
    <x v="21"/>
    <x v="2"/>
    <x v="0"/>
    <x v="14"/>
    <x v="706"/>
    <x v="706"/>
    <x v="706"/>
    <x v="706"/>
    <x v="706"/>
    <x v="705"/>
    <x v="706"/>
    <x v="0"/>
    <x v="0"/>
    <x v="706"/>
    <x v="706"/>
    <x v="0"/>
  </r>
  <r>
    <x v="77"/>
    <x v="303"/>
    <x v="1"/>
    <x v="3"/>
    <x v="38"/>
    <x v="3"/>
    <x v="707"/>
    <x v="707"/>
    <x v="0"/>
    <x v="2"/>
    <x v="2"/>
    <x v="1"/>
    <x v="16"/>
    <x v="707"/>
    <x v="707"/>
    <x v="707"/>
    <x v="707"/>
    <x v="707"/>
    <x v="706"/>
    <x v="707"/>
    <x v="0"/>
    <x v="1"/>
    <x v="707"/>
    <x v="707"/>
    <x v="1"/>
  </r>
  <r>
    <x v="28"/>
    <x v="74"/>
    <x v="1"/>
    <x v="3"/>
    <x v="9"/>
    <x v="2"/>
    <x v="708"/>
    <x v="708"/>
    <x v="1"/>
    <x v="3"/>
    <x v="2"/>
    <x v="1"/>
    <x v="16"/>
    <x v="708"/>
    <x v="708"/>
    <x v="708"/>
    <x v="708"/>
    <x v="708"/>
    <x v="707"/>
    <x v="708"/>
    <x v="0"/>
    <x v="0"/>
    <x v="708"/>
    <x v="708"/>
    <x v="0"/>
  </r>
  <r>
    <x v="30"/>
    <x v="154"/>
    <x v="0"/>
    <x v="3"/>
    <x v="15"/>
    <x v="2"/>
    <x v="709"/>
    <x v="709"/>
    <x v="1"/>
    <x v="2"/>
    <x v="1"/>
    <x v="0"/>
    <x v="12"/>
    <x v="709"/>
    <x v="709"/>
    <x v="709"/>
    <x v="709"/>
    <x v="709"/>
    <x v="708"/>
    <x v="709"/>
    <x v="0"/>
    <x v="1"/>
    <x v="709"/>
    <x v="709"/>
    <x v="1"/>
  </r>
  <r>
    <x v="53"/>
    <x v="111"/>
    <x v="2"/>
    <x v="1"/>
    <x v="7"/>
    <x v="0"/>
    <x v="710"/>
    <x v="710"/>
    <x v="0"/>
    <x v="26"/>
    <x v="1"/>
    <x v="0"/>
    <x v="5"/>
    <x v="710"/>
    <x v="710"/>
    <x v="710"/>
    <x v="710"/>
    <x v="710"/>
    <x v="709"/>
    <x v="710"/>
    <x v="0"/>
    <x v="1"/>
    <x v="710"/>
    <x v="710"/>
    <x v="1"/>
  </r>
  <r>
    <x v="97"/>
    <x v="229"/>
    <x v="0"/>
    <x v="3"/>
    <x v="28"/>
    <x v="3"/>
    <x v="711"/>
    <x v="711"/>
    <x v="1"/>
    <x v="7"/>
    <x v="1"/>
    <x v="0"/>
    <x v="12"/>
    <x v="711"/>
    <x v="711"/>
    <x v="711"/>
    <x v="711"/>
    <x v="711"/>
    <x v="710"/>
    <x v="711"/>
    <x v="0"/>
    <x v="1"/>
    <x v="711"/>
    <x v="711"/>
    <x v="1"/>
  </r>
  <r>
    <x v="87"/>
    <x v="229"/>
    <x v="3"/>
    <x v="0"/>
    <x v="35"/>
    <x v="3"/>
    <x v="712"/>
    <x v="712"/>
    <x v="0"/>
    <x v="28"/>
    <x v="2"/>
    <x v="0"/>
    <x v="7"/>
    <x v="712"/>
    <x v="712"/>
    <x v="712"/>
    <x v="712"/>
    <x v="712"/>
    <x v="711"/>
    <x v="712"/>
    <x v="0"/>
    <x v="1"/>
    <x v="712"/>
    <x v="712"/>
    <x v="1"/>
  </r>
  <r>
    <x v="20"/>
    <x v="304"/>
    <x v="3"/>
    <x v="3"/>
    <x v="0"/>
    <x v="0"/>
    <x v="713"/>
    <x v="713"/>
    <x v="0"/>
    <x v="7"/>
    <x v="0"/>
    <x v="1"/>
    <x v="14"/>
    <x v="713"/>
    <x v="713"/>
    <x v="713"/>
    <x v="713"/>
    <x v="713"/>
    <x v="712"/>
    <x v="713"/>
    <x v="0"/>
    <x v="0"/>
    <x v="713"/>
    <x v="713"/>
    <x v="0"/>
  </r>
  <r>
    <x v="17"/>
    <x v="305"/>
    <x v="3"/>
    <x v="1"/>
    <x v="38"/>
    <x v="2"/>
    <x v="714"/>
    <x v="714"/>
    <x v="1"/>
    <x v="0"/>
    <x v="1"/>
    <x v="0"/>
    <x v="8"/>
    <x v="714"/>
    <x v="714"/>
    <x v="714"/>
    <x v="714"/>
    <x v="714"/>
    <x v="713"/>
    <x v="714"/>
    <x v="0"/>
    <x v="0"/>
    <x v="714"/>
    <x v="714"/>
    <x v="0"/>
  </r>
  <r>
    <x v="51"/>
    <x v="278"/>
    <x v="0"/>
    <x v="3"/>
    <x v="28"/>
    <x v="1"/>
    <x v="715"/>
    <x v="715"/>
    <x v="1"/>
    <x v="19"/>
    <x v="1"/>
    <x v="1"/>
    <x v="12"/>
    <x v="715"/>
    <x v="715"/>
    <x v="715"/>
    <x v="715"/>
    <x v="715"/>
    <x v="714"/>
    <x v="715"/>
    <x v="0"/>
    <x v="1"/>
    <x v="715"/>
    <x v="715"/>
    <x v="1"/>
  </r>
  <r>
    <x v="22"/>
    <x v="147"/>
    <x v="1"/>
    <x v="0"/>
    <x v="24"/>
    <x v="3"/>
    <x v="716"/>
    <x v="716"/>
    <x v="0"/>
    <x v="4"/>
    <x v="2"/>
    <x v="1"/>
    <x v="11"/>
    <x v="716"/>
    <x v="716"/>
    <x v="716"/>
    <x v="716"/>
    <x v="716"/>
    <x v="715"/>
    <x v="716"/>
    <x v="0"/>
    <x v="1"/>
    <x v="716"/>
    <x v="716"/>
    <x v="1"/>
  </r>
  <r>
    <x v="44"/>
    <x v="306"/>
    <x v="1"/>
    <x v="1"/>
    <x v="26"/>
    <x v="3"/>
    <x v="717"/>
    <x v="717"/>
    <x v="0"/>
    <x v="20"/>
    <x v="1"/>
    <x v="0"/>
    <x v="13"/>
    <x v="717"/>
    <x v="717"/>
    <x v="717"/>
    <x v="717"/>
    <x v="717"/>
    <x v="716"/>
    <x v="717"/>
    <x v="0"/>
    <x v="1"/>
    <x v="717"/>
    <x v="717"/>
    <x v="1"/>
  </r>
  <r>
    <x v="64"/>
    <x v="307"/>
    <x v="4"/>
    <x v="1"/>
    <x v="33"/>
    <x v="2"/>
    <x v="718"/>
    <x v="718"/>
    <x v="0"/>
    <x v="18"/>
    <x v="0"/>
    <x v="0"/>
    <x v="17"/>
    <x v="718"/>
    <x v="718"/>
    <x v="718"/>
    <x v="718"/>
    <x v="718"/>
    <x v="717"/>
    <x v="718"/>
    <x v="0"/>
    <x v="0"/>
    <x v="718"/>
    <x v="718"/>
    <x v="0"/>
  </r>
  <r>
    <x v="82"/>
    <x v="253"/>
    <x v="3"/>
    <x v="0"/>
    <x v="32"/>
    <x v="2"/>
    <x v="719"/>
    <x v="719"/>
    <x v="0"/>
    <x v="17"/>
    <x v="2"/>
    <x v="1"/>
    <x v="7"/>
    <x v="719"/>
    <x v="719"/>
    <x v="719"/>
    <x v="719"/>
    <x v="719"/>
    <x v="718"/>
    <x v="719"/>
    <x v="0"/>
    <x v="0"/>
    <x v="719"/>
    <x v="719"/>
    <x v="0"/>
  </r>
  <r>
    <x v="64"/>
    <x v="277"/>
    <x v="1"/>
    <x v="0"/>
    <x v="43"/>
    <x v="3"/>
    <x v="720"/>
    <x v="720"/>
    <x v="0"/>
    <x v="15"/>
    <x v="2"/>
    <x v="1"/>
    <x v="11"/>
    <x v="720"/>
    <x v="720"/>
    <x v="720"/>
    <x v="720"/>
    <x v="720"/>
    <x v="719"/>
    <x v="720"/>
    <x v="0"/>
    <x v="1"/>
    <x v="720"/>
    <x v="720"/>
    <x v="1"/>
  </r>
  <r>
    <x v="4"/>
    <x v="64"/>
    <x v="4"/>
    <x v="0"/>
    <x v="27"/>
    <x v="2"/>
    <x v="721"/>
    <x v="721"/>
    <x v="0"/>
    <x v="13"/>
    <x v="0"/>
    <x v="0"/>
    <x v="15"/>
    <x v="721"/>
    <x v="721"/>
    <x v="721"/>
    <x v="721"/>
    <x v="721"/>
    <x v="720"/>
    <x v="721"/>
    <x v="0"/>
    <x v="0"/>
    <x v="721"/>
    <x v="721"/>
    <x v="0"/>
  </r>
  <r>
    <x v="31"/>
    <x v="308"/>
    <x v="1"/>
    <x v="0"/>
    <x v="43"/>
    <x v="1"/>
    <x v="722"/>
    <x v="722"/>
    <x v="1"/>
    <x v="6"/>
    <x v="0"/>
    <x v="0"/>
    <x v="11"/>
    <x v="722"/>
    <x v="722"/>
    <x v="722"/>
    <x v="722"/>
    <x v="722"/>
    <x v="721"/>
    <x v="722"/>
    <x v="0"/>
    <x v="1"/>
    <x v="722"/>
    <x v="722"/>
    <x v="1"/>
  </r>
  <r>
    <x v="5"/>
    <x v="309"/>
    <x v="3"/>
    <x v="0"/>
    <x v="33"/>
    <x v="3"/>
    <x v="723"/>
    <x v="723"/>
    <x v="1"/>
    <x v="20"/>
    <x v="0"/>
    <x v="0"/>
    <x v="7"/>
    <x v="723"/>
    <x v="723"/>
    <x v="723"/>
    <x v="723"/>
    <x v="723"/>
    <x v="722"/>
    <x v="723"/>
    <x v="0"/>
    <x v="0"/>
    <x v="723"/>
    <x v="723"/>
    <x v="0"/>
  </r>
  <r>
    <x v="29"/>
    <x v="217"/>
    <x v="2"/>
    <x v="1"/>
    <x v="28"/>
    <x v="1"/>
    <x v="724"/>
    <x v="724"/>
    <x v="1"/>
    <x v="18"/>
    <x v="1"/>
    <x v="1"/>
    <x v="5"/>
    <x v="724"/>
    <x v="724"/>
    <x v="724"/>
    <x v="724"/>
    <x v="724"/>
    <x v="723"/>
    <x v="724"/>
    <x v="0"/>
    <x v="0"/>
    <x v="724"/>
    <x v="724"/>
    <x v="0"/>
  </r>
  <r>
    <x v="59"/>
    <x v="212"/>
    <x v="3"/>
    <x v="1"/>
    <x v="25"/>
    <x v="1"/>
    <x v="725"/>
    <x v="725"/>
    <x v="1"/>
    <x v="11"/>
    <x v="0"/>
    <x v="1"/>
    <x v="8"/>
    <x v="725"/>
    <x v="725"/>
    <x v="725"/>
    <x v="725"/>
    <x v="725"/>
    <x v="724"/>
    <x v="725"/>
    <x v="0"/>
    <x v="0"/>
    <x v="725"/>
    <x v="725"/>
    <x v="0"/>
  </r>
  <r>
    <x v="8"/>
    <x v="48"/>
    <x v="0"/>
    <x v="3"/>
    <x v="43"/>
    <x v="2"/>
    <x v="726"/>
    <x v="726"/>
    <x v="0"/>
    <x v="10"/>
    <x v="2"/>
    <x v="0"/>
    <x v="12"/>
    <x v="726"/>
    <x v="726"/>
    <x v="726"/>
    <x v="726"/>
    <x v="726"/>
    <x v="725"/>
    <x v="726"/>
    <x v="0"/>
    <x v="1"/>
    <x v="726"/>
    <x v="726"/>
    <x v="1"/>
  </r>
  <r>
    <x v="49"/>
    <x v="236"/>
    <x v="1"/>
    <x v="3"/>
    <x v="44"/>
    <x v="1"/>
    <x v="727"/>
    <x v="727"/>
    <x v="1"/>
    <x v="26"/>
    <x v="0"/>
    <x v="1"/>
    <x v="16"/>
    <x v="727"/>
    <x v="727"/>
    <x v="727"/>
    <x v="727"/>
    <x v="727"/>
    <x v="726"/>
    <x v="727"/>
    <x v="0"/>
    <x v="1"/>
    <x v="727"/>
    <x v="727"/>
    <x v="1"/>
  </r>
  <r>
    <x v="73"/>
    <x v="306"/>
    <x v="1"/>
    <x v="2"/>
    <x v="5"/>
    <x v="2"/>
    <x v="728"/>
    <x v="728"/>
    <x v="1"/>
    <x v="3"/>
    <x v="2"/>
    <x v="0"/>
    <x v="2"/>
    <x v="728"/>
    <x v="728"/>
    <x v="728"/>
    <x v="728"/>
    <x v="728"/>
    <x v="727"/>
    <x v="728"/>
    <x v="0"/>
    <x v="0"/>
    <x v="728"/>
    <x v="728"/>
    <x v="0"/>
  </r>
  <r>
    <x v="88"/>
    <x v="310"/>
    <x v="0"/>
    <x v="3"/>
    <x v="19"/>
    <x v="0"/>
    <x v="729"/>
    <x v="729"/>
    <x v="0"/>
    <x v="13"/>
    <x v="2"/>
    <x v="1"/>
    <x v="12"/>
    <x v="729"/>
    <x v="729"/>
    <x v="729"/>
    <x v="729"/>
    <x v="729"/>
    <x v="728"/>
    <x v="729"/>
    <x v="0"/>
    <x v="1"/>
    <x v="729"/>
    <x v="729"/>
    <x v="1"/>
  </r>
  <r>
    <x v="94"/>
    <x v="207"/>
    <x v="0"/>
    <x v="3"/>
    <x v="27"/>
    <x v="2"/>
    <x v="730"/>
    <x v="730"/>
    <x v="1"/>
    <x v="1"/>
    <x v="1"/>
    <x v="1"/>
    <x v="12"/>
    <x v="730"/>
    <x v="730"/>
    <x v="730"/>
    <x v="730"/>
    <x v="730"/>
    <x v="729"/>
    <x v="730"/>
    <x v="0"/>
    <x v="1"/>
    <x v="730"/>
    <x v="730"/>
    <x v="1"/>
  </r>
  <r>
    <x v="84"/>
    <x v="31"/>
    <x v="2"/>
    <x v="0"/>
    <x v="43"/>
    <x v="1"/>
    <x v="731"/>
    <x v="731"/>
    <x v="0"/>
    <x v="19"/>
    <x v="0"/>
    <x v="0"/>
    <x v="19"/>
    <x v="731"/>
    <x v="731"/>
    <x v="731"/>
    <x v="731"/>
    <x v="731"/>
    <x v="730"/>
    <x v="731"/>
    <x v="0"/>
    <x v="1"/>
    <x v="731"/>
    <x v="731"/>
    <x v="1"/>
  </r>
  <r>
    <x v="37"/>
    <x v="112"/>
    <x v="1"/>
    <x v="0"/>
    <x v="46"/>
    <x v="0"/>
    <x v="732"/>
    <x v="732"/>
    <x v="0"/>
    <x v="16"/>
    <x v="1"/>
    <x v="0"/>
    <x v="11"/>
    <x v="732"/>
    <x v="732"/>
    <x v="732"/>
    <x v="732"/>
    <x v="732"/>
    <x v="731"/>
    <x v="732"/>
    <x v="0"/>
    <x v="1"/>
    <x v="732"/>
    <x v="732"/>
    <x v="1"/>
  </r>
  <r>
    <x v="31"/>
    <x v="294"/>
    <x v="1"/>
    <x v="3"/>
    <x v="0"/>
    <x v="2"/>
    <x v="733"/>
    <x v="733"/>
    <x v="0"/>
    <x v="16"/>
    <x v="0"/>
    <x v="0"/>
    <x v="16"/>
    <x v="733"/>
    <x v="733"/>
    <x v="733"/>
    <x v="733"/>
    <x v="733"/>
    <x v="732"/>
    <x v="733"/>
    <x v="0"/>
    <x v="0"/>
    <x v="733"/>
    <x v="733"/>
    <x v="0"/>
  </r>
  <r>
    <x v="24"/>
    <x v="147"/>
    <x v="2"/>
    <x v="2"/>
    <x v="34"/>
    <x v="1"/>
    <x v="734"/>
    <x v="734"/>
    <x v="0"/>
    <x v="10"/>
    <x v="0"/>
    <x v="1"/>
    <x v="10"/>
    <x v="734"/>
    <x v="734"/>
    <x v="734"/>
    <x v="734"/>
    <x v="734"/>
    <x v="733"/>
    <x v="734"/>
    <x v="0"/>
    <x v="1"/>
    <x v="734"/>
    <x v="734"/>
    <x v="1"/>
  </r>
  <r>
    <x v="39"/>
    <x v="189"/>
    <x v="4"/>
    <x v="0"/>
    <x v="45"/>
    <x v="3"/>
    <x v="735"/>
    <x v="735"/>
    <x v="0"/>
    <x v="4"/>
    <x v="0"/>
    <x v="1"/>
    <x v="15"/>
    <x v="735"/>
    <x v="735"/>
    <x v="735"/>
    <x v="735"/>
    <x v="735"/>
    <x v="734"/>
    <x v="735"/>
    <x v="0"/>
    <x v="0"/>
    <x v="735"/>
    <x v="735"/>
    <x v="0"/>
  </r>
  <r>
    <x v="2"/>
    <x v="118"/>
    <x v="2"/>
    <x v="3"/>
    <x v="18"/>
    <x v="3"/>
    <x v="736"/>
    <x v="736"/>
    <x v="1"/>
    <x v="19"/>
    <x v="0"/>
    <x v="0"/>
    <x v="4"/>
    <x v="736"/>
    <x v="736"/>
    <x v="736"/>
    <x v="736"/>
    <x v="736"/>
    <x v="735"/>
    <x v="736"/>
    <x v="0"/>
    <x v="1"/>
    <x v="736"/>
    <x v="736"/>
    <x v="1"/>
  </r>
  <r>
    <x v="96"/>
    <x v="218"/>
    <x v="3"/>
    <x v="3"/>
    <x v="5"/>
    <x v="2"/>
    <x v="737"/>
    <x v="737"/>
    <x v="1"/>
    <x v="28"/>
    <x v="0"/>
    <x v="1"/>
    <x v="14"/>
    <x v="737"/>
    <x v="737"/>
    <x v="737"/>
    <x v="737"/>
    <x v="737"/>
    <x v="736"/>
    <x v="737"/>
    <x v="0"/>
    <x v="1"/>
    <x v="737"/>
    <x v="737"/>
    <x v="1"/>
  </r>
  <r>
    <x v="66"/>
    <x v="64"/>
    <x v="1"/>
    <x v="1"/>
    <x v="27"/>
    <x v="2"/>
    <x v="738"/>
    <x v="738"/>
    <x v="1"/>
    <x v="3"/>
    <x v="2"/>
    <x v="0"/>
    <x v="13"/>
    <x v="738"/>
    <x v="738"/>
    <x v="738"/>
    <x v="738"/>
    <x v="738"/>
    <x v="737"/>
    <x v="738"/>
    <x v="0"/>
    <x v="0"/>
    <x v="738"/>
    <x v="738"/>
    <x v="0"/>
  </r>
  <r>
    <x v="52"/>
    <x v="311"/>
    <x v="0"/>
    <x v="2"/>
    <x v="25"/>
    <x v="3"/>
    <x v="739"/>
    <x v="739"/>
    <x v="0"/>
    <x v="6"/>
    <x v="2"/>
    <x v="1"/>
    <x v="3"/>
    <x v="739"/>
    <x v="739"/>
    <x v="739"/>
    <x v="739"/>
    <x v="739"/>
    <x v="738"/>
    <x v="739"/>
    <x v="0"/>
    <x v="1"/>
    <x v="739"/>
    <x v="739"/>
    <x v="1"/>
  </r>
  <r>
    <x v="12"/>
    <x v="312"/>
    <x v="3"/>
    <x v="1"/>
    <x v="47"/>
    <x v="1"/>
    <x v="740"/>
    <x v="740"/>
    <x v="1"/>
    <x v="24"/>
    <x v="0"/>
    <x v="0"/>
    <x v="8"/>
    <x v="740"/>
    <x v="740"/>
    <x v="740"/>
    <x v="740"/>
    <x v="740"/>
    <x v="739"/>
    <x v="740"/>
    <x v="0"/>
    <x v="1"/>
    <x v="740"/>
    <x v="740"/>
    <x v="1"/>
  </r>
  <r>
    <x v="93"/>
    <x v="313"/>
    <x v="1"/>
    <x v="2"/>
    <x v="41"/>
    <x v="1"/>
    <x v="741"/>
    <x v="741"/>
    <x v="1"/>
    <x v="29"/>
    <x v="2"/>
    <x v="1"/>
    <x v="2"/>
    <x v="741"/>
    <x v="741"/>
    <x v="741"/>
    <x v="741"/>
    <x v="741"/>
    <x v="740"/>
    <x v="741"/>
    <x v="0"/>
    <x v="1"/>
    <x v="741"/>
    <x v="741"/>
    <x v="1"/>
  </r>
  <r>
    <x v="7"/>
    <x v="267"/>
    <x v="2"/>
    <x v="0"/>
    <x v="9"/>
    <x v="1"/>
    <x v="742"/>
    <x v="742"/>
    <x v="1"/>
    <x v="21"/>
    <x v="1"/>
    <x v="1"/>
    <x v="19"/>
    <x v="742"/>
    <x v="742"/>
    <x v="742"/>
    <x v="742"/>
    <x v="742"/>
    <x v="741"/>
    <x v="742"/>
    <x v="0"/>
    <x v="0"/>
    <x v="742"/>
    <x v="742"/>
    <x v="0"/>
  </r>
  <r>
    <x v="84"/>
    <x v="105"/>
    <x v="3"/>
    <x v="2"/>
    <x v="11"/>
    <x v="2"/>
    <x v="743"/>
    <x v="743"/>
    <x v="1"/>
    <x v="20"/>
    <x v="1"/>
    <x v="1"/>
    <x v="6"/>
    <x v="743"/>
    <x v="743"/>
    <x v="743"/>
    <x v="743"/>
    <x v="743"/>
    <x v="742"/>
    <x v="743"/>
    <x v="0"/>
    <x v="1"/>
    <x v="743"/>
    <x v="743"/>
    <x v="1"/>
  </r>
  <r>
    <x v="8"/>
    <x v="185"/>
    <x v="1"/>
    <x v="3"/>
    <x v="28"/>
    <x v="0"/>
    <x v="744"/>
    <x v="744"/>
    <x v="0"/>
    <x v="19"/>
    <x v="1"/>
    <x v="1"/>
    <x v="16"/>
    <x v="744"/>
    <x v="744"/>
    <x v="744"/>
    <x v="744"/>
    <x v="744"/>
    <x v="743"/>
    <x v="744"/>
    <x v="0"/>
    <x v="1"/>
    <x v="744"/>
    <x v="744"/>
    <x v="1"/>
  </r>
  <r>
    <x v="70"/>
    <x v="73"/>
    <x v="4"/>
    <x v="3"/>
    <x v="3"/>
    <x v="0"/>
    <x v="745"/>
    <x v="745"/>
    <x v="1"/>
    <x v="4"/>
    <x v="0"/>
    <x v="0"/>
    <x v="18"/>
    <x v="745"/>
    <x v="745"/>
    <x v="745"/>
    <x v="745"/>
    <x v="745"/>
    <x v="744"/>
    <x v="745"/>
    <x v="0"/>
    <x v="0"/>
    <x v="745"/>
    <x v="745"/>
    <x v="0"/>
  </r>
  <r>
    <x v="55"/>
    <x v="248"/>
    <x v="4"/>
    <x v="2"/>
    <x v="17"/>
    <x v="0"/>
    <x v="746"/>
    <x v="746"/>
    <x v="0"/>
    <x v="6"/>
    <x v="0"/>
    <x v="1"/>
    <x v="9"/>
    <x v="746"/>
    <x v="746"/>
    <x v="746"/>
    <x v="746"/>
    <x v="746"/>
    <x v="745"/>
    <x v="746"/>
    <x v="0"/>
    <x v="1"/>
    <x v="746"/>
    <x v="746"/>
    <x v="1"/>
  </r>
  <r>
    <x v="78"/>
    <x v="309"/>
    <x v="0"/>
    <x v="2"/>
    <x v="28"/>
    <x v="0"/>
    <x v="747"/>
    <x v="747"/>
    <x v="0"/>
    <x v="5"/>
    <x v="2"/>
    <x v="0"/>
    <x v="3"/>
    <x v="747"/>
    <x v="747"/>
    <x v="747"/>
    <x v="747"/>
    <x v="747"/>
    <x v="746"/>
    <x v="747"/>
    <x v="0"/>
    <x v="1"/>
    <x v="747"/>
    <x v="747"/>
    <x v="1"/>
  </r>
  <r>
    <x v="93"/>
    <x v="55"/>
    <x v="1"/>
    <x v="2"/>
    <x v="32"/>
    <x v="0"/>
    <x v="748"/>
    <x v="748"/>
    <x v="1"/>
    <x v="9"/>
    <x v="2"/>
    <x v="0"/>
    <x v="2"/>
    <x v="748"/>
    <x v="748"/>
    <x v="748"/>
    <x v="748"/>
    <x v="748"/>
    <x v="747"/>
    <x v="748"/>
    <x v="0"/>
    <x v="1"/>
    <x v="748"/>
    <x v="748"/>
    <x v="1"/>
  </r>
  <r>
    <x v="3"/>
    <x v="314"/>
    <x v="4"/>
    <x v="1"/>
    <x v="26"/>
    <x v="2"/>
    <x v="749"/>
    <x v="749"/>
    <x v="0"/>
    <x v="21"/>
    <x v="2"/>
    <x v="0"/>
    <x v="17"/>
    <x v="749"/>
    <x v="749"/>
    <x v="749"/>
    <x v="749"/>
    <x v="749"/>
    <x v="748"/>
    <x v="749"/>
    <x v="0"/>
    <x v="0"/>
    <x v="749"/>
    <x v="749"/>
    <x v="0"/>
  </r>
  <r>
    <x v="21"/>
    <x v="172"/>
    <x v="2"/>
    <x v="2"/>
    <x v="25"/>
    <x v="2"/>
    <x v="750"/>
    <x v="750"/>
    <x v="0"/>
    <x v="5"/>
    <x v="1"/>
    <x v="0"/>
    <x v="10"/>
    <x v="750"/>
    <x v="750"/>
    <x v="750"/>
    <x v="750"/>
    <x v="750"/>
    <x v="749"/>
    <x v="750"/>
    <x v="0"/>
    <x v="1"/>
    <x v="750"/>
    <x v="750"/>
    <x v="1"/>
  </r>
  <r>
    <x v="11"/>
    <x v="143"/>
    <x v="1"/>
    <x v="0"/>
    <x v="1"/>
    <x v="0"/>
    <x v="751"/>
    <x v="751"/>
    <x v="0"/>
    <x v="29"/>
    <x v="1"/>
    <x v="1"/>
    <x v="11"/>
    <x v="751"/>
    <x v="751"/>
    <x v="751"/>
    <x v="751"/>
    <x v="751"/>
    <x v="750"/>
    <x v="751"/>
    <x v="0"/>
    <x v="1"/>
    <x v="751"/>
    <x v="751"/>
    <x v="1"/>
  </r>
  <r>
    <x v="69"/>
    <x v="34"/>
    <x v="2"/>
    <x v="1"/>
    <x v="27"/>
    <x v="2"/>
    <x v="752"/>
    <x v="752"/>
    <x v="0"/>
    <x v="2"/>
    <x v="1"/>
    <x v="0"/>
    <x v="5"/>
    <x v="752"/>
    <x v="752"/>
    <x v="752"/>
    <x v="752"/>
    <x v="752"/>
    <x v="751"/>
    <x v="752"/>
    <x v="0"/>
    <x v="1"/>
    <x v="752"/>
    <x v="752"/>
    <x v="1"/>
  </r>
  <r>
    <x v="45"/>
    <x v="266"/>
    <x v="2"/>
    <x v="1"/>
    <x v="18"/>
    <x v="2"/>
    <x v="753"/>
    <x v="753"/>
    <x v="0"/>
    <x v="10"/>
    <x v="1"/>
    <x v="1"/>
    <x v="5"/>
    <x v="753"/>
    <x v="753"/>
    <x v="753"/>
    <x v="753"/>
    <x v="753"/>
    <x v="752"/>
    <x v="753"/>
    <x v="0"/>
    <x v="1"/>
    <x v="753"/>
    <x v="753"/>
    <x v="1"/>
  </r>
  <r>
    <x v="28"/>
    <x v="217"/>
    <x v="4"/>
    <x v="2"/>
    <x v="28"/>
    <x v="0"/>
    <x v="754"/>
    <x v="754"/>
    <x v="0"/>
    <x v="1"/>
    <x v="2"/>
    <x v="1"/>
    <x v="9"/>
    <x v="754"/>
    <x v="754"/>
    <x v="754"/>
    <x v="754"/>
    <x v="754"/>
    <x v="753"/>
    <x v="754"/>
    <x v="0"/>
    <x v="1"/>
    <x v="754"/>
    <x v="754"/>
    <x v="1"/>
  </r>
  <r>
    <x v="49"/>
    <x v="176"/>
    <x v="1"/>
    <x v="0"/>
    <x v="48"/>
    <x v="1"/>
    <x v="755"/>
    <x v="755"/>
    <x v="0"/>
    <x v="8"/>
    <x v="0"/>
    <x v="1"/>
    <x v="11"/>
    <x v="755"/>
    <x v="755"/>
    <x v="755"/>
    <x v="755"/>
    <x v="755"/>
    <x v="754"/>
    <x v="755"/>
    <x v="0"/>
    <x v="0"/>
    <x v="755"/>
    <x v="755"/>
    <x v="0"/>
  </r>
  <r>
    <x v="41"/>
    <x v="13"/>
    <x v="3"/>
    <x v="1"/>
    <x v="7"/>
    <x v="2"/>
    <x v="756"/>
    <x v="756"/>
    <x v="1"/>
    <x v="27"/>
    <x v="0"/>
    <x v="1"/>
    <x v="8"/>
    <x v="756"/>
    <x v="756"/>
    <x v="756"/>
    <x v="756"/>
    <x v="756"/>
    <x v="755"/>
    <x v="756"/>
    <x v="0"/>
    <x v="1"/>
    <x v="756"/>
    <x v="756"/>
    <x v="1"/>
  </r>
  <r>
    <x v="45"/>
    <x v="315"/>
    <x v="4"/>
    <x v="3"/>
    <x v="5"/>
    <x v="1"/>
    <x v="757"/>
    <x v="757"/>
    <x v="1"/>
    <x v="15"/>
    <x v="1"/>
    <x v="0"/>
    <x v="18"/>
    <x v="757"/>
    <x v="757"/>
    <x v="757"/>
    <x v="757"/>
    <x v="757"/>
    <x v="756"/>
    <x v="757"/>
    <x v="0"/>
    <x v="1"/>
    <x v="757"/>
    <x v="757"/>
    <x v="1"/>
  </r>
  <r>
    <x v="22"/>
    <x v="49"/>
    <x v="4"/>
    <x v="1"/>
    <x v="13"/>
    <x v="2"/>
    <x v="758"/>
    <x v="758"/>
    <x v="0"/>
    <x v="16"/>
    <x v="0"/>
    <x v="1"/>
    <x v="17"/>
    <x v="758"/>
    <x v="758"/>
    <x v="758"/>
    <x v="758"/>
    <x v="758"/>
    <x v="757"/>
    <x v="758"/>
    <x v="0"/>
    <x v="0"/>
    <x v="758"/>
    <x v="758"/>
    <x v="0"/>
  </r>
  <r>
    <x v="19"/>
    <x v="316"/>
    <x v="1"/>
    <x v="2"/>
    <x v="16"/>
    <x v="2"/>
    <x v="759"/>
    <x v="759"/>
    <x v="0"/>
    <x v="14"/>
    <x v="0"/>
    <x v="0"/>
    <x v="2"/>
    <x v="759"/>
    <x v="759"/>
    <x v="759"/>
    <x v="759"/>
    <x v="759"/>
    <x v="758"/>
    <x v="759"/>
    <x v="0"/>
    <x v="0"/>
    <x v="759"/>
    <x v="759"/>
    <x v="0"/>
  </r>
  <r>
    <x v="50"/>
    <x v="314"/>
    <x v="1"/>
    <x v="0"/>
    <x v="1"/>
    <x v="0"/>
    <x v="760"/>
    <x v="760"/>
    <x v="1"/>
    <x v="9"/>
    <x v="0"/>
    <x v="1"/>
    <x v="11"/>
    <x v="760"/>
    <x v="760"/>
    <x v="760"/>
    <x v="760"/>
    <x v="760"/>
    <x v="759"/>
    <x v="760"/>
    <x v="0"/>
    <x v="1"/>
    <x v="760"/>
    <x v="760"/>
    <x v="1"/>
  </r>
  <r>
    <x v="69"/>
    <x v="185"/>
    <x v="2"/>
    <x v="2"/>
    <x v="36"/>
    <x v="2"/>
    <x v="761"/>
    <x v="761"/>
    <x v="1"/>
    <x v="7"/>
    <x v="1"/>
    <x v="1"/>
    <x v="10"/>
    <x v="761"/>
    <x v="761"/>
    <x v="761"/>
    <x v="761"/>
    <x v="761"/>
    <x v="760"/>
    <x v="761"/>
    <x v="0"/>
    <x v="1"/>
    <x v="761"/>
    <x v="761"/>
    <x v="1"/>
  </r>
  <r>
    <x v="28"/>
    <x v="78"/>
    <x v="1"/>
    <x v="3"/>
    <x v="20"/>
    <x v="3"/>
    <x v="762"/>
    <x v="762"/>
    <x v="1"/>
    <x v="24"/>
    <x v="2"/>
    <x v="0"/>
    <x v="16"/>
    <x v="762"/>
    <x v="762"/>
    <x v="762"/>
    <x v="762"/>
    <x v="762"/>
    <x v="761"/>
    <x v="762"/>
    <x v="0"/>
    <x v="1"/>
    <x v="762"/>
    <x v="762"/>
    <x v="1"/>
  </r>
  <r>
    <x v="62"/>
    <x v="88"/>
    <x v="2"/>
    <x v="3"/>
    <x v="16"/>
    <x v="3"/>
    <x v="763"/>
    <x v="763"/>
    <x v="1"/>
    <x v="8"/>
    <x v="2"/>
    <x v="1"/>
    <x v="4"/>
    <x v="763"/>
    <x v="763"/>
    <x v="763"/>
    <x v="763"/>
    <x v="763"/>
    <x v="762"/>
    <x v="763"/>
    <x v="0"/>
    <x v="1"/>
    <x v="763"/>
    <x v="763"/>
    <x v="1"/>
  </r>
  <r>
    <x v="10"/>
    <x v="38"/>
    <x v="4"/>
    <x v="3"/>
    <x v="24"/>
    <x v="0"/>
    <x v="764"/>
    <x v="764"/>
    <x v="0"/>
    <x v="11"/>
    <x v="0"/>
    <x v="1"/>
    <x v="18"/>
    <x v="764"/>
    <x v="764"/>
    <x v="764"/>
    <x v="764"/>
    <x v="764"/>
    <x v="763"/>
    <x v="764"/>
    <x v="0"/>
    <x v="0"/>
    <x v="764"/>
    <x v="764"/>
    <x v="0"/>
  </r>
  <r>
    <x v="18"/>
    <x v="195"/>
    <x v="0"/>
    <x v="2"/>
    <x v="47"/>
    <x v="1"/>
    <x v="765"/>
    <x v="765"/>
    <x v="0"/>
    <x v="17"/>
    <x v="2"/>
    <x v="1"/>
    <x v="3"/>
    <x v="765"/>
    <x v="765"/>
    <x v="765"/>
    <x v="765"/>
    <x v="765"/>
    <x v="764"/>
    <x v="765"/>
    <x v="0"/>
    <x v="0"/>
    <x v="765"/>
    <x v="765"/>
    <x v="0"/>
  </r>
  <r>
    <x v="75"/>
    <x v="299"/>
    <x v="3"/>
    <x v="1"/>
    <x v="27"/>
    <x v="1"/>
    <x v="766"/>
    <x v="766"/>
    <x v="1"/>
    <x v="26"/>
    <x v="2"/>
    <x v="1"/>
    <x v="8"/>
    <x v="766"/>
    <x v="766"/>
    <x v="766"/>
    <x v="766"/>
    <x v="766"/>
    <x v="765"/>
    <x v="766"/>
    <x v="0"/>
    <x v="1"/>
    <x v="766"/>
    <x v="766"/>
    <x v="1"/>
  </r>
  <r>
    <x v="53"/>
    <x v="235"/>
    <x v="4"/>
    <x v="2"/>
    <x v="30"/>
    <x v="1"/>
    <x v="767"/>
    <x v="767"/>
    <x v="1"/>
    <x v="18"/>
    <x v="1"/>
    <x v="1"/>
    <x v="9"/>
    <x v="767"/>
    <x v="767"/>
    <x v="767"/>
    <x v="767"/>
    <x v="767"/>
    <x v="766"/>
    <x v="767"/>
    <x v="0"/>
    <x v="0"/>
    <x v="767"/>
    <x v="767"/>
    <x v="0"/>
  </r>
  <r>
    <x v="90"/>
    <x v="125"/>
    <x v="1"/>
    <x v="0"/>
    <x v="18"/>
    <x v="3"/>
    <x v="768"/>
    <x v="768"/>
    <x v="1"/>
    <x v="17"/>
    <x v="1"/>
    <x v="0"/>
    <x v="11"/>
    <x v="768"/>
    <x v="768"/>
    <x v="768"/>
    <x v="768"/>
    <x v="768"/>
    <x v="767"/>
    <x v="768"/>
    <x v="0"/>
    <x v="0"/>
    <x v="768"/>
    <x v="768"/>
    <x v="0"/>
  </r>
  <r>
    <x v="35"/>
    <x v="317"/>
    <x v="3"/>
    <x v="1"/>
    <x v="11"/>
    <x v="1"/>
    <x v="769"/>
    <x v="769"/>
    <x v="1"/>
    <x v="14"/>
    <x v="0"/>
    <x v="1"/>
    <x v="8"/>
    <x v="769"/>
    <x v="769"/>
    <x v="769"/>
    <x v="769"/>
    <x v="769"/>
    <x v="768"/>
    <x v="769"/>
    <x v="0"/>
    <x v="0"/>
    <x v="769"/>
    <x v="769"/>
    <x v="0"/>
  </r>
  <r>
    <x v="20"/>
    <x v="318"/>
    <x v="0"/>
    <x v="3"/>
    <x v="28"/>
    <x v="1"/>
    <x v="770"/>
    <x v="770"/>
    <x v="0"/>
    <x v="5"/>
    <x v="0"/>
    <x v="1"/>
    <x v="12"/>
    <x v="770"/>
    <x v="770"/>
    <x v="770"/>
    <x v="770"/>
    <x v="770"/>
    <x v="769"/>
    <x v="770"/>
    <x v="0"/>
    <x v="0"/>
    <x v="770"/>
    <x v="770"/>
    <x v="0"/>
  </r>
  <r>
    <x v="42"/>
    <x v="50"/>
    <x v="0"/>
    <x v="2"/>
    <x v="13"/>
    <x v="0"/>
    <x v="771"/>
    <x v="771"/>
    <x v="1"/>
    <x v="3"/>
    <x v="0"/>
    <x v="0"/>
    <x v="3"/>
    <x v="771"/>
    <x v="771"/>
    <x v="771"/>
    <x v="771"/>
    <x v="771"/>
    <x v="770"/>
    <x v="771"/>
    <x v="0"/>
    <x v="0"/>
    <x v="771"/>
    <x v="771"/>
    <x v="0"/>
  </r>
  <r>
    <x v="77"/>
    <x v="244"/>
    <x v="2"/>
    <x v="3"/>
    <x v="8"/>
    <x v="1"/>
    <x v="772"/>
    <x v="772"/>
    <x v="1"/>
    <x v="15"/>
    <x v="1"/>
    <x v="1"/>
    <x v="4"/>
    <x v="772"/>
    <x v="772"/>
    <x v="772"/>
    <x v="772"/>
    <x v="772"/>
    <x v="771"/>
    <x v="772"/>
    <x v="0"/>
    <x v="1"/>
    <x v="772"/>
    <x v="772"/>
    <x v="1"/>
  </r>
  <r>
    <x v="28"/>
    <x v="319"/>
    <x v="3"/>
    <x v="3"/>
    <x v="19"/>
    <x v="3"/>
    <x v="773"/>
    <x v="773"/>
    <x v="1"/>
    <x v="4"/>
    <x v="2"/>
    <x v="0"/>
    <x v="14"/>
    <x v="773"/>
    <x v="773"/>
    <x v="773"/>
    <x v="773"/>
    <x v="773"/>
    <x v="772"/>
    <x v="773"/>
    <x v="0"/>
    <x v="0"/>
    <x v="773"/>
    <x v="773"/>
    <x v="0"/>
  </r>
  <r>
    <x v="63"/>
    <x v="172"/>
    <x v="2"/>
    <x v="0"/>
    <x v="17"/>
    <x v="3"/>
    <x v="774"/>
    <x v="774"/>
    <x v="0"/>
    <x v="22"/>
    <x v="1"/>
    <x v="1"/>
    <x v="19"/>
    <x v="774"/>
    <x v="774"/>
    <x v="774"/>
    <x v="774"/>
    <x v="774"/>
    <x v="773"/>
    <x v="774"/>
    <x v="0"/>
    <x v="1"/>
    <x v="774"/>
    <x v="774"/>
    <x v="1"/>
  </r>
  <r>
    <x v="81"/>
    <x v="267"/>
    <x v="4"/>
    <x v="1"/>
    <x v="22"/>
    <x v="3"/>
    <x v="775"/>
    <x v="775"/>
    <x v="0"/>
    <x v="20"/>
    <x v="1"/>
    <x v="1"/>
    <x v="17"/>
    <x v="775"/>
    <x v="775"/>
    <x v="775"/>
    <x v="775"/>
    <x v="775"/>
    <x v="774"/>
    <x v="775"/>
    <x v="0"/>
    <x v="1"/>
    <x v="775"/>
    <x v="775"/>
    <x v="1"/>
  </r>
  <r>
    <x v="98"/>
    <x v="251"/>
    <x v="3"/>
    <x v="0"/>
    <x v="1"/>
    <x v="0"/>
    <x v="776"/>
    <x v="776"/>
    <x v="0"/>
    <x v="28"/>
    <x v="2"/>
    <x v="0"/>
    <x v="7"/>
    <x v="776"/>
    <x v="776"/>
    <x v="776"/>
    <x v="776"/>
    <x v="776"/>
    <x v="775"/>
    <x v="776"/>
    <x v="0"/>
    <x v="1"/>
    <x v="776"/>
    <x v="776"/>
    <x v="1"/>
  </r>
  <r>
    <x v="46"/>
    <x v="320"/>
    <x v="4"/>
    <x v="0"/>
    <x v="40"/>
    <x v="0"/>
    <x v="777"/>
    <x v="777"/>
    <x v="1"/>
    <x v="24"/>
    <x v="2"/>
    <x v="1"/>
    <x v="15"/>
    <x v="777"/>
    <x v="777"/>
    <x v="777"/>
    <x v="777"/>
    <x v="777"/>
    <x v="776"/>
    <x v="777"/>
    <x v="0"/>
    <x v="1"/>
    <x v="777"/>
    <x v="777"/>
    <x v="1"/>
  </r>
  <r>
    <x v="51"/>
    <x v="211"/>
    <x v="2"/>
    <x v="0"/>
    <x v="12"/>
    <x v="2"/>
    <x v="778"/>
    <x v="778"/>
    <x v="1"/>
    <x v="12"/>
    <x v="0"/>
    <x v="1"/>
    <x v="19"/>
    <x v="778"/>
    <x v="778"/>
    <x v="778"/>
    <x v="778"/>
    <x v="778"/>
    <x v="777"/>
    <x v="778"/>
    <x v="0"/>
    <x v="1"/>
    <x v="778"/>
    <x v="778"/>
    <x v="1"/>
  </r>
  <r>
    <x v="60"/>
    <x v="150"/>
    <x v="3"/>
    <x v="3"/>
    <x v="7"/>
    <x v="1"/>
    <x v="779"/>
    <x v="779"/>
    <x v="1"/>
    <x v="1"/>
    <x v="2"/>
    <x v="0"/>
    <x v="14"/>
    <x v="779"/>
    <x v="779"/>
    <x v="779"/>
    <x v="779"/>
    <x v="779"/>
    <x v="778"/>
    <x v="779"/>
    <x v="0"/>
    <x v="0"/>
    <x v="779"/>
    <x v="779"/>
    <x v="0"/>
  </r>
  <r>
    <x v="91"/>
    <x v="321"/>
    <x v="2"/>
    <x v="0"/>
    <x v="18"/>
    <x v="0"/>
    <x v="780"/>
    <x v="780"/>
    <x v="0"/>
    <x v="10"/>
    <x v="2"/>
    <x v="0"/>
    <x v="19"/>
    <x v="780"/>
    <x v="780"/>
    <x v="780"/>
    <x v="780"/>
    <x v="780"/>
    <x v="779"/>
    <x v="780"/>
    <x v="0"/>
    <x v="0"/>
    <x v="780"/>
    <x v="780"/>
    <x v="0"/>
  </r>
  <r>
    <x v="31"/>
    <x v="93"/>
    <x v="3"/>
    <x v="0"/>
    <x v="5"/>
    <x v="3"/>
    <x v="781"/>
    <x v="781"/>
    <x v="0"/>
    <x v="20"/>
    <x v="2"/>
    <x v="1"/>
    <x v="7"/>
    <x v="781"/>
    <x v="781"/>
    <x v="781"/>
    <x v="781"/>
    <x v="781"/>
    <x v="780"/>
    <x v="781"/>
    <x v="0"/>
    <x v="0"/>
    <x v="781"/>
    <x v="781"/>
    <x v="0"/>
  </r>
  <r>
    <x v="97"/>
    <x v="319"/>
    <x v="2"/>
    <x v="1"/>
    <x v="11"/>
    <x v="3"/>
    <x v="782"/>
    <x v="782"/>
    <x v="1"/>
    <x v="29"/>
    <x v="2"/>
    <x v="0"/>
    <x v="5"/>
    <x v="782"/>
    <x v="782"/>
    <x v="782"/>
    <x v="782"/>
    <x v="782"/>
    <x v="781"/>
    <x v="782"/>
    <x v="0"/>
    <x v="1"/>
    <x v="782"/>
    <x v="782"/>
    <x v="1"/>
  </r>
  <r>
    <x v="83"/>
    <x v="193"/>
    <x v="0"/>
    <x v="1"/>
    <x v="4"/>
    <x v="0"/>
    <x v="783"/>
    <x v="783"/>
    <x v="1"/>
    <x v="9"/>
    <x v="0"/>
    <x v="1"/>
    <x v="1"/>
    <x v="783"/>
    <x v="783"/>
    <x v="783"/>
    <x v="783"/>
    <x v="783"/>
    <x v="782"/>
    <x v="783"/>
    <x v="0"/>
    <x v="1"/>
    <x v="783"/>
    <x v="783"/>
    <x v="1"/>
  </r>
  <r>
    <x v="99"/>
    <x v="178"/>
    <x v="2"/>
    <x v="0"/>
    <x v="46"/>
    <x v="0"/>
    <x v="784"/>
    <x v="784"/>
    <x v="0"/>
    <x v="28"/>
    <x v="0"/>
    <x v="0"/>
    <x v="19"/>
    <x v="784"/>
    <x v="784"/>
    <x v="784"/>
    <x v="784"/>
    <x v="784"/>
    <x v="783"/>
    <x v="784"/>
    <x v="0"/>
    <x v="1"/>
    <x v="784"/>
    <x v="784"/>
    <x v="1"/>
  </r>
  <r>
    <x v="87"/>
    <x v="322"/>
    <x v="0"/>
    <x v="1"/>
    <x v="22"/>
    <x v="0"/>
    <x v="785"/>
    <x v="785"/>
    <x v="1"/>
    <x v="7"/>
    <x v="2"/>
    <x v="1"/>
    <x v="1"/>
    <x v="785"/>
    <x v="785"/>
    <x v="785"/>
    <x v="785"/>
    <x v="785"/>
    <x v="784"/>
    <x v="785"/>
    <x v="0"/>
    <x v="0"/>
    <x v="785"/>
    <x v="785"/>
    <x v="0"/>
  </r>
  <r>
    <x v="16"/>
    <x v="254"/>
    <x v="2"/>
    <x v="1"/>
    <x v="47"/>
    <x v="2"/>
    <x v="786"/>
    <x v="786"/>
    <x v="1"/>
    <x v="16"/>
    <x v="2"/>
    <x v="0"/>
    <x v="5"/>
    <x v="786"/>
    <x v="786"/>
    <x v="786"/>
    <x v="786"/>
    <x v="786"/>
    <x v="785"/>
    <x v="786"/>
    <x v="0"/>
    <x v="1"/>
    <x v="786"/>
    <x v="786"/>
    <x v="1"/>
  </r>
  <r>
    <x v="68"/>
    <x v="175"/>
    <x v="3"/>
    <x v="0"/>
    <x v="14"/>
    <x v="3"/>
    <x v="787"/>
    <x v="787"/>
    <x v="1"/>
    <x v="17"/>
    <x v="0"/>
    <x v="0"/>
    <x v="7"/>
    <x v="787"/>
    <x v="787"/>
    <x v="787"/>
    <x v="787"/>
    <x v="787"/>
    <x v="786"/>
    <x v="787"/>
    <x v="0"/>
    <x v="1"/>
    <x v="787"/>
    <x v="787"/>
    <x v="1"/>
  </r>
  <r>
    <x v="20"/>
    <x v="257"/>
    <x v="3"/>
    <x v="3"/>
    <x v="6"/>
    <x v="2"/>
    <x v="788"/>
    <x v="788"/>
    <x v="0"/>
    <x v="17"/>
    <x v="0"/>
    <x v="0"/>
    <x v="14"/>
    <x v="788"/>
    <x v="788"/>
    <x v="788"/>
    <x v="788"/>
    <x v="788"/>
    <x v="787"/>
    <x v="788"/>
    <x v="0"/>
    <x v="0"/>
    <x v="788"/>
    <x v="788"/>
    <x v="0"/>
  </r>
  <r>
    <x v="65"/>
    <x v="212"/>
    <x v="3"/>
    <x v="0"/>
    <x v="32"/>
    <x v="2"/>
    <x v="789"/>
    <x v="789"/>
    <x v="1"/>
    <x v="1"/>
    <x v="2"/>
    <x v="0"/>
    <x v="7"/>
    <x v="789"/>
    <x v="789"/>
    <x v="789"/>
    <x v="789"/>
    <x v="789"/>
    <x v="788"/>
    <x v="789"/>
    <x v="0"/>
    <x v="1"/>
    <x v="789"/>
    <x v="789"/>
    <x v="1"/>
  </r>
  <r>
    <x v="37"/>
    <x v="157"/>
    <x v="1"/>
    <x v="1"/>
    <x v="44"/>
    <x v="1"/>
    <x v="790"/>
    <x v="790"/>
    <x v="1"/>
    <x v="17"/>
    <x v="1"/>
    <x v="0"/>
    <x v="13"/>
    <x v="790"/>
    <x v="790"/>
    <x v="790"/>
    <x v="790"/>
    <x v="790"/>
    <x v="789"/>
    <x v="790"/>
    <x v="0"/>
    <x v="1"/>
    <x v="790"/>
    <x v="790"/>
    <x v="1"/>
  </r>
  <r>
    <x v="78"/>
    <x v="323"/>
    <x v="4"/>
    <x v="3"/>
    <x v="17"/>
    <x v="3"/>
    <x v="791"/>
    <x v="791"/>
    <x v="1"/>
    <x v="22"/>
    <x v="0"/>
    <x v="0"/>
    <x v="18"/>
    <x v="791"/>
    <x v="791"/>
    <x v="791"/>
    <x v="791"/>
    <x v="791"/>
    <x v="790"/>
    <x v="791"/>
    <x v="0"/>
    <x v="1"/>
    <x v="791"/>
    <x v="791"/>
    <x v="1"/>
  </r>
  <r>
    <x v="24"/>
    <x v="39"/>
    <x v="3"/>
    <x v="2"/>
    <x v="33"/>
    <x v="3"/>
    <x v="792"/>
    <x v="792"/>
    <x v="1"/>
    <x v="14"/>
    <x v="0"/>
    <x v="0"/>
    <x v="6"/>
    <x v="792"/>
    <x v="792"/>
    <x v="792"/>
    <x v="792"/>
    <x v="792"/>
    <x v="791"/>
    <x v="792"/>
    <x v="0"/>
    <x v="0"/>
    <x v="792"/>
    <x v="792"/>
    <x v="0"/>
  </r>
  <r>
    <x v="67"/>
    <x v="324"/>
    <x v="0"/>
    <x v="3"/>
    <x v="39"/>
    <x v="0"/>
    <x v="793"/>
    <x v="793"/>
    <x v="0"/>
    <x v="15"/>
    <x v="0"/>
    <x v="0"/>
    <x v="12"/>
    <x v="793"/>
    <x v="793"/>
    <x v="793"/>
    <x v="793"/>
    <x v="793"/>
    <x v="792"/>
    <x v="793"/>
    <x v="0"/>
    <x v="1"/>
    <x v="793"/>
    <x v="793"/>
    <x v="1"/>
  </r>
  <r>
    <x v="59"/>
    <x v="325"/>
    <x v="3"/>
    <x v="1"/>
    <x v="27"/>
    <x v="0"/>
    <x v="794"/>
    <x v="794"/>
    <x v="0"/>
    <x v="29"/>
    <x v="2"/>
    <x v="0"/>
    <x v="8"/>
    <x v="794"/>
    <x v="794"/>
    <x v="794"/>
    <x v="794"/>
    <x v="794"/>
    <x v="793"/>
    <x v="794"/>
    <x v="0"/>
    <x v="1"/>
    <x v="794"/>
    <x v="794"/>
    <x v="1"/>
  </r>
  <r>
    <x v="61"/>
    <x v="45"/>
    <x v="1"/>
    <x v="3"/>
    <x v="47"/>
    <x v="1"/>
    <x v="795"/>
    <x v="795"/>
    <x v="0"/>
    <x v="7"/>
    <x v="2"/>
    <x v="1"/>
    <x v="16"/>
    <x v="795"/>
    <x v="795"/>
    <x v="795"/>
    <x v="795"/>
    <x v="795"/>
    <x v="794"/>
    <x v="795"/>
    <x v="0"/>
    <x v="1"/>
    <x v="795"/>
    <x v="795"/>
    <x v="1"/>
  </r>
  <r>
    <x v="53"/>
    <x v="11"/>
    <x v="0"/>
    <x v="0"/>
    <x v="30"/>
    <x v="2"/>
    <x v="796"/>
    <x v="796"/>
    <x v="1"/>
    <x v="20"/>
    <x v="0"/>
    <x v="0"/>
    <x v="0"/>
    <x v="796"/>
    <x v="796"/>
    <x v="796"/>
    <x v="796"/>
    <x v="796"/>
    <x v="795"/>
    <x v="796"/>
    <x v="0"/>
    <x v="1"/>
    <x v="796"/>
    <x v="796"/>
    <x v="1"/>
  </r>
  <r>
    <x v="23"/>
    <x v="178"/>
    <x v="1"/>
    <x v="2"/>
    <x v="44"/>
    <x v="0"/>
    <x v="797"/>
    <x v="797"/>
    <x v="0"/>
    <x v="21"/>
    <x v="2"/>
    <x v="1"/>
    <x v="2"/>
    <x v="797"/>
    <x v="797"/>
    <x v="797"/>
    <x v="797"/>
    <x v="797"/>
    <x v="796"/>
    <x v="797"/>
    <x v="0"/>
    <x v="0"/>
    <x v="797"/>
    <x v="797"/>
    <x v="0"/>
  </r>
  <r>
    <x v="74"/>
    <x v="21"/>
    <x v="0"/>
    <x v="2"/>
    <x v="29"/>
    <x v="0"/>
    <x v="798"/>
    <x v="798"/>
    <x v="1"/>
    <x v="17"/>
    <x v="2"/>
    <x v="0"/>
    <x v="3"/>
    <x v="798"/>
    <x v="798"/>
    <x v="798"/>
    <x v="798"/>
    <x v="798"/>
    <x v="797"/>
    <x v="798"/>
    <x v="0"/>
    <x v="0"/>
    <x v="798"/>
    <x v="798"/>
    <x v="0"/>
  </r>
  <r>
    <x v="26"/>
    <x v="292"/>
    <x v="2"/>
    <x v="2"/>
    <x v="21"/>
    <x v="3"/>
    <x v="799"/>
    <x v="799"/>
    <x v="0"/>
    <x v="19"/>
    <x v="0"/>
    <x v="1"/>
    <x v="10"/>
    <x v="799"/>
    <x v="799"/>
    <x v="799"/>
    <x v="799"/>
    <x v="799"/>
    <x v="798"/>
    <x v="799"/>
    <x v="0"/>
    <x v="0"/>
    <x v="799"/>
    <x v="799"/>
    <x v="0"/>
  </r>
  <r>
    <x v="75"/>
    <x v="118"/>
    <x v="4"/>
    <x v="1"/>
    <x v="46"/>
    <x v="3"/>
    <x v="800"/>
    <x v="800"/>
    <x v="1"/>
    <x v="10"/>
    <x v="2"/>
    <x v="1"/>
    <x v="17"/>
    <x v="800"/>
    <x v="800"/>
    <x v="800"/>
    <x v="800"/>
    <x v="800"/>
    <x v="799"/>
    <x v="800"/>
    <x v="0"/>
    <x v="1"/>
    <x v="800"/>
    <x v="800"/>
    <x v="1"/>
  </r>
  <r>
    <x v="24"/>
    <x v="326"/>
    <x v="4"/>
    <x v="1"/>
    <x v="16"/>
    <x v="0"/>
    <x v="737"/>
    <x v="801"/>
    <x v="0"/>
    <x v="7"/>
    <x v="1"/>
    <x v="0"/>
    <x v="17"/>
    <x v="801"/>
    <x v="801"/>
    <x v="801"/>
    <x v="801"/>
    <x v="801"/>
    <x v="800"/>
    <x v="801"/>
    <x v="0"/>
    <x v="1"/>
    <x v="801"/>
    <x v="801"/>
    <x v="1"/>
  </r>
  <r>
    <x v="77"/>
    <x v="178"/>
    <x v="1"/>
    <x v="2"/>
    <x v="18"/>
    <x v="3"/>
    <x v="801"/>
    <x v="802"/>
    <x v="0"/>
    <x v="12"/>
    <x v="2"/>
    <x v="0"/>
    <x v="2"/>
    <x v="802"/>
    <x v="802"/>
    <x v="802"/>
    <x v="802"/>
    <x v="802"/>
    <x v="801"/>
    <x v="802"/>
    <x v="0"/>
    <x v="0"/>
    <x v="802"/>
    <x v="802"/>
    <x v="0"/>
  </r>
  <r>
    <x v="20"/>
    <x v="121"/>
    <x v="4"/>
    <x v="3"/>
    <x v="5"/>
    <x v="1"/>
    <x v="802"/>
    <x v="803"/>
    <x v="0"/>
    <x v="29"/>
    <x v="2"/>
    <x v="1"/>
    <x v="18"/>
    <x v="803"/>
    <x v="803"/>
    <x v="803"/>
    <x v="803"/>
    <x v="803"/>
    <x v="802"/>
    <x v="803"/>
    <x v="0"/>
    <x v="0"/>
    <x v="803"/>
    <x v="803"/>
    <x v="0"/>
  </r>
  <r>
    <x v="92"/>
    <x v="37"/>
    <x v="1"/>
    <x v="2"/>
    <x v="23"/>
    <x v="0"/>
    <x v="803"/>
    <x v="804"/>
    <x v="1"/>
    <x v="12"/>
    <x v="0"/>
    <x v="1"/>
    <x v="2"/>
    <x v="804"/>
    <x v="804"/>
    <x v="804"/>
    <x v="804"/>
    <x v="804"/>
    <x v="803"/>
    <x v="804"/>
    <x v="0"/>
    <x v="1"/>
    <x v="804"/>
    <x v="804"/>
    <x v="1"/>
  </r>
  <r>
    <x v="73"/>
    <x v="108"/>
    <x v="1"/>
    <x v="3"/>
    <x v="3"/>
    <x v="3"/>
    <x v="804"/>
    <x v="805"/>
    <x v="1"/>
    <x v="9"/>
    <x v="0"/>
    <x v="0"/>
    <x v="16"/>
    <x v="805"/>
    <x v="805"/>
    <x v="805"/>
    <x v="805"/>
    <x v="805"/>
    <x v="804"/>
    <x v="805"/>
    <x v="0"/>
    <x v="1"/>
    <x v="805"/>
    <x v="805"/>
    <x v="1"/>
  </r>
  <r>
    <x v="66"/>
    <x v="75"/>
    <x v="1"/>
    <x v="3"/>
    <x v="20"/>
    <x v="1"/>
    <x v="805"/>
    <x v="806"/>
    <x v="1"/>
    <x v="18"/>
    <x v="1"/>
    <x v="0"/>
    <x v="16"/>
    <x v="806"/>
    <x v="806"/>
    <x v="806"/>
    <x v="806"/>
    <x v="806"/>
    <x v="805"/>
    <x v="806"/>
    <x v="0"/>
    <x v="0"/>
    <x v="806"/>
    <x v="806"/>
    <x v="0"/>
  </r>
  <r>
    <x v="5"/>
    <x v="193"/>
    <x v="4"/>
    <x v="1"/>
    <x v="38"/>
    <x v="3"/>
    <x v="806"/>
    <x v="807"/>
    <x v="0"/>
    <x v="27"/>
    <x v="2"/>
    <x v="0"/>
    <x v="17"/>
    <x v="807"/>
    <x v="807"/>
    <x v="807"/>
    <x v="807"/>
    <x v="807"/>
    <x v="806"/>
    <x v="807"/>
    <x v="0"/>
    <x v="1"/>
    <x v="807"/>
    <x v="807"/>
    <x v="1"/>
  </r>
  <r>
    <x v="33"/>
    <x v="76"/>
    <x v="1"/>
    <x v="3"/>
    <x v="23"/>
    <x v="3"/>
    <x v="807"/>
    <x v="808"/>
    <x v="1"/>
    <x v="5"/>
    <x v="1"/>
    <x v="1"/>
    <x v="16"/>
    <x v="808"/>
    <x v="808"/>
    <x v="808"/>
    <x v="808"/>
    <x v="808"/>
    <x v="807"/>
    <x v="808"/>
    <x v="0"/>
    <x v="1"/>
    <x v="808"/>
    <x v="808"/>
    <x v="1"/>
  </r>
  <r>
    <x v="51"/>
    <x v="320"/>
    <x v="4"/>
    <x v="2"/>
    <x v="6"/>
    <x v="3"/>
    <x v="808"/>
    <x v="809"/>
    <x v="1"/>
    <x v="14"/>
    <x v="1"/>
    <x v="0"/>
    <x v="9"/>
    <x v="809"/>
    <x v="809"/>
    <x v="809"/>
    <x v="809"/>
    <x v="809"/>
    <x v="808"/>
    <x v="809"/>
    <x v="0"/>
    <x v="1"/>
    <x v="809"/>
    <x v="809"/>
    <x v="1"/>
  </r>
  <r>
    <x v="28"/>
    <x v="243"/>
    <x v="1"/>
    <x v="1"/>
    <x v="42"/>
    <x v="0"/>
    <x v="809"/>
    <x v="810"/>
    <x v="1"/>
    <x v="19"/>
    <x v="0"/>
    <x v="0"/>
    <x v="13"/>
    <x v="810"/>
    <x v="810"/>
    <x v="810"/>
    <x v="810"/>
    <x v="810"/>
    <x v="809"/>
    <x v="810"/>
    <x v="0"/>
    <x v="1"/>
    <x v="810"/>
    <x v="810"/>
    <x v="1"/>
  </r>
  <r>
    <x v="48"/>
    <x v="222"/>
    <x v="3"/>
    <x v="0"/>
    <x v="25"/>
    <x v="2"/>
    <x v="810"/>
    <x v="811"/>
    <x v="1"/>
    <x v="30"/>
    <x v="2"/>
    <x v="0"/>
    <x v="7"/>
    <x v="811"/>
    <x v="811"/>
    <x v="811"/>
    <x v="811"/>
    <x v="811"/>
    <x v="810"/>
    <x v="811"/>
    <x v="0"/>
    <x v="0"/>
    <x v="811"/>
    <x v="811"/>
    <x v="0"/>
  </r>
  <r>
    <x v="91"/>
    <x v="181"/>
    <x v="1"/>
    <x v="0"/>
    <x v="22"/>
    <x v="3"/>
    <x v="811"/>
    <x v="812"/>
    <x v="1"/>
    <x v="6"/>
    <x v="0"/>
    <x v="0"/>
    <x v="11"/>
    <x v="812"/>
    <x v="812"/>
    <x v="812"/>
    <x v="812"/>
    <x v="812"/>
    <x v="811"/>
    <x v="812"/>
    <x v="0"/>
    <x v="1"/>
    <x v="812"/>
    <x v="812"/>
    <x v="1"/>
  </r>
  <r>
    <x v="56"/>
    <x v="3"/>
    <x v="0"/>
    <x v="1"/>
    <x v="46"/>
    <x v="1"/>
    <x v="812"/>
    <x v="813"/>
    <x v="1"/>
    <x v="15"/>
    <x v="1"/>
    <x v="0"/>
    <x v="1"/>
    <x v="813"/>
    <x v="813"/>
    <x v="813"/>
    <x v="813"/>
    <x v="813"/>
    <x v="812"/>
    <x v="813"/>
    <x v="0"/>
    <x v="0"/>
    <x v="813"/>
    <x v="813"/>
    <x v="0"/>
  </r>
  <r>
    <x v="68"/>
    <x v="154"/>
    <x v="1"/>
    <x v="2"/>
    <x v="7"/>
    <x v="0"/>
    <x v="813"/>
    <x v="814"/>
    <x v="0"/>
    <x v="20"/>
    <x v="1"/>
    <x v="1"/>
    <x v="2"/>
    <x v="814"/>
    <x v="814"/>
    <x v="814"/>
    <x v="814"/>
    <x v="814"/>
    <x v="813"/>
    <x v="814"/>
    <x v="0"/>
    <x v="1"/>
    <x v="814"/>
    <x v="814"/>
    <x v="1"/>
  </r>
  <r>
    <x v="12"/>
    <x v="327"/>
    <x v="2"/>
    <x v="0"/>
    <x v="45"/>
    <x v="0"/>
    <x v="814"/>
    <x v="815"/>
    <x v="0"/>
    <x v="0"/>
    <x v="0"/>
    <x v="1"/>
    <x v="19"/>
    <x v="815"/>
    <x v="815"/>
    <x v="815"/>
    <x v="815"/>
    <x v="815"/>
    <x v="814"/>
    <x v="815"/>
    <x v="0"/>
    <x v="0"/>
    <x v="815"/>
    <x v="815"/>
    <x v="0"/>
  </r>
  <r>
    <x v="14"/>
    <x v="131"/>
    <x v="1"/>
    <x v="0"/>
    <x v="21"/>
    <x v="1"/>
    <x v="815"/>
    <x v="816"/>
    <x v="1"/>
    <x v="26"/>
    <x v="0"/>
    <x v="0"/>
    <x v="11"/>
    <x v="816"/>
    <x v="816"/>
    <x v="816"/>
    <x v="816"/>
    <x v="816"/>
    <x v="815"/>
    <x v="816"/>
    <x v="0"/>
    <x v="1"/>
    <x v="816"/>
    <x v="816"/>
    <x v="1"/>
  </r>
  <r>
    <x v="71"/>
    <x v="296"/>
    <x v="0"/>
    <x v="3"/>
    <x v="20"/>
    <x v="3"/>
    <x v="816"/>
    <x v="817"/>
    <x v="0"/>
    <x v="13"/>
    <x v="0"/>
    <x v="0"/>
    <x v="12"/>
    <x v="817"/>
    <x v="817"/>
    <x v="817"/>
    <x v="817"/>
    <x v="817"/>
    <x v="816"/>
    <x v="817"/>
    <x v="0"/>
    <x v="1"/>
    <x v="817"/>
    <x v="817"/>
    <x v="1"/>
  </r>
  <r>
    <x v="14"/>
    <x v="76"/>
    <x v="0"/>
    <x v="3"/>
    <x v="21"/>
    <x v="2"/>
    <x v="817"/>
    <x v="818"/>
    <x v="0"/>
    <x v="19"/>
    <x v="0"/>
    <x v="1"/>
    <x v="12"/>
    <x v="818"/>
    <x v="818"/>
    <x v="818"/>
    <x v="818"/>
    <x v="818"/>
    <x v="817"/>
    <x v="818"/>
    <x v="0"/>
    <x v="1"/>
    <x v="818"/>
    <x v="818"/>
    <x v="1"/>
  </r>
  <r>
    <x v="72"/>
    <x v="291"/>
    <x v="4"/>
    <x v="2"/>
    <x v="1"/>
    <x v="3"/>
    <x v="818"/>
    <x v="819"/>
    <x v="1"/>
    <x v="23"/>
    <x v="0"/>
    <x v="0"/>
    <x v="9"/>
    <x v="819"/>
    <x v="819"/>
    <x v="819"/>
    <x v="819"/>
    <x v="819"/>
    <x v="818"/>
    <x v="819"/>
    <x v="0"/>
    <x v="1"/>
    <x v="819"/>
    <x v="819"/>
    <x v="1"/>
  </r>
  <r>
    <x v="55"/>
    <x v="216"/>
    <x v="3"/>
    <x v="1"/>
    <x v="39"/>
    <x v="1"/>
    <x v="819"/>
    <x v="820"/>
    <x v="1"/>
    <x v="2"/>
    <x v="1"/>
    <x v="1"/>
    <x v="8"/>
    <x v="820"/>
    <x v="820"/>
    <x v="820"/>
    <x v="820"/>
    <x v="820"/>
    <x v="819"/>
    <x v="820"/>
    <x v="0"/>
    <x v="1"/>
    <x v="820"/>
    <x v="820"/>
    <x v="1"/>
  </r>
  <r>
    <x v="55"/>
    <x v="160"/>
    <x v="1"/>
    <x v="2"/>
    <x v="6"/>
    <x v="0"/>
    <x v="820"/>
    <x v="821"/>
    <x v="0"/>
    <x v="23"/>
    <x v="0"/>
    <x v="0"/>
    <x v="2"/>
    <x v="821"/>
    <x v="821"/>
    <x v="821"/>
    <x v="821"/>
    <x v="821"/>
    <x v="820"/>
    <x v="821"/>
    <x v="0"/>
    <x v="0"/>
    <x v="821"/>
    <x v="821"/>
    <x v="0"/>
  </r>
  <r>
    <x v="6"/>
    <x v="325"/>
    <x v="4"/>
    <x v="1"/>
    <x v="46"/>
    <x v="2"/>
    <x v="821"/>
    <x v="822"/>
    <x v="1"/>
    <x v="30"/>
    <x v="2"/>
    <x v="1"/>
    <x v="17"/>
    <x v="822"/>
    <x v="822"/>
    <x v="822"/>
    <x v="822"/>
    <x v="822"/>
    <x v="821"/>
    <x v="822"/>
    <x v="0"/>
    <x v="0"/>
    <x v="822"/>
    <x v="822"/>
    <x v="0"/>
  </r>
  <r>
    <x v="90"/>
    <x v="120"/>
    <x v="3"/>
    <x v="0"/>
    <x v="32"/>
    <x v="0"/>
    <x v="822"/>
    <x v="823"/>
    <x v="0"/>
    <x v="15"/>
    <x v="1"/>
    <x v="1"/>
    <x v="7"/>
    <x v="823"/>
    <x v="823"/>
    <x v="823"/>
    <x v="823"/>
    <x v="823"/>
    <x v="822"/>
    <x v="823"/>
    <x v="0"/>
    <x v="0"/>
    <x v="823"/>
    <x v="823"/>
    <x v="0"/>
  </r>
  <r>
    <x v="59"/>
    <x v="201"/>
    <x v="1"/>
    <x v="3"/>
    <x v="29"/>
    <x v="1"/>
    <x v="823"/>
    <x v="824"/>
    <x v="0"/>
    <x v="21"/>
    <x v="1"/>
    <x v="0"/>
    <x v="16"/>
    <x v="824"/>
    <x v="824"/>
    <x v="824"/>
    <x v="824"/>
    <x v="824"/>
    <x v="823"/>
    <x v="824"/>
    <x v="0"/>
    <x v="0"/>
    <x v="824"/>
    <x v="824"/>
    <x v="0"/>
  </r>
  <r>
    <x v="47"/>
    <x v="315"/>
    <x v="2"/>
    <x v="2"/>
    <x v="6"/>
    <x v="3"/>
    <x v="824"/>
    <x v="825"/>
    <x v="0"/>
    <x v="4"/>
    <x v="2"/>
    <x v="1"/>
    <x v="10"/>
    <x v="825"/>
    <x v="825"/>
    <x v="825"/>
    <x v="825"/>
    <x v="825"/>
    <x v="824"/>
    <x v="825"/>
    <x v="0"/>
    <x v="1"/>
    <x v="825"/>
    <x v="825"/>
    <x v="1"/>
  </r>
  <r>
    <x v="35"/>
    <x v="10"/>
    <x v="1"/>
    <x v="2"/>
    <x v="10"/>
    <x v="2"/>
    <x v="825"/>
    <x v="826"/>
    <x v="1"/>
    <x v="26"/>
    <x v="2"/>
    <x v="0"/>
    <x v="2"/>
    <x v="826"/>
    <x v="826"/>
    <x v="826"/>
    <x v="826"/>
    <x v="826"/>
    <x v="825"/>
    <x v="826"/>
    <x v="0"/>
    <x v="1"/>
    <x v="826"/>
    <x v="826"/>
    <x v="1"/>
  </r>
  <r>
    <x v="66"/>
    <x v="232"/>
    <x v="0"/>
    <x v="1"/>
    <x v="19"/>
    <x v="0"/>
    <x v="826"/>
    <x v="827"/>
    <x v="0"/>
    <x v="30"/>
    <x v="1"/>
    <x v="1"/>
    <x v="1"/>
    <x v="827"/>
    <x v="827"/>
    <x v="827"/>
    <x v="827"/>
    <x v="827"/>
    <x v="826"/>
    <x v="827"/>
    <x v="0"/>
    <x v="0"/>
    <x v="827"/>
    <x v="827"/>
    <x v="0"/>
  </r>
  <r>
    <x v="32"/>
    <x v="227"/>
    <x v="0"/>
    <x v="1"/>
    <x v="45"/>
    <x v="0"/>
    <x v="827"/>
    <x v="828"/>
    <x v="1"/>
    <x v="28"/>
    <x v="0"/>
    <x v="0"/>
    <x v="1"/>
    <x v="828"/>
    <x v="828"/>
    <x v="828"/>
    <x v="828"/>
    <x v="828"/>
    <x v="827"/>
    <x v="828"/>
    <x v="0"/>
    <x v="1"/>
    <x v="828"/>
    <x v="828"/>
    <x v="1"/>
  </r>
  <r>
    <x v="64"/>
    <x v="267"/>
    <x v="2"/>
    <x v="2"/>
    <x v="22"/>
    <x v="0"/>
    <x v="828"/>
    <x v="829"/>
    <x v="1"/>
    <x v="22"/>
    <x v="1"/>
    <x v="0"/>
    <x v="10"/>
    <x v="829"/>
    <x v="829"/>
    <x v="829"/>
    <x v="829"/>
    <x v="829"/>
    <x v="828"/>
    <x v="829"/>
    <x v="0"/>
    <x v="1"/>
    <x v="829"/>
    <x v="829"/>
    <x v="1"/>
  </r>
  <r>
    <x v="77"/>
    <x v="279"/>
    <x v="4"/>
    <x v="1"/>
    <x v="47"/>
    <x v="3"/>
    <x v="829"/>
    <x v="830"/>
    <x v="1"/>
    <x v="22"/>
    <x v="1"/>
    <x v="0"/>
    <x v="17"/>
    <x v="830"/>
    <x v="830"/>
    <x v="830"/>
    <x v="830"/>
    <x v="830"/>
    <x v="829"/>
    <x v="830"/>
    <x v="0"/>
    <x v="1"/>
    <x v="830"/>
    <x v="830"/>
    <x v="1"/>
  </r>
  <r>
    <x v="38"/>
    <x v="326"/>
    <x v="3"/>
    <x v="2"/>
    <x v="30"/>
    <x v="2"/>
    <x v="830"/>
    <x v="831"/>
    <x v="1"/>
    <x v="6"/>
    <x v="2"/>
    <x v="1"/>
    <x v="6"/>
    <x v="831"/>
    <x v="831"/>
    <x v="831"/>
    <x v="831"/>
    <x v="831"/>
    <x v="830"/>
    <x v="831"/>
    <x v="0"/>
    <x v="1"/>
    <x v="831"/>
    <x v="831"/>
    <x v="1"/>
  </r>
  <r>
    <x v="30"/>
    <x v="328"/>
    <x v="1"/>
    <x v="2"/>
    <x v="16"/>
    <x v="3"/>
    <x v="831"/>
    <x v="832"/>
    <x v="1"/>
    <x v="19"/>
    <x v="1"/>
    <x v="0"/>
    <x v="2"/>
    <x v="832"/>
    <x v="832"/>
    <x v="832"/>
    <x v="832"/>
    <x v="832"/>
    <x v="831"/>
    <x v="832"/>
    <x v="0"/>
    <x v="0"/>
    <x v="832"/>
    <x v="832"/>
    <x v="0"/>
  </r>
  <r>
    <x v="65"/>
    <x v="243"/>
    <x v="0"/>
    <x v="2"/>
    <x v="26"/>
    <x v="3"/>
    <x v="832"/>
    <x v="833"/>
    <x v="0"/>
    <x v="14"/>
    <x v="0"/>
    <x v="0"/>
    <x v="3"/>
    <x v="833"/>
    <x v="833"/>
    <x v="833"/>
    <x v="833"/>
    <x v="833"/>
    <x v="832"/>
    <x v="833"/>
    <x v="0"/>
    <x v="1"/>
    <x v="833"/>
    <x v="833"/>
    <x v="1"/>
  </r>
  <r>
    <x v="82"/>
    <x v="288"/>
    <x v="4"/>
    <x v="0"/>
    <x v="46"/>
    <x v="3"/>
    <x v="833"/>
    <x v="834"/>
    <x v="1"/>
    <x v="0"/>
    <x v="2"/>
    <x v="0"/>
    <x v="15"/>
    <x v="834"/>
    <x v="834"/>
    <x v="834"/>
    <x v="834"/>
    <x v="834"/>
    <x v="833"/>
    <x v="834"/>
    <x v="0"/>
    <x v="1"/>
    <x v="834"/>
    <x v="834"/>
    <x v="1"/>
  </r>
  <r>
    <x v="54"/>
    <x v="88"/>
    <x v="2"/>
    <x v="1"/>
    <x v="27"/>
    <x v="1"/>
    <x v="834"/>
    <x v="835"/>
    <x v="1"/>
    <x v="13"/>
    <x v="1"/>
    <x v="1"/>
    <x v="5"/>
    <x v="835"/>
    <x v="835"/>
    <x v="835"/>
    <x v="835"/>
    <x v="835"/>
    <x v="834"/>
    <x v="835"/>
    <x v="0"/>
    <x v="1"/>
    <x v="835"/>
    <x v="835"/>
    <x v="1"/>
  </r>
  <r>
    <x v="28"/>
    <x v="116"/>
    <x v="0"/>
    <x v="3"/>
    <x v="46"/>
    <x v="1"/>
    <x v="835"/>
    <x v="836"/>
    <x v="1"/>
    <x v="5"/>
    <x v="1"/>
    <x v="0"/>
    <x v="12"/>
    <x v="836"/>
    <x v="836"/>
    <x v="836"/>
    <x v="836"/>
    <x v="836"/>
    <x v="835"/>
    <x v="836"/>
    <x v="0"/>
    <x v="1"/>
    <x v="836"/>
    <x v="836"/>
    <x v="1"/>
  </r>
  <r>
    <x v="56"/>
    <x v="329"/>
    <x v="2"/>
    <x v="3"/>
    <x v="14"/>
    <x v="1"/>
    <x v="836"/>
    <x v="837"/>
    <x v="1"/>
    <x v="7"/>
    <x v="0"/>
    <x v="1"/>
    <x v="4"/>
    <x v="837"/>
    <x v="837"/>
    <x v="837"/>
    <x v="837"/>
    <x v="837"/>
    <x v="836"/>
    <x v="837"/>
    <x v="0"/>
    <x v="1"/>
    <x v="837"/>
    <x v="837"/>
    <x v="1"/>
  </r>
  <r>
    <x v="3"/>
    <x v="117"/>
    <x v="1"/>
    <x v="1"/>
    <x v="3"/>
    <x v="2"/>
    <x v="837"/>
    <x v="838"/>
    <x v="1"/>
    <x v="16"/>
    <x v="1"/>
    <x v="1"/>
    <x v="13"/>
    <x v="838"/>
    <x v="838"/>
    <x v="838"/>
    <x v="838"/>
    <x v="838"/>
    <x v="837"/>
    <x v="838"/>
    <x v="0"/>
    <x v="0"/>
    <x v="838"/>
    <x v="838"/>
    <x v="0"/>
  </r>
  <r>
    <x v="36"/>
    <x v="203"/>
    <x v="3"/>
    <x v="2"/>
    <x v="41"/>
    <x v="3"/>
    <x v="838"/>
    <x v="839"/>
    <x v="0"/>
    <x v="7"/>
    <x v="1"/>
    <x v="1"/>
    <x v="6"/>
    <x v="839"/>
    <x v="839"/>
    <x v="839"/>
    <x v="839"/>
    <x v="839"/>
    <x v="838"/>
    <x v="839"/>
    <x v="0"/>
    <x v="1"/>
    <x v="839"/>
    <x v="839"/>
    <x v="1"/>
  </r>
  <r>
    <x v="61"/>
    <x v="324"/>
    <x v="0"/>
    <x v="3"/>
    <x v="12"/>
    <x v="3"/>
    <x v="839"/>
    <x v="840"/>
    <x v="1"/>
    <x v="7"/>
    <x v="1"/>
    <x v="0"/>
    <x v="12"/>
    <x v="840"/>
    <x v="840"/>
    <x v="840"/>
    <x v="840"/>
    <x v="840"/>
    <x v="839"/>
    <x v="840"/>
    <x v="0"/>
    <x v="1"/>
    <x v="840"/>
    <x v="840"/>
    <x v="1"/>
  </r>
  <r>
    <x v="54"/>
    <x v="243"/>
    <x v="0"/>
    <x v="3"/>
    <x v="34"/>
    <x v="1"/>
    <x v="840"/>
    <x v="841"/>
    <x v="1"/>
    <x v="30"/>
    <x v="1"/>
    <x v="0"/>
    <x v="12"/>
    <x v="841"/>
    <x v="841"/>
    <x v="841"/>
    <x v="841"/>
    <x v="841"/>
    <x v="840"/>
    <x v="841"/>
    <x v="0"/>
    <x v="0"/>
    <x v="841"/>
    <x v="841"/>
    <x v="0"/>
  </r>
  <r>
    <x v="52"/>
    <x v="330"/>
    <x v="1"/>
    <x v="1"/>
    <x v="30"/>
    <x v="3"/>
    <x v="841"/>
    <x v="842"/>
    <x v="0"/>
    <x v="22"/>
    <x v="0"/>
    <x v="1"/>
    <x v="13"/>
    <x v="842"/>
    <x v="842"/>
    <x v="842"/>
    <x v="842"/>
    <x v="842"/>
    <x v="841"/>
    <x v="842"/>
    <x v="0"/>
    <x v="1"/>
    <x v="842"/>
    <x v="842"/>
    <x v="1"/>
  </r>
  <r>
    <x v="12"/>
    <x v="331"/>
    <x v="4"/>
    <x v="3"/>
    <x v="27"/>
    <x v="3"/>
    <x v="842"/>
    <x v="843"/>
    <x v="1"/>
    <x v="5"/>
    <x v="1"/>
    <x v="0"/>
    <x v="18"/>
    <x v="843"/>
    <x v="843"/>
    <x v="843"/>
    <x v="843"/>
    <x v="843"/>
    <x v="842"/>
    <x v="843"/>
    <x v="0"/>
    <x v="1"/>
    <x v="843"/>
    <x v="843"/>
    <x v="1"/>
  </r>
  <r>
    <x v="50"/>
    <x v="272"/>
    <x v="3"/>
    <x v="2"/>
    <x v="8"/>
    <x v="0"/>
    <x v="843"/>
    <x v="844"/>
    <x v="0"/>
    <x v="21"/>
    <x v="1"/>
    <x v="0"/>
    <x v="6"/>
    <x v="844"/>
    <x v="844"/>
    <x v="844"/>
    <x v="844"/>
    <x v="844"/>
    <x v="843"/>
    <x v="844"/>
    <x v="0"/>
    <x v="1"/>
    <x v="844"/>
    <x v="844"/>
    <x v="1"/>
  </r>
  <r>
    <x v="70"/>
    <x v="89"/>
    <x v="0"/>
    <x v="1"/>
    <x v="4"/>
    <x v="3"/>
    <x v="844"/>
    <x v="845"/>
    <x v="0"/>
    <x v="0"/>
    <x v="1"/>
    <x v="1"/>
    <x v="1"/>
    <x v="845"/>
    <x v="845"/>
    <x v="845"/>
    <x v="845"/>
    <x v="845"/>
    <x v="844"/>
    <x v="845"/>
    <x v="0"/>
    <x v="0"/>
    <x v="845"/>
    <x v="845"/>
    <x v="0"/>
  </r>
  <r>
    <x v="65"/>
    <x v="253"/>
    <x v="3"/>
    <x v="2"/>
    <x v="4"/>
    <x v="0"/>
    <x v="845"/>
    <x v="846"/>
    <x v="0"/>
    <x v="10"/>
    <x v="2"/>
    <x v="1"/>
    <x v="6"/>
    <x v="846"/>
    <x v="846"/>
    <x v="846"/>
    <x v="846"/>
    <x v="846"/>
    <x v="845"/>
    <x v="846"/>
    <x v="0"/>
    <x v="1"/>
    <x v="846"/>
    <x v="846"/>
    <x v="1"/>
  </r>
  <r>
    <x v="52"/>
    <x v="332"/>
    <x v="0"/>
    <x v="3"/>
    <x v="33"/>
    <x v="3"/>
    <x v="846"/>
    <x v="847"/>
    <x v="0"/>
    <x v="1"/>
    <x v="0"/>
    <x v="0"/>
    <x v="12"/>
    <x v="847"/>
    <x v="847"/>
    <x v="847"/>
    <x v="847"/>
    <x v="847"/>
    <x v="846"/>
    <x v="847"/>
    <x v="0"/>
    <x v="1"/>
    <x v="847"/>
    <x v="847"/>
    <x v="1"/>
  </r>
  <r>
    <x v="68"/>
    <x v="94"/>
    <x v="3"/>
    <x v="3"/>
    <x v="40"/>
    <x v="2"/>
    <x v="847"/>
    <x v="848"/>
    <x v="1"/>
    <x v="17"/>
    <x v="2"/>
    <x v="1"/>
    <x v="14"/>
    <x v="848"/>
    <x v="848"/>
    <x v="848"/>
    <x v="848"/>
    <x v="848"/>
    <x v="847"/>
    <x v="848"/>
    <x v="0"/>
    <x v="1"/>
    <x v="848"/>
    <x v="848"/>
    <x v="1"/>
  </r>
  <r>
    <x v="79"/>
    <x v="248"/>
    <x v="2"/>
    <x v="2"/>
    <x v="20"/>
    <x v="1"/>
    <x v="848"/>
    <x v="849"/>
    <x v="1"/>
    <x v="2"/>
    <x v="2"/>
    <x v="0"/>
    <x v="10"/>
    <x v="849"/>
    <x v="849"/>
    <x v="849"/>
    <x v="849"/>
    <x v="849"/>
    <x v="848"/>
    <x v="849"/>
    <x v="0"/>
    <x v="1"/>
    <x v="849"/>
    <x v="849"/>
    <x v="1"/>
  </r>
  <r>
    <x v="79"/>
    <x v="120"/>
    <x v="0"/>
    <x v="0"/>
    <x v="27"/>
    <x v="0"/>
    <x v="849"/>
    <x v="850"/>
    <x v="0"/>
    <x v="18"/>
    <x v="0"/>
    <x v="1"/>
    <x v="0"/>
    <x v="850"/>
    <x v="850"/>
    <x v="850"/>
    <x v="850"/>
    <x v="850"/>
    <x v="849"/>
    <x v="850"/>
    <x v="0"/>
    <x v="1"/>
    <x v="850"/>
    <x v="850"/>
    <x v="1"/>
  </r>
  <r>
    <x v="84"/>
    <x v="115"/>
    <x v="3"/>
    <x v="3"/>
    <x v="33"/>
    <x v="1"/>
    <x v="850"/>
    <x v="851"/>
    <x v="0"/>
    <x v="29"/>
    <x v="2"/>
    <x v="0"/>
    <x v="14"/>
    <x v="851"/>
    <x v="851"/>
    <x v="851"/>
    <x v="851"/>
    <x v="851"/>
    <x v="850"/>
    <x v="851"/>
    <x v="0"/>
    <x v="1"/>
    <x v="851"/>
    <x v="851"/>
    <x v="1"/>
  </r>
  <r>
    <x v="90"/>
    <x v="195"/>
    <x v="4"/>
    <x v="0"/>
    <x v="8"/>
    <x v="0"/>
    <x v="851"/>
    <x v="852"/>
    <x v="1"/>
    <x v="21"/>
    <x v="2"/>
    <x v="0"/>
    <x v="15"/>
    <x v="852"/>
    <x v="852"/>
    <x v="852"/>
    <x v="852"/>
    <x v="852"/>
    <x v="851"/>
    <x v="852"/>
    <x v="0"/>
    <x v="0"/>
    <x v="852"/>
    <x v="852"/>
    <x v="0"/>
  </r>
  <r>
    <x v="31"/>
    <x v="312"/>
    <x v="2"/>
    <x v="3"/>
    <x v="12"/>
    <x v="0"/>
    <x v="852"/>
    <x v="853"/>
    <x v="0"/>
    <x v="5"/>
    <x v="2"/>
    <x v="1"/>
    <x v="4"/>
    <x v="853"/>
    <x v="853"/>
    <x v="853"/>
    <x v="853"/>
    <x v="853"/>
    <x v="852"/>
    <x v="853"/>
    <x v="0"/>
    <x v="1"/>
    <x v="853"/>
    <x v="853"/>
    <x v="1"/>
  </r>
  <r>
    <x v="71"/>
    <x v="80"/>
    <x v="2"/>
    <x v="0"/>
    <x v="29"/>
    <x v="0"/>
    <x v="853"/>
    <x v="854"/>
    <x v="0"/>
    <x v="25"/>
    <x v="0"/>
    <x v="0"/>
    <x v="19"/>
    <x v="854"/>
    <x v="854"/>
    <x v="854"/>
    <x v="854"/>
    <x v="854"/>
    <x v="853"/>
    <x v="854"/>
    <x v="0"/>
    <x v="1"/>
    <x v="854"/>
    <x v="854"/>
    <x v="1"/>
  </r>
  <r>
    <x v="76"/>
    <x v="3"/>
    <x v="4"/>
    <x v="0"/>
    <x v="29"/>
    <x v="2"/>
    <x v="854"/>
    <x v="855"/>
    <x v="0"/>
    <x v="16"/>
    <x v="1"/>
    <x v="0"/>
    <x v="15"/>
    <x v="855"/>
    <x v="855"/>
    <x v="855"/>
    <x v="855"/>
    <x v="855"/>
    <x v="854"/>
    <x v="855"/>
    <x v="0"/>
    <x v="1"/>
    <x v="855"/>
    <x v="855"/>
    <x v="1"/>
  </r>
  <r>
    <x v="59"/>
    <x v="283"/>
    <x v="3"/>
    <x v="0"/>
    <x v="31"/>
    <x v="3"/>
    <x v="855"/>
    <x v="856"/>
    <x v="1"/>
    <x v="14"/>
    <x v="0"/>
    <x v="1"/>
    <x v="7"/>
    <x v="856"/>
    <x v="856"/>
    <x v="856"/>
    <x v="856"/>
    <x v="856"/>
    <x v="855"/>
    <x v="856"/>
    <x v="0"/>
    <x v="1"/>
    <x v="856"/>
    <x v="856"/>
    <x v="1"/>
  </r>
  <r>
    <x v="39"/>
    <x v="132"/>
    <x v="1"/>
    <x v="2"/>
    <x v="42"/>
    <x v="0"/>
    <x v="856"/>
    <x v="857"/>
    <x v="0"/>
    <x v="2"/>
    <x v="0"/>
    <x v="0"/>
    <x v="2"/>
    <x v="857"/>
    <x v="857"/>
    <x v="857"/>
    <x v="857"/>
    <x v="857"/>
    <x v="856"/>
    <x v="857"/>
    <x v="0"/>
    <x v="0"/>
    <x v="857"/>
    <x v="857"/>
    <x v="0"/>
  </r>
  <r>
    <x v="83"/>
    <x v="231"/>
    <x v="4"/>
    <x v="0"/>
    <x v="10"/>
    <x v="2"/>
    <x v="857"/>
    <x v="858"/>
    <x v="1"/>
    <x v="22"/>
    <x v="0"/>
    <x v="0"/>
    <x v="15"/>
    <x v="858"/>
    <x v="858"/>
    <x v="858"/>
    <x v="858"/>
    <x v="858"/>
    <x v="857"/>
    <x v="858"/>
    <x v="0"/>
    <x v="1"/>
    <x v="858"/>
    <x v="858"/>
    <x v="1"/>
  </r>
  <r>
    <x v="8"/>
    <x v="196"/>
    <x v="3"/>
    <x v="0"/>
    <x v="42"/>
    <x v="0"/>
    <x v="858"/>
    <x v="859"/>
    <x v="1"/>
    <x v="6"/>
    <x v="2"/>
    <x v="0"/>
    <x v="7"/>
    <x v="859"/>
    <x v="859"/>
    <x v="859"/>
    <x v="859"/>
    <x v="859"/>
    <x v="858"/>
    <x v="859"/>
    <x v="0"/>
    <x v="1"/>
    <x v="859"/>
    <x v="859"/>
    <x v="1"/>
  </r>
  <r>
    <x v="32"/>
    <x v="78"/>
    <x v="4"/>
    <x v="0"/>
    <x v="18"/>
    <x v="3"/>
    <x v="859"/>
    <x v="860"/>
    <x v="1"/>
    <x v="25"/>
    <x v="1"/>
    <x v="1"/>
    <x v="15"/>
    <x v="860"/>
    <x v="860"/>
    <x v="860"/>
    <x v="860"/>
    <x v="860"/>
    <x v="859"/>
    <x v="860"/>
    <x v="0"/>
    <x v="0"/>
    <x v="860"/>
    <x v="860"/>
    <x v="0"/>
  </r>
  <r>
    <x v="17"/>
    <x v="159"/>
    <x v="4"/>
    <x v="3"/>
    <x v="8"/>
    <x v="0"/>
    <x v="860"/>
    <x v="861"/>
    <x v="0"/>
    <x v="20"/>
    <x v="0"/>
    <x v="1"/>
    <x v="18"/>
    <x v="861"/>
    <x v="861"/>
    <x v="861"/>
    <x v="861"/>
    <x v="861"/>
    <x v="860"/>
    <x v="861"/>
    <x v="0"/>
    <x v="1"/>
    <x v="861"/>
    <x v="861"/>
    <x v="1"/>
  </r>
  <r>
    <x v="18"/>
    <x v="167"/>
    <x v="0"/>
    <x v="0"/>
    <x v="4"/>
    <x v="2"/>
    <x v="861"/>
    <x v="862"/>
    <x v="0"/>
    <x v="24"/>
    <x v="0"/>
    <x v="1"/>
    <x v="0"/>
    <x v="862"/>
    <x v="862"/>
    <x v="862"/>
    <x v="862"/>
    <x v="862"/>
    <x v="861"/>
    <x v="862"/>
    <x v="0"/>
    <x v="1"/>
    <x v="862"/>
    <x v="862"/>
    <x v="1"/>
  </r>
  <r>
    <x v="92"/>
    <x v="176"/>
    <x v="3"/>
    <x v="3"/>
    <x v="40"/>
    <x v="3"/>
    <x v="862"/>
    <x v="863"/>
    <x v="1"/>
    <x v="21"/>
    <x v="1"/>
    <x v="1"/>
    <x v="14"/>
    <x v="863"/>
    <x v="863"/>
    <x v="863"/>
    <x v="863"/>
    <x v="863"/>
    <x v="862"/>
    <x v="863"/>
    <x v="0"/>
    <x v="0"/>
    <x v="863"/>
    <x v="863"/>
    <x v="0"/>
  </r>
  <r>
    <x v="17"/>
    <x v="288"/>
    <x v="1"/>
    <x v="0"/>
    <x v="14"/>
    <x v="2"/>
    <x v="863"/>
    <x v="864"/>
    <x v="1"/>
    <x v="30"/>
    <x v="1"/>
    <x v="1"/>
    <x v="11"/>
    <x v="864"/>
    <x v="864"/>
    <x v="864"/>
    <x v="864"/>
    <x v="864"/>
    <x v="863"/>
    <x v="864"/>
    <x v="0"/>
    <x v="0"/>
    <x v="864"/>
    <x v="864"/>
    <x v="0"/>
  </r>
  <r>
    <x v="50"/>
    <x v="249"/>
    <x v="0"/>
    <x v="0"/>
    <x v="46"/>
    <x v="3"/>
    <x v="864"/>
    <x v="865"/>
    <x v="1"/>
    <x v="19"/>
    <x v="1"/>
    <x v="0"/>
    <x v="0"/>
    <x v="865"/>
    <x v="865"/>
    <x v="865"/>
    <x v="865"/>
    <x v="865"/>
    <x v="864"/>
    <x v="865"/>
    <x v="0"/>
    <x v="1"/>
    <x v="865"/>
    <x v="865"/>
    <x v="1"/>
  </r>
  <r>
    <x v="92"/>
    <x v="333"/>
    <x v="4"/>
    <x v="2"/>
    <x v="12"/>
    <x v="3"/>
    <x v="865"/>
    <x v="866"/>
    <x v="0"/>
    <x v="21"/>
    <x v="2"/>
    <x v="0"/>
    <x v="9"/>
    <x v="866"/>
    <x v="866"/>
    <x v="866"/>
    <x v="866"/>
    <x v="866"/>
    <x v="865"/>
    <x v="866"/>
    <x v="0"/>
    <x v="0"/>
    <x v="866"/>
    <x v="866"/>
    <x v="0"/>
  </r>
  <r>
    <x v="60"/>
    <x v="230"/>
    <x v="4"/>
    <x v="3"/>
    <x v="10"/>
    <x v="1"/>
    <x v="866"/>
    <x v="867"/>
    <x v="0"/>
    <x v="23"/>
    <x v="1"/>
    <x v="0"/>
    <x v="18"/>
    <x v="867"/>
    <x v="867"/>
    <x v="867"/>
    <x v="867"/>
    <x v="867"/>
    <x v="866"/>
    <x v="867"/>
    <x v="0"/>
    <x v="1"/>
    <x v="867"/>
    <x v="867"/>
    <x v="1"/>
  </r>
  <r>
    <x v="16"/>
    <x v="288"/>
    <x v="4"/>
    <x v="0"/>
    <x v="3"/>
    <x v="1"/>
    <x v="867"/>
    <x v="868"/>
    <x v="1"/>
    <x v="27"/>
    <x v="2"/>
    <x v="1"/>
    <x v="15"/>
    <x v="868"/>
    <x v="868"/>
    <x v="868"/>
    <x v="868"/>
    <x v="868"/>
    <x v="867"/>
    <x v="868"/>
    <x v="0"/>
    <x v="1"/>
    <x v="868"/>
    <x v="868"/>
    <x v="1"/>
  </r>
  <r>
    <x v="76"/>
    <x v="17"/>
    <x v="3"/>
    <x v="3"/>
    <x v="26"/>
    <x v="1"/>
    <x v="868"/>
    <x v="869"/>
    <x v="1"/>
    <x v="2"/>
    <x v="0"/>
    <x v="0"/>
    <x v="14"/>
    <x v="869"/>
    <x v="869"/>
    <x v="869"/>
    <x v="869"/>
    <x v="869"/>
    <x v="868"/>
    <x v="869"/>
    <x v="0"/>
    <x v="1"/>
    <x v="869"/>
    <x v="869"/>
    <x v="1"/>
  </r>
  <r>
    <x v="25"/>
    <x v="279"/>
    <x v="3"/>
    <x v="3"/>
    <x v="13"/>
    <x v="3"/>
    <x v="869"/>
    <x v="870"/>
    <x v="0"/>
    <x v="18"/>
    <x v="2"/>
    <x v="1"/>
    <x v="14"/>
    <x v="870"/>
    <x v="870"/>
    <x v="870"/>
    <x v="870"/>
    <x v="870"/>
    <x v="869"/>
    <x v="870"/>
    <x v="0"/>
    <x v="0"/>
    <x v="870"/>
    <x v="870"/>
    <x v="0"/>
  </r>
  <r>
    <x v="32"/>
    <x v="10"/>
    <x v="0"/>
    <x v="1"/>
    <x v="17"/>
    <x v="0"/>
    <x v="870"/>
    <x v="871"/>
    <x v="1"/>
    <x v="17"/>
    <x v="1"/>
    <x v="0"/>
    <x v="1"/>
    <x v="871"/>
    <x v="871"/>
    <x v="871"/>
    <x v="871"/>
    <x v="871"/>
    <x v="870"/>
    <x v="871"/>
    <x v="0"/>
    <x v="0"/>
    <x v="871"/>
    <x v="871"/>
    <x v="0"/>
  </r>
  <r>
    <x v="53"/>
    <x v="293"/>
    <x v="1"/>
    <x v="2"/>
    <x v="28"/>
    <x v="2"/>
    <x v="871"/>
    <x v="872"/>
    <x v="0"/>
    <x v="2"/>
    <x v="2"/>
    <x v="1"/>
    <x v="2"/>
    <x v="872"/>
    <x v="872"/>
    <x v="872"/>
    <x v="872"/>
    <x v="872"/>
    <x v="871"/>
    <x v="872"/>
    <x v="0"/>
    <x v="1"/>
    <x v="872"/>
    <x v="872"/>
    <x v="1"/>
  </r>
  <r>
    <x v="92"/>
    <x v="200"/>
    <x v="0"/>
    <x v="2"/>
    <x v="23"/>
    <x v="2"/>
    <x v="872"/>
    <x v="873"/>
    <x v="0"/>
    <x v="29"/>
    <x v="1"/>
    <x v="0"/>
    <x v="3"/>
    <x v="873"/>
    <x v="873"/>
    <x v="873"/>
    <x v="873"/>
    <x v="873"/>
    <x v="872"/>
    <x v="873"/>
    <x v="0"/>
    <x v="0"/>
    <x v="873"/>
    <x v="873"/>
    <x v="0"/>
  </r>
  <r>
    <x v="0"/>
    <x v="25"/>
    <x v="2"/>
    <x v="2"/>
    <x v="42"/>
    <x v="2"/>
    <x v="873"/>
    <x v="874"/>
    <x v="1"/>
    <x v="12"/>
    <x v="2"/>
    <x v="0"/>
    <x v="10"/>
    <x v="874"/>
    <x v="874"/>
    <x v="874"/>
    <x v="874"/>
    <x v="874"/>
    <x v="873"/>
    <x v="874"/>
    <x v="0"/>
    <x v="1"/>
    <x v="874"/>
    <x v="874"/>
    <x v="1"/>
  </r>
  <r>
    <x v="17"/>
    <x v="196"/>
    <x v="4"/>
    <x v="1"/>
    <x v="31"/>
    <x v="1"/>
    <x v="874"/>
    <x v="875"/>
    <x v="1"/>
    <x v="18"/>
    <x v="0"/>
    <x v="1"/>
    <x v="17"/>
    <x v="875"/>
    <x v="875"/>
    <x v="875"/>
    <x v="875"/>
    <x v="875"/>
    <x v="874"/>
    <x v="875"/>
    <x v="0"/>
    <x v="0"/>
    <x v="875"/>
    <x v="875"/>
    <x v="0"/>
  </r>
  <r>
    <x v="85"/>
    <x v="188"/>
    <x v="4"/>
    <x v="1"/>
    <x v="30"/>
    <x v="3"/>
    <x v="875"/>
    <x v="876"/>
    <x v="0"/>
    <x v="14"/>
    <x v="2"/>
    <x v="0"/>
    <x v="17"/>
    <x v="876"/>
    <x v="876"/>
    <x v="876"/>
    <x v="876"/>
    <x v="876"/>
    <x v="875"/>
    <x v="876"/>
    <x v="0"/>
    <x v="0"/>
    <x v="876"/>
    <x v="876"/>
    <x v="0"/>
  </r>
  <r>
    <x v="9"/>
    <x v="142"/>
    <x v="4"/>
    <x v="2"/>
    <x v="23"/>
    <x v="1"/>
    <x v="876"/>
    <x v="877"/>
    <x v="0"/>
    <x v="3"/>
    <x v="0"/>
    <x v="0"/>
    <x v="9"/>
    <x v="877"/>
    <x v="877"/>
    <x v="877"/>
    <x v="877"/>
    <x v="877"/>
    <x v="876"/>
    <x v="877"/>
    <x v="0"/>
    <x v="1"/>
    <x v="877"/>
    <x v="877"/>
    <x v="1"/>
  </r>
  <r>
    <x v="76"/>
    <x v="275"/>
    <x v="0"/>
    <x v="1"/>
    <x v="34"/>
    <x v="0"/>
    <x v="877"/>
    <x v="878"/>
    <x v="0"/>
    <x v="16"/>
    <x v="1"/>
    <x v="1"/>
    <x v="1"/>
    <x v="878"/>
    <x v="878"/>
    <x v="878"/>
    <x v="878"/>
    <x v="878"/>
    <x v="877"/>
    <x v="878"/>
    <x v="0"/>
    <x v="1"/>
    <x v="878"/>
    <x v="878"/>
    <x v="1"/>
  </r>
  <r>
    <x v="16"/>
    <x v="262"/>
    <x v="0"/>
    <x v="1"/>
    <x v="24"/>
    <x v="3"/>
    <x v="878"/>
    <x v="879"/>
    <x v="0"/>
    <x v="0"/>
    <x v="0"/>
    <x v="0"/>
    <x v="1"/>
    <x v="879"/>
    <x v="879"/>
    <x v="879"/>
    <x v="879"/>
    <x v="879"/>
    <x v="878"/>
    <x v="879"/>
    <x v="0"/>
    <x v="0"/>
    <x v="879"/>
    <x v="879"/>
    <x v="0"/>
  </r>
  <r>
    <x v="32"/>
    <x v="15"/>
    <x v="4"/>
    <x v="1"/>
    <x v="8"/>
    <x v="2"/>
    <x v="879"/>
    <x v="880"/>
    <x v="0"/>
    <x v="11"/>
    <x v="1"/>
    <x v="0"/>
    <x v="17"/>
    <x v="880"/>
    <x v="880"/>
    <x v="880"/>
    <x v="880"/>
    <x v="880"/>
    <x v="879"/>
    <x v="880"/>
    <x v="0"/>
    <x v="0"/>
    <x v="880"/>
    <x v="880"/>
    <x v="0"/>
  </r>
  <r>
    <x v="48"/>
    <x v="265"/>
    <x v="0"/>
    <x v="2"/>
    <x v="12"/>
    <x v="1"/>
    <x v="880"/>
    <x v="881"/>
    <x v="1"/>
    <x v="17"/>
    <x v="1"/>
    <x v="1"/>
    <x v="3"/>
    <x v="881"/>
    <x v="881"/>
    <x v="881"/>
    <x v="881"/>
    <x v="881"/>
    <x v="880"/>
    <x v="881"/>
    <x v="0"/>
    <x v="1"/>
    <x v="881"/>
    <x v="881"/>
    <x v="1"/>
  </r>
  <r>
    <x v="68"/>
    <x v="91"/>
    <x v="3"/>
    <x v="2"/>
    <x v="32"/>
    <x v="1"/>
    <x v="881"/>
    <x v="882"/>
    <x v="0"/>
    <x v="15"/>
    <x v="0"/>
    <x v="1"/>
    <x v="6"/>
    <x v="882"/>
    <x v="882"/>
    <x v="882"/>
    <x v="882"/>
    <x v="882"/>
    <x v="881"/>
    <x v="882"/>
    <x v="0"/>
    <x v="0"/>
    <x v="882"/>
    <x v="882"/>
    <x v="0"/>
  </r>
  <r>
    <x v="63"/>
    <x v="159"/>
    <x v="3"/>
    <x v="2"/>
    <x v="7"/>
    <x v="0"/>
    <x v="882"/>
    <x v="883"/>
    <x v="0"/>
    <x v="23"/>
    <x v="0"/>
    <x v="1"/>
    <x v="6"/>
    <x v="883"/>
    <x v="883"/>
    <x v="883"/>
    <x v="883"/>
    <x v="883"/>
    <x v="882"/>
    <x v="883"/>
    <x v="0"/>
    <x v="1"/>
    <x v="883"/>
    <x v="883"/>
    <x v="1"/>
  </r>
  <r>
    <x v="38"/>
    <x v="109"/>
    <x v="0"/>
    <x v="1"/>
    <x v="34"/>
    <x v="0"/>
    <x v="883"/>
    <x v="884"/>
    <x v="0"/>
    <x v="28"/>
    <x v="2"/>
    <x v="1"/>
    <x v="1"/>
    <x v="884"/>
    <x v="884"/>
    <x v="884"/>
    <x v="884"/>
    <x v="884"/>
    <x v="883"/>
    <x v="884"/>
    <x v="0"/>
    <x v="1"/>
    <x v="884"/>
    <x v="884"/>
    <x v="1"/>
  </r>
  <r>
    <x v="99"/>
    <x v="210"/>
    <x v="4"/>
    <x v="2"/>
    <x v="37"/>
    <x v="1"/>
    <x v="884"/>
    <x v="885"/>
    <x v="1"/>
    <x v="18"/>
    <x v="2"/>
    <x v="1"/>
    <x v="9"/>
    <x v="885"/>
    <x v="885"/>
    <x v="885"/>
    <x v="885"/>
    <x v="885"/>
    <x v="884"/>
    <x v="885"/>
    <x v="0"/>
    <x v="0"/>
    <x v="885"/>
    <x v="885"/>
    <x v="0"/>
  </r>
  <r>
    <x v="87"/>
    <x v="241"/>
    <x v="0"/>
    <x v="1"/>
    <x v="31"/>
    <x v="0"/>
    <x v="885"/>
    <x v="886"/>
    <x v="1"/>
    <x v="15"/>
    <x v="0"/>
    <x v="0"/>
    <x v="1"/>
    <x v="886"/>
    <x v="886"/>
    <x v="886"/>
    <x v="886"/>
    <x v="886"/>
    <x v="885"/>
    <x v="886"/>
    <x v="0"/>
    <x v="0"/>
    <x v="886"/>
    <x v="886"/>
    <x v="0"/>
  </r>
  <r>
    <x v="90"/>
    <x v="85"/>
    <x v="0"/>
    <x v="0"/>
    <x v="40"/>
    <x v="2"/>
    <x v="886"/>
    <x v="887"/>
    <x v="0"/>
    <x v="15"/>
    <x v="0"/>
    <x v="1"/>
    <x v="0"/>
    <x v="887"/>
    <x v="887"/>
    <x v="887"/>
    <x v="887"/>
    <x v="887"/>
    <x v="886"/>
    <x v="887"/>
    <x v="0"/>
    <x v="1"/>
    <x v="887"/>
    <x v="887"/>
    <x v="1"/>
  </r>
  <r>
    <x v="55"/>
    <x v="248"/>
    <x v="0"/>
    <x v="1"/>
    <x v="21"/>
    <x v="0"/>
    <x v="887"/>
    <x v="888"/>
    <x v="0"/>
    <x v="30"/>
    <x v="0"/>
    <x v="1"/>
    <x v="1"/>
    <x v="888"/>
    <x v="888"/>
    <x v="888"/>
    <x v="888"/>
    <x v="888"/>
    <x v="887"/>
    <x v="888"/>
    <x v="0"/>
    <x v="0"/>
    <x v="888"/>
    <x v="888"/>
    <x v="0"/>
  </r>
  <r>
    <x v="90"/>
    <x v="294"/>
    <x v="2"/>
    <x v="3"/>
    <x v="22"/>
    <x v="0"/>
    <x v="888"/>
    <x v="889"/>
    <x v="1"/>
    <x v="14"/>
    <x v="0"/>
    <x v="0"/>
    <x v="4"/>
    <x v="889"/>
    <x v="889"/>
    <x v="889"/>
    <x v="889"/>
    <x v="889"/>
    <x v="888"/>
    <x v="889"/>
    <x v="0"/>
    <x v="0"/>
    <x v="889"/>
    <x v="889"/>
    <x v="0"/>
  </r>
  <r>
    <x v="42"/>
    <x v="270"/>
    <x v="3"/>
    <x v="2"/>
    <x v="11"/>
    <x v="1"/>
    <x v="889"/>
    <x v="890"/>
    <x v="1"/>
    <x v="5"/>
    <x v="1"/>
    <x v="0"/>
    <x v="6"/>
    <x v="890"/>
    <x v="890"/>
    <x v="890"/>
    <x v="890"/>
    <x v="890"/>
    <x v="889"/>
    <x v="890"/>
    <x v="0"/>
    <x v="1"/>
    <x v="890"/>
    <x v="890"/>
    <x v="1"/>
  </r>
  <r>
    <x v="9"/>
    <x v="250"/>
    <x v="1"/>
    <x v="2"/>
    <x v="29"/>
    <x v="1"/>
    <x v="890"/>
    <x v="891"/>
    <x v="1"/>
    <x v="14"/>
    <x v="0"/>
    <x v="0"/>
    <x v="2"/>
    <x v="891"/>
    <x v="891"/>
    <x v="891"/>
    <x v="891"/>
    <x v="891"/>
    <x v="890"/>
    <x v="891"/>
    <x v="0"/>
    <x v="0"/>
    <x v="891"/>
    <x v="891"/>
    <x v="0"/>
  </r>
  <r>
    <x v="91"/>
    <x v="126"/>
    <x v="1"/>
    <x v="3"/>
    <x v="20"/>
    <x v="3"/>
    <x v="891"/>
    <x v="892"/>
    <x v="1"/>
    <x v="17"/>
    <x v="0"/>
    <x v="0"/>
    <x v="16"/>
    <x v="892"/>
    <x v="892"/>
    <x v="892"/>
    <x v="892"/>
    <x v="892"/>
    <x v="891"/>
    <x v="892"/>
    <x v="0"/>
    <x v="1"/>
    <x v="892"/>
    <x v="892"/>
    <x v="1"/>
  </r>
  <r>
    <x v="54"/>
    <x v="154"/>
    <x v="2"/>
    <x v="1"/>
    <x v="48"/>
    <x v="3"/>
    <x v="892"/>
    <x v="893"/>
    <x v="0"/>
    <x v="1"/>
    <x v="0"/>
    <x v="0"/>
    <x v="5"/>
    <x v="893"/>
    <x v="893"/>
    <x v="893"/>
    <x v="893"/>
    <x v="893"/>
    <x v="892"/>
    <x v="893"/>
    <x v="0"/>
    <x v="1"/>
    <x v="893"/>
    <x v="893"/>
    <x v="1"/>
  </r>
  <r>
    <x v="51"/>
    <x v="141"/>
    <x v="0"/>
    <x v="0"/>
    <x v="23"/>
    <x v="1"/>
    <x v="893"/>
    <x v="894"/>
    <x v="1"/>
    <x v="10"/>
    <x v="0"/>
    <x v="1"/>
    <x v="0"/>
    <x v="894"/>
    <x v="894"/>
    <x v="894"/>
    <x v="894"/>
    <x v="894"/>
    <x v="893"/>
    <x v="894"/>
    <x v="0"/>
    <x v="1"/>
    <x v="894"/>
    <x v="894"/>
    <x v="1"/>
  </r>
  <r>
    <x v="14"/>
    <x v="67"/>
    <x v="2"/>
    <x v="3"/>
    <x v="3"/>
    <x v="0"/>
    <x v="894"/>
    <x v="895"/>
    <x v="0"/>
    <x v="22"/>
    <x v="1"/>
    <x v="0"/>
    <x v="4"/>
    <x v="895"/>
    <x v="895"/>
    <x v="895"/>
    <x v="895"/>
    <x v="895"/>
    <x v="894"/>
    <x v="895"/>
    <x v="0"/>
    <x v="1"/>
    <x v="895"/>
    <x v="895"/>
    <x v="1"/>
  </r>
  <r>
    <x v="83"/>
    <x v="166"/>
    <x v="2"/>
    <x v="3"/>
    <x v="41"/>
    <x v="0"/>
    <x v="895"/>
    <x v="896"/>
    <x v="0"/>
    <x v="5"/>
    <x v="2"/>
    <x v="1"/>
    <x v="4"/>
    <x v="896"/>
    <x v="896"/>
    <x v="896"/>
    <x v="896"/>
    <x v="896"/>
    <x v="895"/>
    <x v="896"/>
    <x v="0"/>
    <x v="0"/>
    <x v="896"/>
    <x v="896"/>
    <x v="0"/>
  </r>
  <r>
    <x v="77"/>
    <x v="318"/>
    <x v="4"/>
    <x v="1"/>
    <x v="44"/>
    <x v="3"/>
    <x v="896"/>
    <x v="897"/>
    <x v="1"/>
    <x v="22"/>
    <x v="2"/>
    <x v="0"/>
    <x v="17"/>
    <x v="897"/>
    <x v="897"/>
    <x v="897"/>
    <x v="897"/>
    <x v="897"/>
    <x v="896"/>
    <x v="897"/>
    <x v="0"/>
    <x v="0"/>
    <x v="897"/>
    <x v="897"/>
    <x v="0"/>
  </r>
  <r>
    <x v="80"/>
    <x v="111"/>
    <x v="3"/>
    <x v="2"/>
    <x v="26"/>
    <x v="3"/>
    <x v="897"/>
    <x v="898"/>
    <x v="1"/>
    <x v="5"/>
    <x v="2"/>
    <x v="1"/>
    <x v="6"/>
    <x v="898"/>
    <x v="898"/>
    <x v="898"/>
    <x v="898"/>
    <x v="898"/>
    <x v="897"/>
    <x v="898"/>
    <x v="0"/>
    <x v="1"/>
    <x v="898"/>
    <x v="898"/>
    <x v="1"/>
  </r>
  <r>
    <x v="8"/>
    <x v="219"/>
    <x v="1"/>
    <x v="1"/>
    <x v="42"/>
    <x v="3"/>
    <x v="898"/>
    <x v="899"/>
    <x v="1"/>
    <x v="11"/>
    <x v="2"/>
    <x v="0"/>
    <x v="13"/>
    <x v="899"/>
    <x v="899"/>
    <x v="899"/>
    <x v="899"/>
    <x v="899"/>
    <x v="898"/>
    <x v="899"/>
    <x v="0"/>
    <x v="0"/>
    <x v="899"/>
    <x v="899"/>
    <x v="0"/>
  </r>
  <r>
    <x v="71"/>
    <x v="53"/>
    <x v="0"/>
    <x v="3"/>
    <x v="34"/>
    <x v="2"/>
    <x v="899"/>
    <x v="900"/>
    <x v="1"/>
    <x v="24"/>
    <x v="2"/>
    <x v="1"/>
    <x v="12"/>
    <x v="900"/>
    <x v="900"/>
    <x v="900"/>
    <x v="900"/>
    <x v="900"/>
    <x v="899"/>
    <x v="900"/>
    <x v="0"/>
    <x v="1"/>
    <x v="900"/>
    <x v="900"/>
    <x v="1"/>
  </r>
  <r>
    <x v="33"/>
    <x v="15"/>
    <x v="1"/>
    <x v="3"/>
    <x v="7"/>
    <x v="2"/>
    <x v="900"/>
    <x v="901"/>
    <x v="0"/>
    <x v="21"/>
    <x v="1"/>
    <x v="1"/>
    <x v="16"/>
    <x v="901"/>
    <x v="901"/>
    <x v="901"/>
    <x v="901"/>
    <x v="901"/>
    <x v="900"/>
    <x v="901"/>
    <x v="0"/>
    <x v="1"/>
    <x v="901"/>
    <x v="901"/>
    <x v="1"/>
  </r>
  <r>
    <x v="29"/>
    <x v="314"/>
    <x v="1"/>
    <x v="2"/>
    <x v="26"/>
    <x v="3"/>
    <x v="901"/>
    <x v="902"/>
    <x v="0"/>
    <x v="7"/>
    <x v="2"/>
    <x v="1"/>
    <x v="2"/>
    <x v="902"/>
    <x v="902"/>
    <x v="902"/>
    <x v="902"/>
    <x v="902"/>
    <x v="901"/>
    <x v="902"/>
    <x v="0"/>
    <x v="1"/>
    <x v="902"/>
    <x v="902"/>
    <x v="1"/>
  </r>
  <r>
    <x v="56"/>
    <x v="313"/>
    <x v="3"/>
    <x v="2"/>
    <x v="8"/>
    <x v="0"/>
    <x v="902"/>
    <x v="903"/>
    <x v="0"/>
    <x v="10"/>
    <x v="1"/>
    <x v="1"/>
    <x v="6"/>
    <x v="903"/>
    <x v="903"/>
    <x v="903"/>
    <x v="903"/>
    <x v="903"/>
    <x v="902"/>
    <x v="903"/>
    <x v="0"/>
    <x v="0"/>
    <x v="903"/>
    <x v="903"/>
    <x v="0"/>
  </r>
  <r>
    <x v="8"/>
    <x v="334"/>
    <x v="1"/>
    <x v="2"/>
    <x v="35"/>
    <x v="3"/>
    <x v="903"/>
    <x v="904"/>
    <x v="1"/>
    <x v="9"/>
    <x v="1"/>
    <x v="1"/>
    <x v="2"/>
    <x v="904"/>
    <x v="904"/>
    <x v="904"/>
    <x v="904"/>
    <x v="904"/>
    <x v="903"/>
    <x v="904"/>
    <x v="0"/>
    <x v="1"/>
    <x v="904"/>
    <x v="904"/>
    <x v="1"/>
  </r>
  <r>
    <x v="93"/>
    <x v="168"/>
    <x v="1"/>
    <x v="1"/>
    <x v="7"/>
    <x v="2"/>
    <x v="904"/>
    <x v="905"/>
    <x v="0"/>
    <x v="24"/>
    <x v="2"/>
    <x v="1"/>
    <x v="13"/>
    <x v="905"/>
    <x v="905"/>
    <x v="905"/>
    <x v="905"/>
    <x v="905"/>
    <x v="904"/>
    <x v="905"/>
    <x v="0"/>
    <x v="1"/>
    <x v="905"/>
    <x v="905"/>
    <x v="1"/>
  </r>
  <r>
    <x v="45"/>
    <x v="274"/>
    <x v="2"/>
    <x v="2"/>
    <x v="38"/>
    <x v="0"/>
    <x v="905"/>
    <x v="906"/>
    <x v="1"/>
    <x v="6"/>
    <x v="2"/>
    <x v="1"/>
    <x v="10"/>
    <x v="906"/>
    <x v="906"/>
    <x v="906"/>
    <x v="906"/>
    <x v="906"/>
    <x v="905"/>
    <x v="906"/>
    <x v="0"/>
    <x v="1"/>
    <x v="906"/>
    <x v="906"/>
    <x v="1"/>
  </r>
  <r>
    <x v="38"/>
    <x v="43"/>
    <x v="3"/>
    <x v="3"/>
    <x v="25"/>
    <x v="2"/>
    <x v="906"/>
    <x v="907"/>
    <x v="0"/>
    <x v="16"/>
    <x v="2"/>
    <x v="1"/>
    <x v="14"/>
    <x v="907"/>
    <x v="907"/>
    <x v="907"/>
    <x v="907"/>
    <x v="907"/>
    <x v="906"/>
    <x v="907"/>
    <x v="0"/>
    <x v="1"/>
    <x v="907"/>
    <x v="907"/>
    <x v="1"/>
  </r>
  <r>
    <x v="38"/>
    <x v="196"/>
    <x v="4"/>
    <x v="3"/>
    <x v="4"/>
    <x v="0"/>
    <x v="907"/>
    <x v="908"/>
    <x v="1"/>
    <x v="19"/>
    <x v="0"/>
    <x v="1"/>
    <x v="18"/>
    <x v="908"/>
    <x v="908"/>
    <x v="908"/>
    <x v="908"/>
    <x v="908"/>
    <x v="907"/>
    <x v="908"/>
    <x v="0"/>
    <x v="1"/>
    <x v="908"/>
    <x v="908"/>
    <x v="1"/>
  </r>
  <r>
    <x v="87"/>
    <x v="197"/>
    <x v="0"/>
    <x v="0"/>
    <x v="44"/>
    <x v="2"/>
    <x v="908"/>
    <x v="909"/>
    <x v="0"/>
    <x v="12"/>
    <x v="1"/>
    <x v="1"/>
    <x v="0"/>
    <x v="909"/>
    <x v="909"/>
    <x v="909"/>
    <x v="909"/>
    <x v="909"/>
    <x v="908"/>
    <x v="909"/>
    <x v="0"/>
    <x v="1"/>
    <x v="909"/>
    <x v="909"/>
    <x v="1"/>
  </r>
  <r>
    <x v="97"/>
    <x v="59"/>
    <x v="1"/>
    <x v="1"/>
    <x v="41"/>
    <x v="0"/>
    <x v="909"/>
    <x v="910"/>
    <x v="0"/>
    <x v="24"/>
    <x v="2"/>
    <x v="0"/>
    <x v="13"/>
    <x v="910"/>
    <x v="910"/>
    <x v="910"/>
    <x v="910"/>
    <x v="910"/>
    <x v="909"/>
    <x v="910"/>
    <x v="0"/>
    <x v="1"/>
    <x v="910"/>
    <x v="910"/>
    <x v="1"/>
  </r>
  <r>
    <x v="95"/>
    <x v="330"/>
    <x v="0"/>
    <x v="0"/>
    <x v="23"/>
    <x v="0"/>
    <x v="910"/>
    <x v="911"/>
    <x v="1"/>
    <x v="29"/>
    <x v="0"/>
    <x v="1"/>
    <x v="0"/>
    <x v="911"/>
    <x v="911"/>
    <x v="911"/>
    <x v="911"/>
    <x v="911"/>
    <x v="910"/>
    <x v="911"/>
    <x v="0"/>
    <x v="1"/>
    <x v="911"/>
    <x v="911"/>
    <x v="1"/>
  </r>
  <r>
    <x v="78"/>
    <x v="247"/>
    <x v="4"/>
    <x v="3"/>
    <x v="5"/>
    <x v="0"/>
    <x v="911"/>
    <x v="912"/>
    <x v="0"/>
    <x v="20"/>
    <x v="1"/>
    <x v="1"/>
    <x v="18"/>
    <x v="912"/>
    <x v="912"/>
    <x v="912"/>
    <x v="912"/>
    <x v="912"/>
    <x v="911"/>
    <x v="912"/>
    <x v="0"/>
    <x v="1"/>
    <x v="912"/>
    <x v="912"/>
    <x v="1"/>
  </r>
  <r>
    <x v="95"/>
    <x v="114"/>
    <x v="0"/>
    <x v="0"/>
    <x v="37"/>
    <x v="0"/>
    <x v="912"/>
    <x v="913"/>
    <x v="0"/>
    <x v="1"/>
    <x v="0"/>
    <x v="0"/>
    <x v="0"/>
    <x v="913"/>
    <x v="913"/>
    <x v="913"/>
    <x v="913"/>
    <x v="913"/>
    <x v="912"/>
    <x v="913"/>
    <x v="0"/>
    <x v="1"/>
    <x v="913"/>
    <x v="913"/>
    <x v="1"/>
  </r>
  <r>
    <x v="75"/>
    <x v="153"/>
    <x v="4"/>
    <x v="3"/>
    <x v="48"/>
    <x v="1"/>
    <x v="913"/>
    <x v="914"/>
    <x v="1"/>
    <x v="21"/>
    <x v="0"/>
    <x v="1"/>
    <x v="18"/>
    <x v="914"/>
    <x v="914"/>
    <x v="914"/>
    <x v="914"/>
    <x v="914"/>
    <x v="913"/>
    <x v="914"/>
    <x v="0"/>
    <x v="0"/>
    <x v="914"/>
    <x v="914"/>
    <x v="0"/>
  </r>
  <r>
    <x v="1"/>
    <x v="82"/>
    <x v="2"/>
    <x v="0"/>
    <x v="7"/>
    <x v="2"/>
    <x v="914"/>
    <x v="915"/>
    <x v="1"/>
    <x v="5"/>
    <x v="2"/>
    <x v="1"/>
    <x v="19"/>
    <x v="915"/>
    <x v="915"/>
    <x v="915"/>
    <x v="915"/>
    <x v="915"/>
    <x v="914"/>
    <x v="915"/>
    <x v="0"/>
    <x v="0"/>
    <x v="915"/>
    <x v="915"/>
    <x v="0"/>
  </r>
  <r>
    <x v="82"/>
    <x v="143"/>
    <x v="1"/>
    <x v="2"/>
    <x v="23"/>
    <x v="2"/>
    <x v="915"/>
    <x v="916"/>
    <x v="1"/>
    <x v="12"/>
    <x v="1"/>
    <x v="0"/>
    <x v="2"/>
    <x v="916"/>
    <x v="916"/>
    <x v="916"/>
    <x v="916"/>
    <x v="916"/>
    <x v="915"/>
    <x v="916"/>
    <x v="0"/>
    <x v="1"/>
    <x v="916"/>
    <x v="916"/>
    <x v="1"/>
  </r>
  <r>
    <x v="50"/>
    <x v="335"/>
    <x v="4"/>
    <x v="0"/>
    <x v="40"/>
    <x v="1"/>
    <x v="916"/>
    <x v="917"/>
    <x v="1"/>
    <x v="20"/>
    <x v="0"/>
    <x v="0"/>
    <x v="15"/>
    <x v="917"/>
    <x v="917"/>
    <x v="917"/>
    <x v="917"/>
    <x v="917"/>
    <x v="916"/>
    <x v="917"/>
    <x v="0"/>
    <x v="1"/>
    <x v="917"/>
    <x v="917"/>
    <x v="1"/>
  </r>
  <r>
    <x v="4"/>
    <x v="127"/>
    <x v="0"/>
    <x v="2"/>
    <x v="36"/>
    <x v="0"/>
    <x v="917"/>
    <x v="918"/>
    <x v="1"/>
    <x v="24"/>
    <x v="1"/>
    <x v="1"/>
    <x v="3"/>
    <x v="918"/>
    <x v="918"/>
    <x v="918"/>
    <x v="918"/>
    <x v="918"/>
    <x v="917"/>
    <x v="918"/>
    <x v="0"/>
    <x v="1"/>
    <x v="918"/>
    <x v="918"/>
    <x v="1"/>
  </r>
  <r>
    <x v="32"/>
    <x v="231"/>
    <x v="1"/>
    <x v="2"/>
    <x v="18"/>
    <x v="0"/>
    <x v="918"/>
    <x v="919"/>
    <x v="0"/>
    <x v="19"/>
    <x v="2"/>
    <x v="0"/>
    <x v="2"/>
    <x v="919"/>
    <x v="919"/>
    <x v="919"/>
    <x v="919"/>
    <x v="919"/>
    <x v="918"/>
    <x v="919"/>
    <x v="0"/>
    <x v="1"/>
    <x v="919"/>
    <x v="919"/>
    <x v="1"/>
  </r>
  <r>
    <x v="88"/>
    <x v="291"/>
    <x v="2"/>
    <x v="1"/>
    <x v="27"/>
    <x v="2"/>
    <x v="919"/>
    <x v="920"/>
    <x v="1"/>
    <x v="8"/>
    <x v="1"/>
    <x v="1"/>
    <x v="5"/>
    <x v="920"/>
    <x v="920"/>
    <x v="920"/>
    <x v="920"/>
    <x v="920"/>
    <x v="919"/>
    <x v="920"/>
    <x v="0"/>
    <x v="0"/>
    <x v="920"/>
    <x v="920"/>
    <x v="0"/>
  </r>
  <r>
    <x v="5"/>
    <x v="260"/>
    <x v="1"/>
    <x v="2"/>
    <x v="18"/>
    <x v="1"/>
    <x v="920"/>
    <x v="921"/>
    <x v="0"/>
    <x v="17"/>
    <x v="0"/>
    <x v="1"/>
    <x v="2"/>
    <x v="921"/>
    <x v="921"/>
    <x v="921"/>
    <x v="921"/>
    <x v="921"/>
    <x v="920"/>
    <x v="921"/>
    <x v="0"/>
    <x v="0"/>
    <x v="921"/>
    <x v="921"/>
    <x v="0"/>
  </r>
  <r>
    <x v="68"/>
    <x v="197"/>
    <x v="4"/>
    <x v="2"/>
    <x v="40"/>
    <x v="0"/>
    <x v="921"/>
    <x v="922"/>
    <x v="0"/>
    <x v="15"/>
    <x v="0"/>
    <x v="1"/>
    <x v="9"/>
    <x v="922"/>
    <x v="922"/>
    <x v="922"/>
    <x v="922"/>
    <x v="922"/>
    <x v="921"/>
    <x v="922"/>
    <x v="0"/>
    <x v="1"/>
    <x v="922"/>
    <x v="922"/>
    <x v="1"/>
  </r>
  <r>
    <x v="60"/>
    <x v="34"/>
    <x v="2"/>
    <x v="0"/>
    <x v="8"/>
    <x v="0"/>
    <x v="922"/>
    <x v="923"/>
    <x v="1"/>
    <x v="8"/>
    <x v="1"/>
    <x v="0"/>
    <x v="19"/>
    <x v="923"/>
    <x v="923"/>
    <x v="923"/>
    <x v="923"/>
    <x v="923"/>
    <x v="922"/>
    <x v="923"/>
    <x v="0"/>
    <x v="0"/>
    <x v="923"/>
    <x v="923"/>
    <x v="0"/>
  </r>
  <r>
    <x v="28"/>
    <x v="241"/>
    <x v="0"/>
    <x v="3"/>
    <x v="20"/>
    <x v="0"/>
    <x v="923"/>
    <x v="924"/>
    <x v="0"/>
    <x v="22"/>
    <x v="0"/>
    <x v="1"/>
    <x v="12"/>
    <x v="924"/>
    <x v="924"/>
    <x v="924"/>
    <x v="924"/>
    <x v="924"/>
    <x v="923"/>
    <x v="924"/>
    <x v="0"/>
    <x v="1"/>
    <x v="924"/>
    <x v="924"/>
    <x v="1"/>
  </r>
  <r>
    <x v="27"/>
    <x v="322"/>
    <x v="2"/>
    <x v="1"/>
    <x v="42"/>
    <x v="3"/>
    <x v="924"/>
    <x v="925"/>
    <x v="0"/>
    <x v="12"/>
    <x v="0"/>
    <x v="1"/>
    <x v="5"/>
    <x v="925"/>
    <x v="925"/>
    <x v="925"/>
    <x v="925"/>
    <x v="925"/>
    <x v="924"/>
    <x v="925"/>
    <x v="0"/>
    <x v="1"/>
    <x v="925"/>
    <x v="925"/>
    <x v="1"/>
  </r>
  <r>
    <x v="4"/>
    <x v="2"/>
    <x v="2"/>
    <x v="2"/>
    <x v="44"/>
    <x v="1"/>
    <x v="925"/>
    <x v="926"/>
    <x v="1"/>
    <x v="10"/>
    <x v="0"/>
    <x v="0"/>
    <x v="10"/>
    <x v="926"/>
    <x v="926"/>
    <x v="926"/>
    <x v="926"/>
    <x v="926"/>
    <x v="925"/>
    <x v="926"/>
    <x v="0"/>
    <x v="1"/>
    <x v="926"/>
    <x v="926"/>
    <x v="1"/>
  </r>
  <r>
    <x v="13"/>
    <x v="90"/>
    <x v="3"/>
    <x v="1"/>
    <x v="6"/>
    <x v="0"/>
    <x v="926"/>
    <x v="927"/>
    <x v="0"/>
    <x v="9"/>
    <x v="2"/>
    <x v="1"/>
    <x v="8"/>
    <x v="927"/>
    <x v="927"/>
    <x v="927"/>
    <x v="927"/>
    <x v="927"/>
    <x v="926"/>
    <x v="927"/>
    <x v="0"/>
    <x v="0"/>
    <x v="927"/>
    <x v="927"/>
    <x v="0"/>
  </r>
  <r>
    <x v="5"/>
    <x v="68"/>
    <x v="2"/>
    <x v="0"/>
    <x v="12"/>
    <x v="3"/>
    <x v="927"/>
    <x v="928"/>
    <x v="1"/>
    <x v="11"/>
    <x v="2"/>
    <x v="1"/>
    <x v="19"/>
    <x v="928"/>
    <x v="928"/>
    <x v="928"/>
    <x v="928"/>
    <x v="928"/>
    <x v="927"/>
    <x v="928"/>
    <x v="0"/>
    <x v="0"/>
    <x v="928"/>
    <x v="928"/>
    <x v="0"/>
  </r>
  <r>
    <x v="86"/>
    <x v="336"/>
    <x v="2"/>
    <x v="2"/>
    <x v="19"/>
    <x v="1"/>
    <x v="928"/>
    <x v="929"/>
    <x v="1"/>
    <x v="0"/>
    <x v="0"/>
    <x v="1"/>
    <x v="10"/>
    <x v="929"/>
    <x v="929"/>
    <x v="929"/>
    <x v="929"/>
    <x v="929"/>
    <x v="928"/>
    <x v="929"/>
    <x v="0"/>
    <x v="1"/>
    <x v="929"/>
    <x v="929"/>
    <x v="1"/>
  </r>
  <r>
    <x v="66"/>
    <x v="24"/>
    <x v="1"/>
    <x v="0"/>
    <x v="43"/>
    <x v="0"/>
    <x v="704"/>
    <x v="930"/>
    <x v="1"/>
    <x v="28"/>
    <x v="1"/>
    <x v="1"/>
    <x v="11"/>
    <x v="930"/>
    <x v="930"/>
    <x v="930"/>
    <x v="930"/>
    <x v="930"/>
    <x v="929"/>
    <x v="930"/>
    <x v="0"/>
    <x v="1"/>
    <x v="930"/>
    <x v="930"/>
    <x v="1"/>
  </r>
  <r>
    <x v="68"/>
    <x v="76"/>
    <x v="0"/>
    <x v="1"/>
    <x v="28"/>
    <x v="2"/>
    <x v="929"/>
    <x v="931"/>
    <x v="0"/>
    <x v="15"/>
    <x v="2"/>
    <x v="1"/>
    <x v="1"/>
    <x v="931"/>
    <x v="931"/>
    <x v="931"/>
    <x v="931"/>
    <x v="931"/>
    <x v="930"/>
    <x v="931"/>
    <x v="0"/>
    <x v="0"/>
    <x v="931"/>
    <x v="931"/>
    <x v="0"/>
  </r>
  <r>
    <x v="70"/>
    <x v="24"/>
    <x v="1"/>
    <x v="0"/>
    <x v="28"/>
    <x v="3"/>
    <x v="930"/>
    <x v="932"/>
    <x v="0"/>
    <x v="21"/>
    <x v="1"/>
    <x v="1"/>
    <x v="11"/>
    <x v="932"/>
    <x v="932"/>
    <x v="932"/>
    <x v="932"/>
    <x v="932"/>
    <x v="931"/>
    <x v="932"/>
    <x v="0"/>
    <x v="0"/>
    <x v="932"/>
    <x v="932"/>
    <x v="0"/>
  </r>
  <r>
    <x v="41"/>
    <x v="1"/>
    <x v="1"/>
    <x v="1"/>
    <x v="22"/>
    <x v="3"/>
    <x v="931"/>
    <x v="933"/>
    <x v="0"/>
    <x v="9"/>
    <x v="0"/>
    <x v="0"/>
    <x v="13"/>
    <x v="933"/>
    <x v="933"/>
    <x v="933"/>
    <x v="933"/>
    <x v="933"/>
    <x v="932"/>
    <x v="933"/>
    <x v="0"/>
    <x v="0"/>
    <x v="933"/>
    <x v="933"/>
    <x v="0"/>
  </r>
  <r>
    <x v="98"/>
    <x v="175"/>
    <x v="4"/>
    <x v="0"/>
    <x v="2"/>
    <x v="0"/>
    <x v="932"/>
    <x v="934"/>
    <x v="0"/>
    <x v="4"/>
    <x v="0"/>
    <x v="1"/>
    <x v="15"/>
    <x v="934"/>
    <x v="934"/>
    <x v="934"/>
    <x v="934"/>
    <x v="934"/>
    <x v="933"/>
    <x v="934"/>
    <x v="0"/>
    <x v="0"/>
    <x v="934"/>
    <x v="934"/>
    <x v="0"/>
  </r>
  <r>
    <x v="54"/>
    <x v="212"/>
    <x v="1"/>
    <x v="1"/>
    <x v="40"/>
    <x v="0"/>
    <x v="933"/>
    <x v="935"/>
    <x v="1"/>
    <x v="29"/>
    <x v="1"/>
    <x v="1"/>
    <x v="13"/>
    <x v="935"/>
    <x v="935"/>
    <x v="935"/>
    <x v="935"/>
    <x v="935"/>
    <x v="934"/>
    <x v="935"/>
    <x v="0"/>
    <x v="0"/>
    <x v="935"/>
    <x v="935"/>
    <x v="0"/>
  </r>
  <r>
    <x v="24"/>
    <x v="76"/>
    <x v="3"/>
    <x v="3"/>
    <x v="1"/>
    <x v="3"/>
    <x v="934"/>
    <x v="936"/>
    <x v="0"/>
    <x v="21"/>
    <x v="2"/>
    <x v="0"/>
    <x v="14"/>
    <x v="936"/>
    <x v="936"/>
    <x v="936"/>
    <x v="936"/>
    <x v="936"/>
    <x v="935"/>
    <x v="936"/>
    <x v="0"/>
    <x v="0"/>
    <x v="936"/>
    <x v="936"/>
    <x v="0"/>
  </r>
  <r>
    <x v="47"/>
    <x v="328"/>
    <x v="3"/>
    <x v="0"/>
    <x v="45"/>
    <x v="2"/>
    <x v="935"/>
    <x v="937"/>
    <x v="1"/>
    <x v="30"/>
    <x v="1"/>
    <x v="1"/>
    <x v="7"/>
    <x v="937"/>
    <x v="937"/>
    <x v="937"/>
    <x v="937"/>
    <x v="937"/>
    <x v="936"/>
    <x v="937"/>
    <x v="0"/>
    <x v="0"/>
    <x v="937"/>
    <x v="937"/>
    <x v="0"/>
  </r>
  <r>
    <x v="41"/>
    <x v="310"/>
    <x v="4"/>
    <x v="0"/>
    <x v="25"/>
    <x v="2"/>
    <x v="936"/>
    <x v="938"/>
    <x v="0"/>
    <x v="11"/>
    <x v="1"/>
    <x v="1"/>
    <x v="15"/>
    <x v="938"/>
    <x v="938"/>
    <x v="938"/>
    <x v="938"/>
    <x v="938"/>
    <x v="937"/>
    <x v="938"/>
    <x v="0"/>
    <x v="0"/>
    <x v="938"/>
    <x v="938"/>
    <x v="0"/>
  </r>
  <r>
    <x v="64"/>
    <x v="320"/>
    <x v="0"/>
    <x v="3"/>
    <x v="7"/>
    <x v="1"/>
    <x v="937"/>
    <x v="939"/>
    <x v="0"/>
    <x v="15"/>
    <x v="0"/>
    <x v="0"/>
    <x v="12"/>
    <x v="939"/>
    <x v="939"/>
    <x v="939"/>
    <x v="939"/>
    <x v="939"/>
    <x v="938"/>
    <x v="939"/>
    <x v="0"/>
    <x v="0"/>
    <x v="939"/>
    <x v="939"/>
    <x v="0"/>
  </r>
  <r>
    <x v="75"/>
    <x v="285"/>
    <x v="0"/>
    <x v="3"/>
    <x v="2"/>
    <x v="0"/>
    <x v="938"/>
    <x v="940"/>
    <x v="0"/>
    <x v="2"/>
    <x v="2"/>
    <x v="0"/>
    <x v="12"/>
    <x v="940"/>
    <x v="940"/>
    <x v="940"/>
    <x v="940"/>
    <x v="940"/>
    <x v="939"/>
    <x v="940"/>
    <x v="0"/>
    <x v="0"/>
    <x v="940"/>
    <x v="940"/>
    <x v="0"/>
  </r>
  <r>
    <x v="35"/>
    <x v="152"/>
    <x v="1"/>
    <x v="0"/>
    <x v="6"/>
    <x v="2"/>
    <x v="939"/>
    <x v="941"/>
    <x v="0"/>
    <x v="20"/>
    <x v="1"/>
    <x v="0"/>
    <x v="11"/>
    <x v="941"/>
    <x v="941"/>
    <x v="941"/>
    <x v="941"/>
    <x v="941"/>
    <x v="940"/>
    <x v="941"/>
    <x v="0"/>
    <x v="1"/>
    <x v="941"/>
    <x v="941"/>
    <x v="1"/>
  </r>
  <r>
    <x v="61"/>
    <x v="158"/>
    <x v="1"/>
    <x v="3"/>
    <x v="27"/>
    <x v="1"/>
    <x v="940"/>
    <x v="942"/>
    <x v="0"/>
    <x v="6"/>
    <x v="2"/>
    <x v="0"/>
    <x v="16"/>
    <x v="942"/>
    <x v="942"/>
    <x v="942"/>
    <x v="942"/>
    <x v="942"/>
    <x v="941"/>
    <x v="942"/>
    <x v="0"/>
    <x v="0"/>
    <x v="942"/>
    <x v="942"/>
    <x v="0"/>
  </r>
  <r>
    <x v="31"/>
    <x v="217"/>
    <x v="1"/>
    <x v="2"/>
    <x v="13"/>
    <x v="2"/>
    <x v="941"/>
    <x v="943"/>
    <x v="1"/>
    <x v="5"/>
    <x v="0"/>
    <x v="0"/>
    <x v="2"/>
    <x v="943"/>
    <x v="943"/>
    <x v="943"/>
    <x v="943"/>
    <x v="943"/>
    <x v="942"/>
    <x v="943"/>
    <x v="0"/>
    <x v="0"/>
    <x v="943"/>
    <x v="943"/>
    <x v="0"/>
  </r>
  <r>
    <x v="74"/>
    <x v="242"/>
    <x v="0"/>
    <x v="1"/>
    <x v="7"/>
    <x v="0"/>
    <x v="942"/>
    <x v="944"/>
    <x v="0"/>
    <x v="1"/>
    <x v="2"/>
    <x v="0"/>
    <x v="1"/>
    <x v="944"/>
    <x v="944"/>
    <x v="944"/>
    <x v="944"/>
    <x v="944"/>
    <x v="943"/>
    <x v="944"/>
    <x v="0"/>
    <x v="0"/>
    <x v="944"/>
    <x v="944"/>
    <x v="0"/>
  </r>
  <r>
    <x v="87"/>
    <x v="107"/>
    <x v="2"/>
    <x v="1"/>
    <x v="44"/>
    <x v="1"/>
    <x v="943"/>
    <x v="945"/>
    <x v="0"/>
    <x v="2"/>
    <x v="0"/>
    <x v="0"/>
    <x v="5"/>
    <x v="945"/>
    <x v="945"/>
    <x v="945"/>
    <x v="945"/>
    <x v="945"/>
    <x v="944"/>
    <x v="945"/>
    <x v="0"/>
    <x v="1"/>
    <x v="945"/>
    <x v="945"/>
    <x v="1"/>
  </r>
  <r>
    <x v="79"/>
    <x v="267"/>
    <x v="3"/>
    <x v="1"/>
    <x v="34"/>
    <x v="1"/>
    <x v="944"/>
    <x v="946"/>
    <x v="0"/>
    <x v="30"/>
    <x v="2"/>
    <x v="1"/>
    <x v="8"/>
    <x v="946"/>
    <x v="946"/>
    <x v="946"/>
    <x v="946"/>
    <x v="946"/>
    <x v="945"/>
    <x v="946"/>
    <x v="0"/>
    <x v="0"/>
    <x v="946"/>
    <x v="946"/>
    <x v="0"/>
  </r>
  <r>
    <x v="53"/>
    <x v="202"/>
    <x v="2"/>
    <x v="2"/>
    <x v="31"/>
    <x v="1"/>
    <x v="945"/>
    <x v="947"/>
    <x v="0"/>
    <x v="7"/>
    <x v="1"/>
    <x v="1"/>
    <x v="10"/>
    <x v="947"/>
    <x v="947"/>
    <x v="947"/>
    <x v="947"/>
    <x v="947"/>
    <x v="946"/>
    <x v="947"/>
    <x v="0"/>
    <x v="0"/>
    <x v="947"/>
    <x v="947"/>
    <x v="0"/>
  </r>
  <r>
    <x v="57"/>
    <x v="267"/>
    <x v="2"/>
    <x v="3"/>
    <x v="20"/>
    <x v="2"/>
    <x v="946"/>
    <x v="948"/>
    <x v="1"/>
    <x v="19"/>
    <x v="0"/>
    <x v="1"/>
    <x v="4"/>
    <x v="948"/>
    <x v="948"/>
    <x v="948"/>
    <x v="948"/>
    <x v="948"/>
    <x v="947"/>
    <x v="948"/>
    <x v="0"/>
    <x v="0"/>
    <x v="948"/>
    <x v="948"/>
    <x v="0"/>
  </r>
  <r>
    <x v="4"/>
    <x v="170"/>
    <x v="0"/>
    <x v="3"/>
    <x v="34"/>
    <x v="0"/>
    <x v="947"/>
    <x v="949"/>
    <x v="0"/>
    <x v="19"/>
    <x v="1"/>
    <x v="0"/>
    <x v="12"/>
    <x v="949"/>
    <x v="949"/>
    <x v="949"/>
    <x v="949"/>
    <x v="949"/>
    <x v="948"/>
    <x v="949"/>
    <x v="0"/>
    <x v="1"/>
    <x v="949"/>
    <x v="949"/>
    <x v="1"/>
  </r>
  <r>
    <x v="48"/>
    <x v="275"/>
    <x v="2"/>
    <x v="0"/>
    <x v="18"/>
    <x v="1"/>
    <x v="948"/>
    <x v="950"/>
    <x v="1"/>
    <x v="5"/>
    <x v="0"/>
    <x v="1"/>
    <x v="19"/>
    <x v="950"/>
    <x v="950"/>
    <x v="950"/>
    <x v="950"/>
    <x v="950"/>
    <x v="949"/>
    <x v="950"/>
    <x v="0"/>
    <x v="1"/>
    <x v="950"/>
    <x v="950"/>
    <x v="1"/>
  </r>
  <r>
    <x v="61"/>
    <x v="30"/>
    <x v="4"/>
    <x v="3"/>
    <x v="44"/>
    <x v="3"/>
    <x v="949"/>
    <x v="951"/>
    <x v="0"/>
    <x v="18"/>
    <x v="2"/>
    <x v="0"/>
    <x v="18"/>
    <x v="951"/>
    <x v="951"/>
    <x v="951"/>
    <x v="951"/>
    <x v="951"/>
    <x v="950"/>
    <x v="951"/>
    <x v="0"/>
    <x v="0"/>
    <x v="951"/>
    <x v="951"/>
    <x v="0"/>
  </r>
  <r>
    <x v="49"/>
    <x v="247"/>
    <x v="1"/>
    <x v="0"/>
    <x v="31"/>
    <x v="0"/>
    <x v="950"/>
    <x v="952"/>
    <x v="1"/>
    <x v="17"/>
    <x v="2"/>
    <x v="1"/>
    <x v="11"/>
    <x v="952"/>
    <x v="952"/>
    <x v="952"/>
    <x v="952"/>
    <x v="952"/>
    <x v="951"/>
    <x v="952"/>
    <x v="0"/>
    <x v="1"/>
    <x v="952"/>
    <x v="952"/>
    <x v="1"/>
  </r>
  <r>
    <x v="66"/>
    <x v="216"/>
    <x v="4"/>
    <x v="2"/>
    <x v="48"/>
    <x v="3"/>
    <x v="951"/>
    <x v="953"/>
    <x v="1"/>
    <x v="23"/>
    <x v="0"/>
    <x v="1"/>
    <x v="9"/>
    <x v="953"/>
    <x v="953"/>
    <x v="953"/>
    <x v="953"/>
    <x v="953"/>
    <x v="952"/>
    <x v="953"/>
    <x v="0"/>
    <x v="1"/>
    <x v="953"/>
    <x v="953"/>
    <x v="1"/>
  </r>
  <r>
    <x v="45"/>
    <x v="164"/>
    <x v="3"/>
    <x v="1"/>
    <x v="33"/>
    <x v="3"/>
    <x v="952"/>
    <x v="954"/>
    <x v="1"/>
    <x v="21"/>
    <x v="0"/>
    <x v="1"/>
    <x v="8"/>
    <x v="954"/>
    <x v="954"/>
    <x v="954"/>
    <x v="954"/>
    <x v="954"/>
    <x v="953"/>
    <x v="954"/>
    <x v="0"/>
    <x v="0"/>
    <x v="954"/>
    <x v="954"/>
    <x v="0"/>
  </r>
  <r>
    <x v="73"/>
    <x v="337"/>
    <x v="1"/>
    <x v="1"/>
    <x v="1"/>
    <x v="1"/>
    <x v="953"/>
    <x v="955"/>
    <x v="1"/>
    <x v="8"/>
    <x v="0"/>
    <x v="1"/>
    <x v="13"/>
    <x v="955"/>
    <x v="955"/>
    <x v="955"/>
    <x v="955"/>
    <x v="955"/>
    <x v="954"/>
    <x v="955"/>
    <x v="0"/>
    <x v="1"/>
    <x v="955"/>
    <x v="955"/>
    <x v="1"/>
  </r>
  <r>
    <x v="0"/>
    <x v="64"/>
    <x v="2"/>
    <x v="1"/>
    <x v="0"/>
    <x v="1"/>
    <x v="954"/>
    <x v="956"/>
    <x v="1"/>
    <x v="14"/>
    <x v="2"/>
    <x v="0"/>
    <x v="5"/>
    <x v="956"/>
    <x v="956"/>
    <x v="956"/>
    <x v="956"/>
    <x v="956"/>
    <x v="955"/>
    <x v="956"/>
    <x v="0"/>
    <x v="0"/>
    <x v="956"/>
    <x v="956"/>
    <x v="0"/>
  </r>
  <r>
    <x v="76"/>
    <x v="46"/>
    <x v="3"/>
    <x v="3"/>
    <x v="37"/>
    <x v="2"/>
    <x v="955"/>
    <x v="957"/>
    <x v="0"/>
    <x v="15"/>
    <x v="0"/>
    <x v="0"/>
    <x v="14"/>
    <x v="957"/>
    <x v="957"/>
    <x v="957"/>
    <x v="957"/>
    <x v="957"/>
    <x v="956"/>
    <x v="957"/>
    <x v="0"/>
    <x v="0"/>
    <x v="957"/>
    <x v="957"/>
    <x v="0"/>
  </r>
  <r>
    <x v="31"/>
    <x v="338"/>
    <x v="1"/>
    <x v="0"/>
    <x v="36"/>
    <x v="2"/>
    <x v="956"/>
    <x v="958"/>
    <x v="1"/>
    <x v="18"/>
    <x v="0"/>
    <x v="1"/>
    <x v="11"/>
    <x v="958"/>
    <x v="958"/>
    <x v="958"/>
    <x v="958"/>
    <x v="958"/>
    <x v="20"/>
    <x v="958"/>
    <x v="0"/>
    <x v="1"/>
    <x v="958"/>
    <x v="958"/>
    <x v="1"/>
  </r>
  <r>
    <x v="87"/>
    <x v="223"/>
    <x v="2"/>
    <x v="0"/>
    <x v="15"/>
    <x v="2"/>
    <x v="957"/>
    <x v="959"/>
    <x v="0"/>
    <x v="25"/>
    <x v="1"/>
    <x v="0"/>
    <x v="19"/>
    <x v="959"/>
    <x v="959"/>
    <x v="959"/>
    <x v="959"/>
    <x v="959"/>
    <x v="957"/>
    <x v="959"/>
    <x v="0"/>
    <x v="0"/>
    <x v="959"/>
    <x v="959"/>
    <x v="0"/>
  </r>
  <r>
    <x v="74"/>
    <x v="117"/>
    <x v="4"/>
    <x v="2"/>
    <x v="15"/>
    <x v="0"/>
    <x v="958"/>
    <x v="960"/>
    <x v="1"/>
    <x v="6"/>
    <x v="0"/>
    <x v="0"/>
    <x v="9"/>
    <x v="960"/>
    <x v="960"/>
    <x v="960"/>
    <x v="960"/>
    <x v="960"/>
    <x v="958"/>
    <x v="960"/>
    <x v="0"/>
    <x v="1"/>
    <x v="960"/>
    <x v="960"/>
    <x v="1"/>
  </r>
  <r>
    <x v="39"/>
    <x v="276"/>
    <x v="1"/>
    <x v="3"/>
    <x v="48"/>
    <x v="2"/>
    <x v="959"/>
    <x v="961"/>
    <x v="1"/>
    <x v="29"/>
    <x v="1"/>
    <x v="1"/>
    <x v="16"/>
    <x v="961"/>
    <x v="961"/>
    <x v="961"/>
    <x v="961"/>
    <x v="961"/>
    <x v="959"/>
    <x v="961"/>
    <x v="0"/>
    <x v="1"/>
    <x v="961"/>
    <x v="961"/>
    <x v="1"/>
  </r>
  <r>
    <x v="41"/>
    <x v="108"/>
    <x v="2"/>
    <x v="2"/>
    <x v="10"/>
    <x v="3"/>
    <x v="960"/>
    <x v="962"/>
    <x v="0"/>
    <x v="30"/>
    <x v="1"/>
    <x v="0"/>
    <x v="10"/>
    <x v="962"/>
    <x v="962"/>
    <x v="962"/>
    <x v="962"/>
    <x v="962"/>
    <x v="960"/>
    <x v="962"/>
    <x v="0"/>
    <x v="0"/>
    <x v="962"/>
    <x v="962"/>
    <x v="0"/>
  </r>
  <r>
    <x v="69"/>
    <x v="252"/>
    <x v="4"/>
    <x v="0"/>
    <x v="34"/>
    <x v="2"/>
    <x v="961"/>
    <x v="963"/>
    <x v="1"/>
    <x v="15"/>
    <x v="1"/>
    <x v="0"/>
    <x v="15"/>
    <x v="963"/>
    <x v="963"/>
    <x v="963"/>
    <x v="963"/>
    <x v="963"/>
    <x v="961"/>
    <x v="963"/>
    <x v="0"/>
    <x v="0"/>
    <x v="963"/>
    <x v="963"/>
    <x v="0"/>
  </r>
  <r>
    <x v="7"/>
    <x v="47"/>
    <x v="3"/>
    <x v="0"/>
    <x v="30"/>
    <x v="1"/>
    <x v="962"/>
    <x v="964"/>
    <x v="1"/>
    <x v="13"/>
    <x v="2"/>
    <x v="0"/>
    <x v="7"/>
    <x v="964"/>
    <x v="964"/>
    <x v="964"/>
    <x v="964"/>
    <x v="964"/>
    <x v="962"/>
    <x v="964"/>
    <x v="0"/>
    <x v="1"/>
    <x v="964"/>
    <x v="964"/>
    <x v="1"/>
  </r>
  <r>
    <x v="47"/>
    <x v="218"/>
    <x v="3"/>
    <x v="1"/>
    <x v="19"/>
    <x v="2"/>
    <x v="963"/>
    <x v="965"/>
    <x v="1"/>
    <x v="13"/>
    <x v="1"/>
    <x v="0"/>
    <x v="8"/>
    <x v="965"/>
    <x v="965"/>
    <x v="965"/>
    <x v="965"/>
    <x v="965"/>
    <x v="963"/>
    <x v="965"/>
    <x v="0"/>
    <x v="1"/>
    <x v="965"/>
    <x v="965"/>
    <x v="1"/>
  </r>
  <r>
    <x v="9"/>
    <x v="187"/>
    <x v="3"/>
    <x v="3"/>
    <x v="21"/>
    <x v="0"/>
    <x v="964"/>
    <x v="966"/>
    <x v="1"/>
    <x v="6"/>
    <x v="0"/>
    <x v="1"/>
    <x v="14"/>
    <x v="966"/>
    <x v="966"/>
    <x v="966"/>
    <x v="966"/>
    <x v="966"/>
    <x v="964"/>
    <x v="966"/>
    <x v="0"/>
    <x v="1"/>
    <x v="966"/>
    <x v="966"/>
    <x v="1"/>
  </r>
  <r>
    <x v="15"/>
    <x v="16"/>
    <x v="3"/>
    <x v="0"/>
    <x v="16"/>
    <x v="0"/>
    <x v="965"/>
    <x v="967"/>
    <x v="0"/>
    <x v="19"/>
    <x v="2"/>
    <x v="1"/>
    <x v="7"/>
    <x v="967"/>
    <x v="967"/>
    <x v="967"/>
    <x v="967"/>
    <x v="967"/>
    <x v="965"/>
    <x v="967"/>
    <x v="0"/>
    <x v="1"/>
    <x v="967"/>
    <x v="967"/>
    <x v="1"/>
  </r>
  <r>
    <x v="61"/>
    <x v="299"/>
    <x v="0"/>
    <x v="1"/>
    <x v="24"/>
    <x v="3"/>
    <x v="966"/>
    <x v="968"/>
    <x v="1"/>
    <x v="3"/>
    <x v="2"/>
    <x v="0"/>
    <x v="1"/>
    <x v="968"/>
    <x v="968"/>
    <x v="968"/>
    <x v="968"/>
    <x v="968"/>
    <x v="966"/>
    <x v="968"/>
    <x v="0"/>
    <x v="0"/>
    <x v="968"/>
    <x v="968"/>
    <x v="0"/>
  </r>
  <r>
    <x v="39"/>
    <x v="317"/>
    <x v="1"/>
    <x v="3"/>
    <x v="41"/>
    <x v="0"/>
    <x v="967"/>
    <x v="969"/>
    <x v="1"/>
    <x v="19"/>
    <x v="2"/>
    <x v="1"/>
    <x v="16"/>
    <x v="969"/>
    <x v="969"/>
    <x v="969"/>
    <x v="969"/>
    <x v="969"/>
    <x v="967"/>
    <x v="969"/>
    <x v="0"/>
    <x v="1"/>
    <x v="969"/>
    <x v="969"/>
    <x v="1"/>
  </r>
  <r>
    <x v="26"/>
    <x v="258"/>
    <x v="1"/>
    <x v="2"/>
    <x v="1"/>
    <x v="2"/>
    <x v="968"/>
    <x v="970"/>
    <x v="0"/>
    <x v="25"/>
    <x v="2"/>
    <x v="1"/>
    <x v="2"/>
    <x v="970"/>
    <x v="970"/>
    <x v="970"/>
    <x v="970"/>
    <x v="970"/>
    <x v="968"/>
    <x v="970"/>
    <x v="0"/>
    <x v="0"/>
    <x v="970"/>
    <x v="970"/>
    <x v="0"/>
  </r>
  <r>
    <x v="87"/>
    <x v="92"/>
    <x v="0"/>
    <x v="3"/>
    <x v="41"/>
    <x v="1"/>
    <x v="969"/>
    <x v="971"/>
    <x v="0"/>
    <x v="14"/>
    <x v="2"/>
    <x v="1"/>
    <x v="12"/>
    <x v="971"/>
    <x v="971"/>
    <x v="971"/>
    <x v="971"/>
    <x v="971"/>
    <x v="969"/>
    <x v="971"/>
    <x v="0"/>
    <x v="1"/>
    <x v="971"/>
    <x v="971"/>
    <x v="1"/>
  </r>
  <r>
    <x v="34"/>
    <x v="229"/>
    <x v="2"/>
    <x v="3"/>
    <x v="8"/>
    <x v="0"/>
    <x v="970"/>
    <x v="972"/>
    <x v="1"/>
    <x v="29"/>
    <x v="2"/>
    <x v="0"/>
    <x v="4"/>
    <x v="972"/>
    <x v="972"/>
    <x v="972"/>
    <x v="972"/>
    <x v="972"/>
    <x v="970"/>
    <x v="972"/>
    <x v="0"/>
    <x v="1"/>
    <x v="972"/>
    <x v="972"/>
    <x v="1"/>
  </r>
  <r>
    <x v="12"/>
    <x v="198"/>
    <x v="2"/>
    <x v="0"/>
    <x v="42"/>
    <x v="3"/>
    <x v="971"/>
    <x v="973"/>
    <x v="1"/>
    <x v="27"/>
    <x v="2"/>
    <x v="0"/>
    <x v="19"/>
    <x v="973"/>
    <x v="973"/>
    <x v="973"/>
    <x v="973"/>
    <x v="973"/>
    <x v="971"/>
    <x v="973"/>
    <x v="0"/>
    <x v="1"/>
    <x v="973"/>
    <x v="973"/>
    <x v="1"/>
  </r>
  <r>
    <x v="71"/>
    <x v="166"/>
    <x v="3"/>
    <x v="0"/>
    <x v="41"/>
    <x v="2"/>
    <x v="972"/>
    <x v="974"/>
    <x v="0"/>
    <x v="8"/>
    <x v="1"/>
    <x v="1"/>
    <x v="7"/>
    <x v="974"/>
    <x v="974"/>
    <x v="974"/>
    <x v="974"/>
    <x v="974"/>
    <x v="972"/>
    <x v="974"/>
    <x v="0"/>
    <x v="0"/>
    <x v="974"/>
    <x v="974"/>
    <x v="0"/>
  </r>
  <r>
    <x v="37"/>
    <x v="30"/>
    <x v="4"/>
    <x v="3"/>
    <x v="21"/>
    <x v="3"/>
    <x v="973"/>
    <x v="975"/>
    <x v="1"/>
    <x v="30"/>
    <x v="0"/>
    <x v="1"/>
    <x v="18"/>
    <x v="975"/>
    <x v="975"/>
    <x v="975"/>
    <x v="975"/>
    <x v="975"/>
    <x v="973"/>
    <x v="975"/>
    <x v="0"/>
    <x v="1"/>
    <x v="975"/>
    <x v="975"/>
    <x v="1"/>
  </r>
  <r>
    <x v="17"/>
    <x v="86"/>
    <x v="2"/>
    <x v="0"/>
    <x v="48"/>
    <x v="0"/>
    <x v="974"/>
    <x v="976"/>
    <x v="0"/>
    <x v="14"/>
    <x v="0"/>
    <x v="0"/>
    <x v="19"/>
    <x v="976"/>
    <x v="976"/>
    <x v="976"/>
    <x v="976"/>
    <x v="976"/>
    <x v="974"/>
    <x v="976"/>
    <x v="0"/>
    <x v="0"/>
    <x v="976"/>
    <x v="976"/>
    <x v="0"/>
  </r>
  <r>
    <x v="73"/>
    <x v="329"/>
    <x v="4"/>
    <x v="0"/>
    <x v="2"/>
    <x v="0"/>
    <x v="975"/>
    <x v="977"/>
    <x v="1"/>
    <x v="13"/>
    <x v="1"/>
    <x v="1"/>
    <x v="15"/>
    <x v="977"/>
    <x v="977"/>
    <x v="977"/>
    <x v="977"/>
    <x v="977"/>
    <x v="975"/>
    <x v="977"/>
    <x v="0"/>
    <x v="1"/>
    <x v="977"/>
    <x v="977"/>
    <x v="1"/>
  </r>
  <r>
    <x v="2"/>
    <x v="339"/>
    <x v="1"/>
    <x v="0"/>
    <x v="14"/>
    <x v="3"/>
    <x v="976"/>
    <x v="978"/>
    <x v="0"/>
    <x v="8"/>
    <x v="1"/>
    <x v="0"/>
    <x v="11"/>
    <x v="978"/>
    <x v="978"/>
    <x v="978"/>
    <x v="978"/>
    <x v="978"/>
    <x v="976"/>
    <x v="978"/>
    <x v="0"/>
    <x v="1"/>
    <x v="978"/>
    <x v="978"/>
    <x v="1"/>
  </r>
  <r>
    <x v="18"/>
    <x v="111"/>
    <x v="4"/>
    <x v="1"/>
    <x v="22"/>
    <x v="2"/>
    <x v="977"/>
    <x v="979"/>
    <x v="0"/>
    <x v="17"/>
    <x v="2"/>
    <x v="1"/>
    <x v="17"/>
    <x v="979"/>
    <x v="979"/>
    <x v="979"/>
    <x v="979"/>
    <x v="979"/>
    <x v="977"/>
    <x v="979"/>
    <x v="0"/>
    <x v="1"/>
    <x v="979"/>
    <x v="979"/>
    <x v="1"/>
  </r>
  <r>
    <x v="23"/>
    <x v="136"/>
    <x v="1"/>
    <x v="1"/>
    <x v="29"/>
    <x v="0"/>
    <x v="978"/>
    <x v="980"/>
    <x v="0"/>
    <x v="30"/>
    <x v="2"/>
    <x v="0"/>
    <x v="13"/>
    <x v="980"/>
    <x v="980"/>
    <x v="980"/>
    <x v="980"/>
    <x v="980"/>
    <x v="978"/>
    <x v="980"/>
    <x v="0"/>
    <x v="0"/>
    <x v="980"/>
    <x v="980"/>
    <x v="0"/>
  </r>
  <r>
    <x v="69"/>
    <x v="82"/>
    <x v="0"/>
    <x v="3"/>
    <x v="38"/>
    <x v="1"/>
    <x v="979"/>
    <x v="981"/>
    <x v="1"/>
    <x v="20"/>
    <x v="1"/>
    <x v="0"/>
    <x v="12"/>
    <x v="981"/>
    <x v="981"/>
    <x v="981"/>
    <x v="981"/>
    <x v="981"/>
    <x v="979"/>
    <x v="981"/>
    <x v="0"/>
    <x v="0"/>
    <x v="981"/>
    <x v="981"/>
    <x v="0"/>
  </r>
  <r>
    <x v="55"/>
    <x v="22"/>
    <x v="0"/>
    <x v="0"/>
    <x v="12"/>
    <x v="0"/>
    <x v="980"/>
    <x v="982"/>
    <x v="1"/>
    <x v="19"/>
    <x v="2"/>
    <x v="0"/>
    <x v="0"/>
    <x v="982"/>
    <x v="982"/>
    <x v="982"/>
    <x v="982"/>
    <x v="982"/>
    <x v="980"/>
    <x v="982"/>
    <x v="0"/>
    <x v="0"/>
    <x v="982"/>
    <x v="982"/>
    <x v="0"/>
  </r>
  <r>
    <x v="36"/>
    <x v="97"/>
    <x v="3"/>
    <x v="1"/>
    <x v="43"/>
    <x v="2"/>
    <x v="981"/>
    <x v="983"/>
    <x v="1"/>
    <x v="19"/>
    <x v="0"/>
    <x v="0"/>
    <x v="8"/>
    <x v="983"/>
    <x v="983"/>
    <x v="983"/>
    <x v="983"/>
    <x v="983"/>
    <x v="981"/>
    <x v="983"/>
    <x v="0"/>
    <x v="1"/>
    <x v="983"/>
    <x v="983"/>
    <x v="1"/>
  </r>
  <r>
    <x v="84"/>
    <x v="130"/>
    <x v="2"/>
    <x v="3"/>
    <x v="8"/>
    <x v="0"/>
    <x v="982"/>
    <x v="984"/>
    <x v="1"/>
    <x v="14"/>
    <x v="0"/>
    <x v="1"/>
    <x v="4"/>
    <x v="984"/>
    <x v="984"/>
    <x v="984"/>
    <x v="984"/>
    <x v="984"/>
    <x v="982"/>
    <x v="984"/>
    <x v="0"/>
    <x v="0"/>
    <x v="984"/>
    <x v="984"/>
    <x v="0"/>
  </r>
  <r>
    <x v="90"/>
    <x v="332"/>
    <x v="3"/>
    <x v="0"/>
    <x v="30"/>
    <x v="3"/>
    <x v="983"/>
    <x v="985"/>
    <x v="0"/>
    <x v="29"/>
    <x v="2"/>
    <x v="0"/>
    <x v="7"/>
    <x v="985"/>
    <x v="985"/>
    <x v="985"/>
    <x v="985"/>
    <x v="985"/>
    <x v="983"/>
    <x v="985"/>
    <x v="0"/>
    <x v="0"/>
    <x v="985"/>
    <x v="985"/>
    <x v="0"/>
  </r>
  <r>
    <x v="74"/>
    <x v="62"/>
    <x v="1"/>
    <x v="2"/>
    <x v="5"/>
    <x v="0"/>
    <x v="984"/>
    <x v="986"/>
    <x v="0"/>
    <x v="2"/>
    <x v="2"/>
    <x v="1"/>
    <x v="2"/>
    <x v="986"/>
    <x v="986"/>
    <x v="986"/>
    <x v="986"/>
    <x v="986"/>
    <x v="984"/>
    <x v="986"/>
    <x v="0"/>
    <x v="0"/>
    <x v="986"/>
    <x v="986"/>
    <x v="0"/>
  </r>
  <r>
    <x v="41"/>
    <x v="21"/>
    <x v="3"/>
    <x v="0"/>
    <x v="28"/>
    <x v="0"/>
    <x v="985"/>
    <x v="987"/>
    <x v="0"/>
    <x v="29"/>
    <x v="2"/>
    <x v="0"/>
    <x v="7"/>
    <x v="987"/>
    <x v="987"/>
    <x v="987"/>
    <x v="987"/>
    <x v="987"/>
    <x v="985"/>
    <x v="987"/>
    <x v="0"/>
    <x v="1"/>
    <x v="987"/>
    <x v="987"/>
    <x v="1"/>
  </r>
  <r>
    <x v="44"/>
    <x v="36"/>
    <x v="4"/>
    <x v="0"/>
    <x v="0"/>
    <x v="2"/>
    <x v="986"/>
    <x v="988"/>
    <x v="1"/>
    <x v="9"/>
    <x v="0"/>
    <x v="0"/>
    <x v="15"/>
    <x v="988"/>
    <x v="988"/>
    <x v="988"/>
    <x v="988"/>
    <x v="988"/>
    <x v="986"/>
    <x v="988"/>
    <x v="0"/>
    <x v="0"/>
    <x v="988"/>
    <x v="988"/>
    <x v="0"/>
  </r>
  <r>
    <x v="97"/>
    <x v="174"/>
    <x v="1"/>
    <x v="1"/>
    <x v="40"/>
    <x v="3"/>
    <x v="987"/>
    <x v="989"/>
    <x v="1"/>
    <x v="9"/>
    <x v="2"/>
    <x v="1"/>
    <x v="13"/>
    <x v="989"/>
    <x v="989"/>
    <x v="989"/>
    <x v="989"/>
    <x v="989"/>
    <x v="987"/>
    <x v="989"/>
    <x v="0"/>
    <x v="1"/>
    <x v="989"/>
    <x v="989"/>
    <x v="1"/>
  </r>
  <r>
    <x v="90"/>
    <x v="54"/>
    <x v="0"/>
    <x v="3"/>
    <x v="6"/>
    <x v="2"/>
    <x v="988"/>
    <x v="990"/>
    <x v="1"/>
    <x v="19"/>
    <x v="1"/>
    <x v="1"/>
    <x v="12"/>
    <x v="990"/>
    <x v="990"/>
    <x v="990"/>
    <x v="990"/>
    <x v="990"/>
    <x v="988"/>
    <x v="990"/>
    <x v="0"/>
    <x v="1"/>
    <x v="990"/>
    <x v="990"/>
    <x v="1"/>
  </r>
  <r>
    <x v="81"/>
    <x v="26"/>
    <x v="2"/>
    <x v="3"/>
    <x v="25"/>
    <x v="0"/>
    <x v="989"/>
    <x v="991"/>
    <x v="0"/>
    <x v="21"/>
    <x v="2"/>
    <x v="1"/>
    <x v="4"/>
    <x v="991"/>
    <x v="991"/>
    <x v="991"/>
    <x v="991"/>
    <x v="991"/>
    <x v="989"/>
    <x v="991"/>
    <x v="0"/>
    <x v="0"/>
    <x v="991"/>
    <x v="991"/>
    <x v="0"/>
  </r>
  <r>
    <x v="42"/>
    <x v="331"/>
    <x v="1"/>
    <x v="1"/>
    <x v="22"/>
    <x v="1"/>
    <x v="990"/>
    <x v="992"/>
    <x v="1"/>
    <x v="28"/>
    <x v="1"/>
    <x v="0"/>
    <x v="13"/>
    <x v="992"/>
    <x v="992"/>
    <x v="992"/>
    <x v="992"/>
    <x v="992"/>
    <x v="990"/>
    <x v="992"/>
    <x v="0"/>
    <x v="0"/>
    <x v="992"/>
    <x v="992"/>
    <x v="0"/>
  </r>
  <r>
    <x v="97"/>
    <x v="177"/>
    <x v="1"/>
    <x v="0"/>
    <x v="20"/>
    <x v="0"/>
    <x v="991"/>
    <x v="993"/>
    <x v="1"/>
    <x v="26"/>
    <x v="2"/>
    <x v="0"/>
    <x v="11"/>
    <x v="993"/>
    <x v="993"/>
    <x v="993"/>
    <x v="993"/>
    <x v="993"/>
    <x v="991"/>
    <x v="993"/>
    <x v="0"/>
    <x v="1"/>
    <x v="993"/>
    <x v="993"/>
    <x v="1"/>
  </r>
  <r>
    <x v="89"/>
    <x v="209"/>
    <x v="4"/>
    <x v="2"/>
    <x v="17"/>
    <x v="2"/>
    <x v="992"/>
    <x v="994"/>
    <x v="0"/>
    <x v="26"/>
    <x v="2"/>
    <x v="1"/>
    <x v="9"/>
    <x v="994"/>
    <x v="994"/>
    <x v="994"/>
    <x v="994"/>
    <x v="994"/>
    <x v="992"/>
    <x v="994"/>
    <x v="0"/>
    <x v="1"/>
    <x v="994"/>
    <x v="994"/>
    <x v="1"/>
  </r>
  <r>
    <x v="99"/>
    <x v="297"/>
    <x v="2"/>
    <x v="0"/>
    <x v="41"/>
    <x v="1"/>
    <x v="993"/>
    <x v="995"/>
    <x v="0"/>
    <x v="12"/>
    <x v="0"/>
    <x v="0"/>
    <x v="19"/>
    <x v="995"/>
    <x v="995"/>
    <x v="995"/>
    <x v="995"/>
    <x v="995"/>
    <x v="993"/>
    <x v="995"/>
    <x v="0"/>
    <x v="1"/>
    <x v="995"/>
    <x v="995"/>
    <x v="1"/>
  </r>
  <r>
    <x v="95"/>
    <x v="259"/>
    <x v="0"/>
    <x v="0"/>
    <x v="35"/>
    <x v="2"/>
    <x v="994"/>
    <x v="996"/>
    <x v="1"/>
    <x v="5"/>
    <x v="1"/>
    <x v="1"/>
    <x v="0"/>
    <x v="996"/>
    <x v="996"/>
    <x v="996"/>
    <x v="996"/>
    <x v="996"/>
    <x v="994"/>
    <x v="996"/>
    <x v="0"/>
    <x v="1"/>
    <x v="996"/>
    <x v="996"/>
    <x v="1"/>
  </r>
  <r>
    <x v="37"/>
    <x v="167"/>
    <x v="1"/>
    <x v="2"/>
    <x v="1"/>
    <x v="2"/>
    <x v="995"/>
    <x v="997"/>
    <x v="0"/>
    <x v="18"/>
    <x v="1"/>
    <x v="0"/>
    <x v="2"/>
    <x v="997"/>
    <x v="997"/>
    <x v="997"/>
    <x v="997"/>
    <x v="997"/>
    <x v="995"/>
    <x v="997"/>
    <x v="0"/>
    <x v="0"/>
    <x v="997"/>
    <x v="997"/>
    <x v="0"/>
  </r>
  <r>
    <x v="10"/>
    <x v="266"/>
    <x v="1"/>
    <x v="1"/>
    <x v="3"/>
    <x v="3"/>
    <x v="996"/>
    <x v="998"/>
    <x v="1"/>
    <x v="30"/>
    <x v="1"/>
    <x v="0"/>
    <x v="13"/>
    <x v="998"/>
    <x v="998"/>
    <x v="998"/>
    <x v="998"/>
    <x v="998"/>
    <x v="996"/>
    <x v="998"/>
    <x v="0"/>
    <x v="0"/>
    <x v="998"/>
    <x v="998"/>
    <x v="0"/>
  </r>
  <r>
    <x v="74"/>
    <x v="132"/>
    <x v="4"/>
    <x v="3"/>
    <x v="10"/>
    <x v="1"/>
    <x v="997"/>
    <x v="999"/>
    <x v="0"/>
    <x v="6"/>
    <x v="0"/>
    <x v="0"/>
    <x v="18"/>
    <x v="999"/>
    <x v="999"/>
    <x v="999"/>
    <x v="999"/>
    <x v="999"/>
    <x v="997"/>
    <x v="999"/>
    <x v="0"/>
    <x v="1"/>
    <x v="999"/>
    <x v="9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0D36A-18B1-4E3D-8875-52B689A46339}" name="PivotTable1"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D6"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2"/>
  </colFields>
  <colItems count="3">
    <i>
      <x/>
    </i>
    <i i="1">
      <x v="1"/>
    </i>
    <i i="2">
      <x v="2"/>
    </i>
  </colItems>
  <dataFields count="3">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20F48-0CEA-4E83-A2F3-68D8D4537492}" name="PivotTable2"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D7"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2"/>
  </colFields>
  <colItems count="3">
    <i>
      <x/>
    </i>
    <i i="1">
      <x v="1"/>
    </i>
    <i i="2">
      <x v="2"/>
    </i>
  </colItems>
  <dataFields count="3">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A6EC18-1AAC-4DEE-BC0D-593DC6515F01}" name="PivotTable3"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6"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Fields count="1">
    <field x="-2"/>
  </colFields>
  <colItems count="3">
    <i>
      <x/>
    </i>
    <i i="1">
      <x v="1"/>
    </i>
    <i i="2">
      <x v="2"/>
    </i>
  </colItems>
  <dataFields count="3">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DC11D5-C03E-43A7-AD45-14257409F0DD}" name="PivotTable4"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4"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1"/>
    </i>
    <i t="grand">
      <x/>
    </i>
  </rowItems>
  <colFields count="1">
    <field x="-2"/>
  </colFields>
  <colItems count="3">
    <i>
      <x/>
    </i>
    <i i="1">
      <x v="1"/>
    </i>
    <i i="2">
      <x v="2"/>
    </i>
  </colItems>
  <dataFields count="3">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E6B82-BF66-4466-878C-209424CBBD9F}" name="PivotTable6"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D4"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1"/>
  </rowFields>
  <rowItems count="3">
    <i>
      <x/>
    </i>
    <i>
      <x v="1"/>
    </i>
    <i t="grand">
      <x/>
    </i>
  </rowItems>
  <colFields count="1">
    <field x="-2"/>
  </colFields>
  <colItems count="3">
    <i>
      <x/>
    </i>
    <i i="1">
      <x v="1"/>
    </i>
    <i i="2">
      <x v="2"/>
    </i>
  </colItems>
  <dataFields count="3">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0A9A00-7D1E-4F60-A996-6AE8290C2789}" name="PivotTable7"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C33"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showAll="0"/>
    <pivotField showAll="0"/>
    <pivotField showAll="0"/>
    <pivotField showAll="0"/>
    <pivotField showAll="0"/>
    <pivotField axis="axisRow" showAll="0">
      <items count="32">
        <item x="11"/>
        <item x="30"/>
        <item x="3"/>
        <item x="21"/>
        <item x="14"/>
        <item x="8"/>
        <item x="18"/>
        <item x="17"/>
        <item x="4"/>
        <item x="0"/>
        <item x="15"/>
        <item x="1"/>
        <item x="7"/>
        <item x="9"/>
        <item x="6"/>
        <item x="25"/>
        <item x="28"/>
        <item x="22"/>
        <item x="13"/>
        <item x="27"/>
        <item x="2"/>
        <item x="5"/>
        <item x="20"/>
        <item x="10"/>
        <item x="19"/>
        <item x="26"/>
        <item x="16"/>
        <item x="29"/>
        <item x="24"/>
        <item x="12"/>
        <item x="23"/>
        <item t="default"/>
      </items>
    </pivotField>
    <pivotField showAll="0"/>
    <pivotField showAll="0"/>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9"/>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Sum of Sales_amount" fld="15" baseField="0" baseItem="0"/>
    <dataField name="Sum of Profit" fld="16" baseField="0" baseItem="0"/>
  </dataFields>
  <formats count="3">
    <format dxfId="0">
      <pivotArea field="9" type="button" dataOnly="0" labelOnly="1" outline="0" axis="axisRow" fieldPosition="0"/>
    </format>
    <format dxfId="1">
      <pivotArea dataOnly="0" labelOnly="1" fieldPosition="0">
        <references count="1">
          <reference field="9" count="0"/>
        </references>
      </pivotArea>
    </format>
    <format dxfId="2">
      <pivotArea dataOnly="0" labelOnly="1" grandRow="1" outline="0" fieldPosition="0"/>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FC9DC8-0873-4E99-95D0-912AA1409F4D}" name="PivotTable11"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E4" firstHeaderRow="0" firstDataRow="1" firstDataCol="1"/>
  <pivotFields count="27">
    <pivotField dataField="1"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numFmtId="10" showAll="0"/>
    <pivotField showAll="0"/>
    <pivotField axis="axisRow" showAll="0">
      <items count="3">
        <item x="1"/>
        <item x="0"/>
        <item t="default"/>
      </items>
    </pivotField>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1"/>
  </rowFields>
  <rowItems count="3">
    <i>
      <x/>
    </i>
    <i>
      <x v="1"/>
    </i>
    <i t="grand">
      <x/>
    </i>
  </rowItems>
  <colFields count="1">
    <field x="-2"/>
  </colFields>
  <colItems count="4">
    <i>
      <x/>
    </i>
    <i i="1">
      <x v="1"/>
    </i>
    <i i="2">
      <x v="2"/>
    </i>
    <i i="3">
      <x v="3"/>
    </i>
  </colItems>
  <dataFields count="4">
    <dataField name="Count of Product_ID" fld="0" subtotal="count" baseField="21" baseItem="0"/>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097FCF-6DFE-4732-9EB3-1309C6FE1782}" name="PivotTable12"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axis="axisRow" showAll="0">
      <items count="3">
        <item x="1"/>
        <item x="0"/>
        <item t="default"/>
      </items>
    </pivotField>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1"/>
  </rowFields>
  <rowItems count="3">
    <i>
      <x/>
    </i>
    <i>
      <x v="1"/>
    </i>
    <i t="grand">
      <x/>
    </i>
  </rowItems>
  <colItems count="1">
    <i/>
  </colItems>
  <dataFields count="1">
    <dataField name="Average of Discount" fld="9" subtotal="average" baseField="2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1422EF-80CB-4B2B-BF9D-A2376EB90C75}" name="PivotTable13"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E4" firstHeaderRow="0" firstDataRow="1" firstDataCol="1"/>
  <pivotFields count="27">
    <pivotField dataField="1"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axis="axisRow" showAll="0">
      <items count="3">
        <item x="1"/>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24"/>
  </rowFields>
  <rowItems count="3">
    <i>
      <x/>
    </i>
    <i>
      <x v="1"/>
    </i>
    <i t="grand">
      <x/>
    </i>
  </rowItems>
  <colFields count="1">
    <field x="-2"/>
  </colFields>
  <colItems count="4">
    <i>
      <x/>
    </i>
    <i i="1">
      <x v="1"/>
    </i>
    <i i="2">
      <x v="2"/>
    </i>
    <i i="3">
      <x v="3"/>
    </i>
  </colItems>
  <dataFields count="4">
    <dataField name="Count of Product_ID" fld="0" subtotal="count" baseField="24" baseItem="0"/>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68E647-0722-4905-8F21-89163170923E}" name="PivotTable14" cacheId="1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D5"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dataField="1" showAll="0"/>
    <pivotField dataField="1" showAll="0"/>
    <pivotField showAll="0"/>
    <pivotField showAll="0"/>
    <pivotField numFmtId="10"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2"/>
    </i>
    <i t="grand">
      <x/>
    </i>
  </rowItems>
  <colFields count="1">
    <field x="-2"/>
  </colFields>
  <colItems count="3">
    <i>
      <x/>
    </i>
    <i i="1">
      <x v="1"/>
    </i>
    <i i="2">
      <x v="2"/>
    </i>
  </colItems>
  <dataFields count="3">
    <dataField name="Sum of Sales_amount" fld="15" baseField="0" baseItem="0"/>
    <dataField name="Sum of Profit" fld="16" baseField="0" baseItem="0"/>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2073A1-5C51-4FB1-A2F1-9F62C2222F56}" name="PivotTable15" cacheId="147"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3">
  <location ref="A1:D12" firstHeaderRow="0" firstDataRow="1" firstDataCol="2"/>
  <pivotFields count="27">
    <pivotField compact="0" outline="0" showAll="0" defaultSubtotal="0">
      <items count="100">
        <item x="66"/>
        <item h="1" x="15"/>
        <item h="1" x="12"/>
        <item h="1" x="38"/>
        <item h="1" x="68"/>
        <item h="1" x="51"/>
        <item h="1" x="34"/>
        <item h="1" x="45"/>
        <item h="1" x="40"/>
        <item h="1" x="99"/>
        <item h="1" x="67"/>
        <item h="1" x="70"/>
        <item h="1" x="81"/>
        <item h="1" x="39"/>
        <item h="1" x="2"/>
        <item h="1" x="93"/>
        <item h="1" x="90"/>
        <item h="1" x="37"/>
        <item h="1" x="88"/>
        <item h="1" x="94"/>
        <item h="1" x="5"/>
        <item h="1" x="13"/>
        <item h="1" x="71"/>
        <item h="1" x="11"/>
        <item h="1" x="97"/>
        <item h="1" x="61"/>
        <item h="1" x="75"/>
        <item h="1" x="69"/>
        <item h="1" x="63"/>
        <item h="1" x="16"/>
        <item h="1" x="96"/>
        <item h="1" x="82"/>
        <item h="1" x="20"/>
        <item h="1" x="54"/>
        <item h="1" x="46"/>
        <item h="1" x="49"/>
        <item h="1" x="72"/>
        <item h="1" x="17"/>
        <item h="1" x="36"/>
        <item h="1" x="58"/>
        <item h="1" x="62"/>
        <item h="1" x="27"/>
        <item h="1" x="80"/>
        <item h="1" x="44"/>
        <item h="1" x="64"/>
        <item h="1" x="98"/>
        <item h="1" x="31"/>
        <item h="1" x="57"/>
        <item h="1" x="24"/>
        <item h="1" x="50"/>
        <item h="1" x="32"/>
        <item h="1" x="0"/>
        <item h="1" x="14"/>
        <item h="1" x="52"/>
        <item h="1" x="33"/>
        <item h="1" x="87"/>
        <item h="1" x="84"/>
        <item h="1" x="22"/>
        <item h="1" x="26"/>
        <item h="1" x="19"/>
        <item h="1" x="4"/>
        <item h="1" x="30"/>
        <item h="1" x="53"/>
        <item h="1" x="18"/>
        <item h="1" x="65"/>
        <item h="1" x="83"/>
        <item h="1" x="95"/>
        <item h="1" x="89"/>
        <item h="1" x="91"/>
        <item h="1" x="86"/>
        <item h="1" x="43"/>
        <item h="1" x="3"/>
        <item h="1" x="35"/>
        <item h="1" x="55"/>
        <item h="1" x="8"/>
        <item h="1" x="21"/>
        <item h="1" x="77"/>
        <item h="1" x="47"/>
        <item h="1" x="76"/>
        <item h="1" x="29"/>
        <item h="1" x="48"/>
        <item h="1" x="60"/>
        <item h="1" x="6"/>
        <item h="1" x="42"/>
        <item h="1" x="59"/>
        <item h="1" x="74"/>
        <item h="1" x="7"/>
        <item h="1" x="9"/>
        <item h="1" x="23"/>
        <item h="1" x="41"/>
        <item h="1" x="25"/>
        <item h="1" x="28"/>
        <item h="1" x="1"/>
        <item h="1" x="79"/>
        <item h="1" x="56"/>
        <item h="1" x="78"/>
        <item h="1" x="85"/>
        <item h="1" x="92"/>
        <item h="1" x="73"/>
        <item h="1" x="10"/>
      </items>
      <extLst>
        <ext xmlns:x14="http://schemas.microsoft.com/office/spreadsheetml/2009/9/main" uri="{2946ED86-A175-432a-8AC1-64E0C546D7DE}">
          <x14:pivotField fillDownLabels="1"/>
        </ext>
      </extLst>
    </pivotField>
    <pivotField axis="axisRow" compact="0" numFmtId="14" outline="0" showAll="0" defaultSubtotal="0">
      <items count="14">
        <item x="0"/>
        <item h="1" x="1"/>
        <item h="1"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5">
        <item x="4"/>
        <item x="0"/>
        <item x="2"/>
        <item x="1"/>
        <item x="3"/>
      </items>
      <extLst>
        <ext xmlns:x14="http://schemas.microsoft.com/office/spreadsheetml/2009/9/main" uri="{2946ED86-A175-432a-8AC1-64E0C546D7DE}">
          <x14:pivotField fillDownLabels="1"/>
        </ext>
      </extLst>
    </pivotField>
    <pivotField compact="0" outline="0" showAll="0" defaultSubtotal="0">
      <items count="4">
        <item x="3"/>
        <item x="0"/>
        <item x="2"/>
        <item x="1"/>
      </items>
      <extLst>
        <ext xmlns:x14="http://schemas.microsoft.com/office/spreadsheetml/2009/9/main" uri="{2946ED86-A175-432a-8AC1-64E0C546D7DE}">
          <x14:pivotField fillDownLabels="1"/>
        </ext>
      </extLst>
    </pivotField>
    <pivotField compact="0" outline="0" showAll="0" defaultSubtotal="0">
      <items count="49">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s>
      <extLst>
        <ext xmlns:x14="http://schemas.microsoft.com/office/spreadsheetml/2009/9/main" uri="{2946ED86-A175-432a-8AC1-64E0C546D7DE}">
          <x14:pivotField fillDownLabels="1"/>
        </ext>
      </extLst>
    </pivotField>
    <pivotField compact="0" outline="0" showAll="0" defaultSubtotal="0">
      <items count="4">
        <item x="2"/>
        <item x="3"/>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1">
        <item x="11"/>
        <item x="30"/>
        <item x="3"/>
        <item x="21"/>
        <item x="14"/>
        <item x="8"/>
        <item x="18"/>
        <item x="17"/>
        <item x="4"/>
        <item x="0"/>
        <item x="15"/>
        <item x="1"/>
        <item x="7"/>
        <item x="9"/>
        <item x="6"/>
        <item x="25"/>
        <item x="28"/>
        <item x="22"/>
        <item x="13"/>
        <item x="27"/>
        <item x="2"/>
        <item x="5"/>
        <item x="20"/>
        <item x="10"/>
        <item x="19"/>
        <item x="26"/>
        <item x="16"/>
        <item x="29"/>
        <item x="24"/>
        <item x="12"/>
        <item x="23"/>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0">
        <item x="18"/>
        <item x="12"/>
        <item x="4"/>
        <item x="16"/>
        <item x="14"/>
        <item x="15"/>
        <item x="0"/>
        <item x="19"/>
        <item x="11"/>
        <item x="7"/>
        <item x="9"/>
        <item x="3"/>
        <item x="10"/>
        <item x="2"/>
        <item x="6"/>
        <item x="17"/>
        <item x="1"/>
        <item x="5"/>
        <item x="13"/>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000">
        <item x="162"/>
        <item x="692"/>
        <item x="243"/>
        <item x="799"/>
        <item x="610"/>
        <item x="321"/>
        <item x="238"/>
        <item x="643"/>
        <item x="164"/>
        <item x="411"/>
        <item x="818"/>
        <item x="244"/>
        <item x="678"/>
        <item x="888"/>
        <item x="599"/>
        <item x="85"/>
        <item x="696"/>
        <item x="401"/>
        <item x="816"/>
        <item x="343"/>
        <item x="882"/>
        <item x="46"/>
        <item x="765"/>
        <item x="975"/>
        <item x="427"/>
        <item x="741"/>
        <item x="336"/>
        <item x="105"/>
        <item x="29"/>
        <item x="596"/>
        <item x="650"/>
        <item x="624"/>
        <item x="372"/>
        <item x="345"/>
        <item x="199"/>
        <item x="212"/>
        <item x="557"/>
        <item x="394"/>
        <item x="937"/>
        <item x="158"/>
        <item x="969"/>
        <item x="375"/>
        <item x="267"/>
        <item x="464"/>
        <item x="216"/>
        <item x="319"/>
        <item x="138"/>
        <item x="475"/>
        <item x="629"/>
        <item x="684"/>
        <item x="896"/>
        <item x="182"/>
        <item x="492"/>
        <item x="864"/>
        <item x="966"/>
        <item x="873"/>
        <item x="839"/>
        <item x="561"/>
        <item x="0"/>
        <item x="976"/>
        <item x="570"/>
        <item x="418"/>
        <item x="699"/>
        <item x="935"/>
        <item x="456"/>
        <item x="691"/>
        <item x="166"/>
        <item x="486"/>
        <item x="572"/>
        <item x="871"/>
        <item x="204"/>
        <item x="491"/>
        <item x="75"/>
        <item x="115"/>
        <item x="897"/>
        <item x="820"/>
        <item x="528"/>
        <item x="815"/>
        <item x="631"/>
        <item x="430"/>
        <item x="474"/>
        <item x="982"/>
        <item x="354"/>
        <item x="538"/>
        <item x="685"/>
        <item x="147"/>
        <item x="974"/>
        <item x="971"/>
        <item x="614"/>
        <item x="190"/>
        <item x="484"/>
        <item x="598"/>
        <item x="215"/>
        <item x="804"/>
        <item x="997"/>
        <item x="959"/>
        <item x="511"/>
        <item x="647"/>
        <item x="968"/>
        <item x="735"/>
        <item x="237"/>
        <item x="619"/>
        <item x="522"/>
        <item x="586"/>
        <item x="337"/>
        <item x="565"/>
        <item x="770"/>
        <item x="803"/>
        <item x="4"/>
        <item x="581"/>
        <item x="563"/>
        <item x="545"/>
        <item x="568"/>
        <item x="270"/>
        <item x="910"/>
        <item x="642"/>
        <item x="258"/>
        <item x="32"/>
        <item x="326"/>
        <item x="2"/>
        <item x="740"/>
        <item x="88"/>
        <item x="500"/>
        <item x="325"/>
        <item x="793"/>
        <item x="900"/>
        <item x="828"/>
        <item x="122"/>
        <item x="355"/>
        <item x="118"/>
        <item x="422"/>
        <item x="280"/>
        <item x="536"/>
        <item x="632"/>
        <item x="988"/>
        <item x="35"/>
        <item x="141"/>
        <item x="373"/>
        <item x="749"/>
        <item x="378"/>
        <item x="291"/>
        <item x="129"/>
        <item x="641"/>
        <item x="150"/>
        <item x="257"/>
        <item x="612"/>
        <item x="711"/>
        <item x="653"/>
        <item x="789"/>
        <item x="224"/>
        <item x="518"/>
        <item x="821"/>
        <item x="332"/>
        <item x="481"/>
        <item x="177"/>
        <item x="478"/>
        <item x="81"/>
        <item x="611"/>
        <item x="854"/>
        <item x="296"/>
        <item x="127"/>
        <item x="718"/>
        <item x="836"/>
        <item x="513"/>
        <item x="627"/>
        <item x="356"/>
        <item x="709"/>
        <item x="530"/>
        <item x="415"/>
        <item x="419"/>
        <item x="986"/>
        <item x="559"/>
        <item x="798"/>
        <item x="802"/>
        <item x="12"/>
        <item x="725"/>
        <item x="178"/>
        <item x="206"/>
        <item x="733"/>
        <item x="554"/>
        <item x="227"/>
        <item x="613"/>
        <item x="213"/>
        <item x="907"/>
        <item x="432"/>
        <item x="247"/>
        <item x="846"/>
        <item x="758"/>
        <item x="891"/>
        <item x="575"/>
        <item x="461"/>
        <item x="487"/>
        <item x="567"/>
        <item x="786"/>
        <item x="294"/>
        <item x="995"/>
        <item x="584"/>
        <item x="943"/>
        <item x="719"/>
        <item x="830"/>
        <item x="936"/>
        <item x="365"/>
        <item x="823"/>
        <item x="585"/>
        <item x="857"/>
        <item x="914"/>
        <item x="396"/>
        <item x="769"/>
        <item x="516"/>
        <item x="405"/>
        <item x="893"/>
        <item x="292"/>
        <item x="380"/>
        <item x="932"/>
        <item x="469"/>
        <item x="706"/>
        <item x="780"/>
        <item x="454"/>
        <item x="232"/>
        <item x="125"/>
        <item x="275"/>
        <item x="700"/>
        <item x="639"/>
        <item x="38"/>
        <item x="159"/>
        <item x="288"/>
        <item x="702"/>
        <item x="813"/>
        <item x="62"/>
        <item x="795"/>
        <item x="504"/>
        <item x="443"/>
        <item x="483"/>
        <item x="363"/>
        <item x="398"/>
        <item x="569"/>
        <item x="318"/>
        <item x="732"/>
        <item x="934"/>
        <item x="819"/>
        <item x="366"/>
        <item x="92"/>
        <item x="667"/>
        <item x="862"/>
        <item x="140"/>
        <item x="15"/>
        <item x="543"/>
        <item x="386"/>
        <item x="327"/>
        <item x="136"/>
        <item x="348"/>
        <item x="265"/>
        <item x="340"/>
        <item x="991"/>
        <item x="400"/>
        <item x="460"/>
        <item x="665"/>
        <item x="781"/>
        <item x="231"/>
        <item x="655"/>
        <item x="921"/>
        <item x="930"/>
        <item x="669"/>
        <item x="744"/>
        <item x="755"/>
        <item x="183"/>
        <item x="944"/>
        <item x="119"/>
        <item x="145"/>
        <item x="279"/>
        <item x="493"/>
        <item x="44"/>
        <item x="960"/>
        <item x="205"/>
        <item x="416"/>
        <item x="27"/>
        <item x="953"/>
        <item x="704"/>
        <item x="107"/>
        <item x="435"/>
        <item x="462"/>
        <item x="808"/>
        <item x="837"/>
        <item x="981"/>
        <item x="211"/>
        <item x="927"/>
        <item x="855"/>
        <item x="194"/>
        <item x="295"/>
        <item x="268"/>
        <item x="717"/>
        <item x="156"/>
        <item x="408"/>
        <item x="420"/>
        <item x="992"/>
        <item x="517"/>
        <item x="833"/>
        <item x="388"/>
        <item x="273"/>
        <item x="961"/>
        <item x="393"/>
        <item x="133"/>
        <item x="381"/>
        <item x="463"/>
        <item x="824"/>
        <item x="79"/>
        <item x="392"/>
        <item x="909"/>
        <item x="402"/>
        <item x="226"/>
        <item x="10"/>
        <item x="748"/>
        <item x="297"/>
        <item x="595"/>
        <item x="260"/>
        <item x="346"/>
        <item x="931"/>
        <item x="202"/>
        <item x="272"/>
        <item x="455"/>
        <item x="929"/>
        <item x="616"/>
        <item x="912"/>
        <item x="902"/>
        <item x="42"/>
        <item x="302"/>
        <item x="838"/>
        <item x="110"/>
        <item x="482"/>
        <item x="465"/>
        <item x="112"/>
        <item x="956"/>
        <item x="940"/>
        <item x="645"/>
        <item x="915"/>
        <item x="151"/>
        <item x="985"/>
        <item x="50"/>
        <item x="282"/>
        <item x="870"/>
        <item x="928"/>
        <item x="351"/>
        <item x="750"/>
        <item x="5"/>
        <item x="255"/>
        <item x="201"/>
        <item x="261"/>
        <item x="535"/>
        <item x="250"/>
        <item x="701"/>
        <item x="67"/>
        <item x="609"/>
        <item x="94"/>
        <item x="459"/>
        <item x="911"/>
        <item x="880"/>
        <item x="87"/>
        <item x="132"/>
        <item x="195"/>
        <item x="404"/>
        <item x="747"/>
        <item x="872"/>
        <item x="382"/>
        <item x="317"/>
        <item x="628"/>
        <item x="169"/>
        <item x="957"/>
        <item x="597"/>
        <item x="723"/>
        <item x="607"/>
        <item x="621"/>
        <item x="636"/>
        <item x="503"/>
        <item x="950"/>
        <item x="497"/>
        <item x="283"/>
        <item x="845"/>
        <item x="130"/>
        <item x="100"/>
        <item x="316"/>
        <item x="578"/>
        <item x="8"/>
        <item x="390"/>
        <item x="299"/>
        <item x="970"/>
        <item x="329"/>
        <item x="505"/>
        <item x="571"/>
        <item x="908"/>
        <item x="274"/>
        <item x="689"/>
        <item x="634"/>
        <item x="20"/>
        <item x="93"/>
        <item x="113"/>
        <item x="916"/>
        <item x="549"/>
        <item x="556"/>
        <item x="219"/>
        <item x="555"/>
        <item x="26"/>
        <item x="374"/>
        <item x="746"/>
        <item x="754"/>
        <item x="842"/>
        <item x="389"/>
        <item x="43"/>
        <item x="444"/>
        <item x="222"/>
        <item x="951"/>
        <item x="800"/>
        <item x="240"/>
        <item x="82"/>
        <item x="428"/>
        <item x="583"/>
        <item x="675"/>
        <item x="225"/>
        <item x="103"/>
        <item x="648"/>
        <item x="468"/>
        <item x="220"/>
        <item x="878"/>
        <item x="347"/>
        <item x="180"/>
        <item x="114"/>
        <item x="229"/>
        <item x="45"/>
        <item x="938"/>
        <item x="529"/>
        <item x="980"/>
        <item x="775"/>
        <item x="473"/>
        <item x="339"/>
        <item x="80"/>
        <item x="324"/>
        <item x="506"/>
        <item x="661"/>
        <item x="527"/>
        <item x="457"/>
        <item x="298"/>
        <item x="948"/>
        <item x="905"/>
        <item x="534"/>
        <item x="19"/>
        <item x="579"/>
        <item x="414"/>
        <item x="760"/>
        <item x="552"/>
        <item x="36"/>
        <item x="39"/>
        <item x="117"/>
        <item x="693"/>
        <item x="311"/>
        <item x="681"/>
        <item x="601"/>
        <item x="729"/>
        <item x="429"/>
        <item x="310"/>
        <item x="811"/>
        <item x="978"/>
        <item x="714"/>
        <item x="860"/>
        <item x="787"/>
        <item x="753"/>
        <item x="384"/>
        <item x="163"/>
        <item x="499"/>
        <item x="223"/>
        <item x="175"/>
        <item x="955"/>
        <item x="322"/>
        <item x="894"/>
        <item x="608"/>
        <item x="198"/>
        <item x="450"/>
        <item x="9"/>
        <item x="877"/>
        <item x="293"/>
        <item x="917"/>
        <item x="14"/>
        <item x="289"/>
        <item x="788"/>
        <item x="859"/>
        <item x="778"/>
        <item x="121"/>
        <item x="881"/>
        <item x="54"/>
        <item x="657"/>
        <item x="987"/>
        <item x="189"/>
        <item x="698"/>
        <item x="933"/>
        <item x="21"/>
        <item x="305"/>
        <item x="246"/>
        <item x="11"/>
        <item x="18"/>
        <item x="123"/>
        <item x="290"/>
        <item x="679"/>
        <item x="442"/>
        <item x="95"/>
        <item x="768"/>
        <item x="490"/>
        <item x="301"/>
        <item x="71"/>
        <item x="41"/>
        <item x="97"/>
        <item x="674"/>
        <item x="707"/>
        <item x="736"/>
        <item x="137"/>
        <item x="362"/>
        <item x="898"/>
        <item x="523"/>
        <item x="496"/>
        <item x="869"/>
        <item x="832"/>
        <item x="541"/>
        <item x="783"/>
        <item x="582"/>
        <item x="673"/>
        <item x="111"/>
        <item x="179"/>
        <item x="192"/>
        <item x="547"/>
        <item x="155"/>
        <item x="617"/>
        <item x="712"/>
        <item x="542"/>
        <item x="766"/>
        <item x="96"/>
        <item x="494"/>
        <item x="954"/>
        <item x="727"/>
        <item x="666"/>
        <item x="635"/>
        <item x="594"/>
        <item x="967"/>
        <item x="771"/>
        <item x="963"/>
        <item x="945"/>
        <item x="715"/>
        <item x="37"/>
        <item x="550"/>
        <item x="590"/>
        <item x="791"/>
        <item x="181"/>
        <item x="367"/>
        <item x="751"/>
        <item x="330"/>
        <item x="167"/>
        <item x="919"/>
        <item x="143"/>
        <item x="33"/>
        <item x="654"/>
        <item x="334"/>
        <item x="705"/>
        <item x="591"/>
        <item x="875"/>
        <item x="34"/>
        <item x="886"/>
        <item x="514"/>
        <item x="573"/>
        <item x="996"/>
        <item x="467"/>
        <item x="413"/>
        <item x="922"/>
        <item x="306"/>
        <item x="682"/>
        <item x="649"/>
        <item x="989"/>
        <item x="626"/>
        <item x="309"/>
        <item x="172"/>
        <item x="124"/>
        <item x="502"/>
        <item x="84"/>
        <item x="941"/>
        <item x="193"/>
        <item x="713"/>
        <item x="670"/>
        <item x="350"/>
        <item x="248"/>
        <item x="853"/>
        <item x="646"/>
        <item x="767"/>
        <item x="254"/>
        <item x="412"/>
        <item x="23"/>
        <item x="865"/>
        <item x="387"/>
        <item x="221"/>
        <item x="152"/>
        <item x="77"/>
        <item x="776"/>
        <item x="207"/>
        <item x="593"/>
        <item x="371"/>
        <item x="903"/>
        <item x="926"/>
        <item x="779"/>
        <item x="69"/>
        <item x="652"/>
        <item x="851"/>
        <item x="532"/>
        <item x="724"/>
        <item x="576"/>
        <item x="63"/>
        <item x="357"/>
        <item x="239"/>
        <item x="694"/>
        <item x="498"/>
        <item x="360"/>
        <item x="249"/>
        <item x="885"/>
        <item x="603"/>
        <item x="24"/>
        <item x="524"/>
        <item x="677"/>
        <item x="660"/>
        <item x="385"/>
        <item x="728"/>
        <item x="439"/>
        <item x="241"/>
        <item x="515"/>
        <item x="277"/>
        <item x="947"/>
        <item x="449"/>
        <item x="662"/>
        <item x="236"/>
        <item x="471"/>
        <item x="433"/>
        <item x="600"/>
        <item x="1"/>
        <item x="580"/>
        <item x="353"/>
        <item x="437"/>
        <item x="395"/>
        <item x="604"/>
        <item x="271"/>
        <item x="574"/>
        <item x="307"/>
        <item x="109"/>
        <item x="6"/>
        <item x="252"/>
        <item x="300"/>
        <item x="708"/>
        <item x="153"/>
        <item x="128"/>
        <item x="721"/>
        <item x="165"/>
        <item x="352"/>
        <item x="397"/>
        <item x="139"/>
        <item x="171"/>
        <item x="739"/>
        <item x="344"/>
        <item x="263"/>
        <item x="410"/>
        <item x="663"/>
        <item x="852"/>
        <item x="605"/>
        <item x="560"/>
        <item x="157"/>
        <item x="431"/>
        <item x="196"/>
        <item x="448"/>
        <item x="564"/>
        <item x="102"/>
        <item x="965"/>
        <item x="16"/>
        <item x="495"/>
        <item x="690"/>
        <item x="285"/>
        <item x="59"/>
        <item x="668"/>
        <item x="104"/>
        <item x="697"/>
        <item x="315"/>
        <item x="509"/>
        <item x="738"/>
        <item x="784"/>
        <item x="154"/>
        <item x="687"/>
        <item x="562"/>
        <item x="964"/>
        <item x="391"/>
        <item x="70"/>
        <item x="403"/>
        <item x="476"/>
        <item x="990"/>
        <item x="994"/>
        <item x="281"/>
        <item x="925"/>
        <item x="424"/>
        <item x="866"/>
        <item x="623"/>
        <item x="72"/>
        <item x="56"/>
        <item x="810"/>
        <item x="822"/>
        <item x="973"/>
        <item x="774"/>
        <item x="312"/>
        <item x="742"/>
        <item x="323"/>
        <item x="436"/>
        <item x="55"/>
        <item x="521"/>
        <item x="785"/>
        <item x="421"/>
        <item x="868"/>
        <item x="942"/>
        <item x="361"/>
        <item x="533"/>
        <item x="658"/>
        <item x="230"/>
        <item x="602"/>
        <item x="480"/>
        <item x="383"/>
        <item x="58"/>
        <item x="659"/>
        <item x="777"/>
        <item x="134"/>
        <item x="983"/>
        <item x="835"/>
        <item x="186"/>
        <item x="825"/>
        <item x="91"/>
        <item x="99"/>
        <item x="83"/>
        <item x="796"/>
        <item x="588"/>
        <item x="644"/>
        <item x="149"/>
        <item x="840"/>
        <item x="489"/>
        <item x="333"/>
        <item x="65"/>
        <item x="377"/>
        <item x="328"/>
        <item x="730"/>
        <item x="834"/>
        <item x="25"/>
        <item x="61"/>
        <item x="434"/>
        <item x="847"/>
        <item x="651"/>
        <item x="320"/>
        <item x="176"/>
        <item x="620"/>
        <item x="200"/>
        <item x="245"/>
        <item x="197"/>
        <item x="242"/>
        <item x="451"/>
        <item x="57"/>
        <item x="406"/>
        <item x="379"/>
        <item x="68"/>
        <item x="773"/>
        <item x="615"/>
        <item x="540"/>
        <item x="874"/>
        <item x="548"/>
        <item x="918"/>
        <item x="135"/>
        <item x="710"/>
        <item x="782"/>
        <item x="86"/>
        <item x="695"/>
        <item x="284"/>
        <item x="142"/>
        <item x="686"/>
        <item x="671"/>
        <item x="797"/>
        <item x="286"/>
        <item x="683"/>
        <item x="174"/>
        <item x="812"/>
        <item x="539"/>
        <item x="501"/>
        <item x="887"/>
        <item x="890"/>
        <item x="89"/>
        <item x="90"/>
        <item x="734"/>
        <item x="848"/>
        <item x="30"/>
        <item x="630"/>
        <item x="737"/>
        <item x="48"/>
        <item x="656"/>
        <item x="409"/>
        <item x="906"/>
        <item x="74"/>
        <item x="168"/>
        <item x="458"/>
        <item x="566"/>
        <item x="173"/>
        <item x="53"/>
        <item x="792"/>
        <item x="826"/>
        <item x="716"/>
        <item x="407"/>
        <item x="13"/>
        <item x="447"/>
        <item x="276"/>
        <item x="51"/>
        <item x="807"/>
        <item x="479"/>
        <item x="287"/>
        <item x="485"/>
        <item x="446"/>
        <item x="335"/>
        <item x="269"/>
        <item x="303"/>
        <item x="638"/>
        <item x="923"/>
        <item x="470"/>
        <item x="759"/>
        <item x="622"/>
        <item x="525"/>
        <item x="76"/>
        <item x="146"/>
        <item x="827"/>
        <item x="861"/>
        <item x="589"/>
        <item x="358"/>
        <item x="863"/>
        <item x="879"/>
        <item x="426"/>
        <item x="278"/>
        <item x="618"/>
        <item x="831"/>
        <item x="958"/>
        <item x="688"/>
        <item x="508"/>
        <item x="876"/>
        <item x="423"/>
        <item x="762"/>
        <item x="858"/>
        <item x="913"/>
        <item x="592"/>
        <item x="108"/>
        <item x="841"/>
        <item x="743"/>
        <item x="790"/>
        <item x="251"/>
        <item x="144"/>
        <item x="341"/>
        <item x="977"/>
        <item x="488"/>
        <item x="228"/>
        <item x="899"/>
        <item x="676"/>
        <item x="376"/>
        <item x="217"/>
        <item x="999"/>
        <item x="78"/>
        <item x="160"/>
        <item x="726"/>
        <item x="829"/>
        <item x="664"/>
        <item x="131"/>
        <item x="49"/>
        <item x="253"/>
        <item x="939"/>
        <item x="809"/>
        <item x="259"/>
        <item x="187"/>
        <item x="794"/>
        <item x="745"/>
        <item x="440"/>
        <item x="234"/>
        <item x="52"/>
        <item x="867"/>
        <item x="856"/>
        <item x="757"/>
        <item x="161"/>
        <item x="31"/>
        <item x="218"/>
        <item x="191"/>
        <item x="101"/>
        <item x="920"/>
        <item x="949"/>
        <item x="507"/>
        <item x="680"/>
        <item x="214"/>
        <item x="637"/>
        <item x="720"/>
        <item x="438"/>
        <item x="472"/>
        <item x="308"/>
        <item x="849"/>
        <item x="520"/>
        <item x="972"/>
        <item x="801"/>
        <item x="817"/>
        <item x="546"/>
        <item x="722"/>
        <item x="805"/>
        <item x="120"/>
        <item x="537"/>
        <item x="210"/>
        <item x="466"/>
        <item x="606"/>
        <item x="577"/>
        <item x="993"/>
        <item x="731"/>
        <item x="106"/>
        <item x="262"/>
        <item x="763"/>
        <item x="73"/>
        <item x="235"/>
        <item x="369"/>
        <item x="587"/>
        <item x="314"/>
        <item x="946"/>
        <item x="425"/>
        <item x="998"/>
        <item x="208"/>
        <item x="453"/>
        <item x="544"/>
        <item x="233"/>
        <item x="47"/>
        <item x="399"/>
        <item x="338"/>
        <item x="313"/>
        <item x="558"/>
        <item x="761"/>
        <item x="188"/>
        <item x="60"/>
        <item x="148"/>
        <item x="368"/>
        <item x="512"/>
        <item x="445"/>
        <item x="185"/>
        <item x="904"/>
        <item x="98"/>
        <item x="895"/>
        <item x="551"/>
        <item x="883"/>
        <item x="417"/>
        <item x="209"/>
        <item x="924"/>
        <item x="331"/>
        <item x="526"/>
        <item x="7"/>
        <item x="553"/>
        <item x="703"/>
        <item x="884"/>
        <item x="370"/>
        <item x="519"/>
        <item x="889"/>
        <item x="531"/>
        <item x="304"/>
        <item x="116"/>
        <item x="441"/>
        <item x="979"/>
        <item x="28"/>
        <item x="364"/>
        <item x="184"/>
        <item x="477"/>
        <item x="359"/>
        <item x="3"/>
        <item x="952"/>
        <item x="342"/>
        <item x="756"/>
        <item x="40"/>
        <item x="640"/>
        <item x="66"/>
        <item x="22"/>
        <item x="452"/>
        <item x="752"/>
        <item x="814"/>
        <item x="17"/>
        <item x="772"/>
        <item x="64"/>
        <item x="764"/>
        <item x="256"/>
        <item x="843"/>
        <item x="266"/>
        <item x="625"/>
        <item x="892"/>
        <item x="901"/>
        <item x="510"/>
        <item x="126"/>
        <item x="349"/>
        <item x="203"/>
        <item x="850"/>
        <item x="264"/>
        <item x="633"/>
        <item x="984"/>
        <item x="844"/>
        <item x="672"/>
        <item x="170"/>
        <item x="806"/>
        <item x="962"/>
      </items>
      <extLst>
        <ext xmlns:x14="http://schemas.microsoft.com/office/spreadsheetml/2009/9/main" uri="{2946ED86-A175-432a-8AC1-64E0C546D7DE}">
          <x14:pivotField fillDownLabels="1"/>
        </ext>
      </extLst>
    </pivotField>
    <pivotField dataField="1" compact="0" outline="0" showAll="0" defaultSubtotal="0">
      <items count="1000">
        <item x="883"/>
        <item x="331"/>
        <item x="519"/>
        <item x="188"/>
        <item x="551"/>
        <item x="185"/>
        <item x="40"/>
        <item x="423"/>
        <item x="338"/>
        <item x="304"/>
        <item x="184"/>
        <item x="993"/>
        <item x="756"/>
        <item x="269"/>
        <item x="52"/>
        <item x="368"/>
        <item x="656"/>
        <item x="752"/>
        <item x="949"/>
        <item x="466"/>
        <item x="731"/>
        <item x="447"/>
        <item x="843"/>
        <item x="142"/>
        <item x="472"/>
        <item x="972"/>
        <item x="417"/>
        <item x="814"/>
        <item x="606"/>
        <item x="867"/>
        <item x="441"/>
        <item x="640"/>
        <item x="566"/>
        <item x="620"/>
        <item x="726"/>
        <item x="485"/>
        <item x="60"/>
        <item x="186"/>
        <item x="507"/>
        <item x="187"/>
        <item x="680"/>
        <item x="925"/>
        <item x="144"/>
        <item x="637"/>
        <item x="197"/>
        <item x="286"/>
        <item x="251"/>
        <item x="47"/>
        <item x="452"/>
        <item x="510"/>
        <item x="874"/>
        <item x="174"/>
        <item x="303"/>
        <item x="359"/>
        <item x="849"/>
        <item x="762"/>
        <item x="451"/>
        <item x="592"/>
        <item x="426"/>
        <item x="28"/>
        <item x="358"/>
        <item x="589"/>
        <item x="65"/>
        <item x="278"/>
        <item x="826"/>
        <item x="794"/>
        <item x="895"/>
        <item x="782"/>
        <item x="918"/>
        <item x="817"/>
        <item x="651"/>
        <item x="13"/>
        <item x="453"/>
        <item x="884"/>
        <item x="242"/>
        <item x="160"/>
        <item x="196"/>
        <item x="990"/>
        <item x="861"/>
        <item x="314"/>
        <item x="217"/>
        <item x="994"/>
        <item x="470"/>
        <item x="68"/>
        <item x="521"/>
        <item x="200"/>
        <item x="777"/>
        <item x="239"/>
        <item x="360"/>
        <item x="983"/>
        <item x="533"/>
        <item x="307"/>
        <item x="37"/>
        <item x="233"/>
        <item x="308"/>
        <item x="512"/>
        <item x="333"/>
        <item x="520"/>
        <item x="654"/>
        <item x="78"/>
        <item x="139"/>
        <item x="350"/>
        <item x="436"/>
        <item x="890"/>
        <item x="577"/>
        <item x="851"/>
        <item x="135"/>
        <item x="810"/>
        <item x="751"/>
        <item x="977"/>
        <item x="306"/>
        <item x="391"/>
        <item x="434"/>
        <item x="633"/>
        <item x="281"/>
        <item x="33"/>
        <item x="128"/>
        <item x="558"/>
        <item x="687"/>
        <item x="547"/>
        <item x="334"/>
        <item x="540"/>
        <item x="57"/>
        <item x="246"/>
        <item x="371"/>
        <item x="25"/>
        <item x="17"/>
        <item x="63"/>
        <item x="644"/>
        <item x="807"/>
        <item x="77"/>
        <item x="344"/>
        <item x="796"/>
        <item x="683"/>
        <item x="924"/>
        <item x="868"/>
        <item x="736"/>
        <item x="652"/>
        <item x="523"/>
        <item x="913"/>
        <item x="801"/>
        <item x="906"/>
        <item x="442"/>
        <item x="743"/>
        <item x="734"/>
        <item x="673"/>
        <item x="101"/>
        <item x="277"/>
        <item x="501"/>
        <item x="271"/>
        <item x="690"/>
        <item x="778"/>
        <item x="18"/>
        <item x="662"/>
        <item x="374"/>
        <item x="311"/>
        <item x="155"/>
        <item x="23"/>
        <item x="210"/>
        <item x="987"/>
        <item x="203"/>
        <item x="165"/>
        <item x="114"/>
        <item x="727"/>
        <item x="705"/>
        <item x="916"/>
        <item x="761"/>
        <item x="387"/>
        <item x="83"/>
        <item x="488"/>
        <item x="495"/>
        <item x="753"/>
        <item x="370"/>
        <item x="167"/>
        <item x="310"/>
        <item x="490"/>
        <item x="352"/>
        <item x="254"/>
        <item x="173"/>
        <item x="697"/>
        <item x="710"/>
        <item x="524"/>
        <item x="588"/>
        <item x="300"/>
        <item x="450"/>
        <item x="715"/>
        <item x="149"/>
        <item x="316"/>
        <item x="898"/>
        <item x="784"/>
        <item x="236"/>
        <item x="276"/>
        <item x="996"/>
        <item x="312"/>
        <item x="54"/>
        <item x="829"/>
        <item x="230"/>
        <item x="14"/>
        <item x="926"/>
        <item x="143"/>
        <item x="218"/>
        <item x="289"/>
        <item x="439"/>
        <item x="594"/>
        <item x="967"/>
        <item x="406"/>
        <item x="515"/>
        <item x="34"/>
        <item x="7"/>
        <item x="703"/>
        <item x="722"/>
        <item x="579"/>
        <item x="858"/>
        <item x="172"/>
        <item x="383"/>
        <item x="131"/>
        <item x="757"/>
        <item x="853"/>
        <item x="514"/>
        <item x="152"/>
        <item x="911"/>
        <item x="600"/>
        <item x="661"/>
        <item x="573"/>
        <item x="249"/>
        <item x="66"/>
        <item x="106"/>
        <item x="775"/>
        <item x="666"/>
        <item x="964"/>
        <item x="170"/>
        <item x="952"/>
        <item x="339"/>
        <item x="865"/>
        <item x="209"/>
        <item x="102"/>
        <item x="961"/>
        <item x="49"/>
        <item x="132"/>
        <item x="220"/>
        <item x="905"/>
        <item x="894"/>
        <item x="176"/>
        <item x="973"/>
        <item x="208"/>
        <item x="24"/>
        <item x="869"/>
        <item x="904"/>
        <item x="403"/>
        <item x="693"/>
        <item x="284"/>
        <item x="730"/>
        <item x="526"/>
        <item x="342"/>
        <item x="476"/>
        <item x="908"/>
        <item x="226"/>
        <item x="305"/>
        <item x="496"/>
        <item x="689"/>
        <item x="222"/>
        <item x="887"/>
        <item x="636"/>
        <item x="776"/>
        <item x="219"/>
        <item x="437"/>
        <item x="712"/>
        <item x="264"/>
        <item x="737"/>
        <item x="855"/>
        <item x="293"/>
        <item x="707"/>
        <item x="389"/>
        <item x="945"/>
        <item x="94"/>
        <item x="878"/>
        <item x="892"/>
        <item x="163"/>
        <item x="646"/>
        <item x="302"/>
        <item x="965"/>
        <item x="56"/>
        <item x="477"/>
        <item x="287"/>
        <item x="601"/>
        <item x="499"/>
        <item x="617"/>
        <item x="20"/>
        <item x="919"/>
        <item x="323"/>
        <item x="10"/>
        <item x="504"/>
        <item x="71"/>
        <item x="104"/>
        <item x="772"/>
        <item x="941"/>
        <item x="45"/>
        <item x="134"/>
        <item x="840"/>
        <item x="462"/>
        <item x="953"/>
        <item x="679"/>
        <item x="825"/>
        <item x="537"/>
        <item x="157"/>
        <item x="328"/>
        <item x="720"/>
        <item x="539"/>
        <item x="605"/>
        <item x="623"/>
        <item x="701"/>
        <item x="698"/>
        <item x="587"/>
        <item x="156"/>
        <item x="831"/>
        <item x="99"/>
        <item x="256"/>
        <item x="396"/>
        <item x="999"/>
        <item x="958"/>
        <item x="207"/>
        <item x="630"/>
        <item x="842"/>
        <item x="532"/>
        <item x="922"/>
        <item x="917"/>
        <item x="479"/>
        <item x="542"/>
        <item x="912"/>
        <item x="593"/>
        <item x="535"/>
        <item x="716"/>
        <item x="428"/>
        <item x="93"/>
        <item x="392"/>
        <item x="835"/>
        <item x="979"/>
        <item x="366"/>
        <item x="41"/>
        <item x="808"/>
        <item x="659"/>
        <item x="124"/>
        <item x="729"/>
        <item x="353"/>
        <item x="381"/>
        <item x="467"/>
        <item x="658"/>
        <item x="189"/>
        <item x="786"/>
        <item x="123"/>
        <item x="292"/>
        <item x="549"/>
        <item x="348"/>
        <item x="783"/>
        <item x="609"/>
        <item x="388"/>
        <item x="6"/>
        <item x="498"/>
        <item x="543"/>
        <item x="550"/>
        <item x="145"/>
        <item x="995"/>
        <item x="502"/>
        <item x="402"/>
        <item x="834"/>
        <item x="805"/>
        <item x="399"/>
        <item x="39"/>
        <item x="732"/>
        <item x="363"/>
        <item x="240"/>
        <item x="681"/>
        <item x="454"/>
        <item x="113"/>
        <item x="569"/>
        <item x="812"/>
        <item x="909"/>
        <item x="615"/>
        <item x="444"/>
        <item x="61"/>
        <item x="774"/>
        <item x="266"/>
        <item x="294"/>
        <item x="506"/>
        <item x="91"/>
        <item x="809"/>
        <item x="856"/>
        <item x="206"/>
        <item x="739"/>
        <item x="116"/>
        <item x="819"/>
        <item x="330"/>
        <item x="750"/>
        <item x="989"/>
        <item x="126"/>
        <item x="930"/>
        <item x="465"/>
        <item x="80"/>
        <item x="79"/>
        <item x="717"/>
        <item x="645"/>
        <item x="384"/>
        <item x="694"/>
        <item x="332"/>
        <item x="317"/>
        <item x="121"/>
        <item x="111"/>
        <item x="900"/>
        <item x="194"/>
        <item x="301"/>
        <item x="907"/>
        <item x="21"/>
        <item x="846"/>
        <item x="763"/>
        <item x="881"/>
        <item x="346"/>
        <item x="265"/>
        <item x="84"/>
        <item x="48"/>
        <item x="410"/>
        <item x="365"/>
        <item x="695"/>
        <item x="584"/>
        <item x="850"/>
        <item x="341"/>
        <item x="378"/>
        <item x="88"/>
        <item x="747"/>
        <item x="282"/>
        <item x="298"/>
        <item x="141"/>
        <item x="910"/>
        <item x="613"/>
        <item x="351"/>
        <item x="412"/>
        <item x="487"/>
        <item x="297"/>
        <item x="463"/>
        <item x="386"/>
        <item x="649"/>
        <item x="795"/>
        <item x="11"/>
        <item x="221"/>
        <item x="457"/>
        <item x="69"/>
        <item x="622"/>
        <item x="252"/>
        <item x="97"/>
        <item x="862"/>
        <item x="430"/>
        <item x="929"/>
        <item x="859"/>
        <item x="604"/>
        <item x="709"/>
        <item x="578"/>
        <item x="82"/>
        <item x="395"/>
        <item x="112"/>
        <item x="255"/>
        <item x="754"/>
        <item x="740"/>
        <item x="288"/>
        <item x="950"/>
        <item x="471"/>
        <item x="81"/>
        <item x="626"/>
        <item x="505"/>
        <item x="830"/>
        <item x="516"/>
        <item x="224"/>
        <item x="787"/>
        <item x="280"/>
        <item x="382"/>
        <item x="766"/>
        <item x="263"/>
        <item x="92"/>
        <item x="58"/>
        <item x="744"/>
        <item x="232"/>
        <item x="273"/>
        <item x="257"/>
        <item x="227"/>
        <item x="748"/>
        <item x="746"/>
        <item x="647"/>
        <item x="872"/>
        <item x="503"/>
        <item x="978"/>
        <item x="130"/>
        <item x="291"/>
        <item x="847"/>
        <item x="42"/>
        <item x="567"/>
        <item x="201"/>
        <item x="804"/>
        <item x="848"/>
        <item x="119"/>
        <item x="138"/>
        <item x="612"/>
        <item x="635"/>
        <item x="120"/>
        <item x="837"/>
        <item x="1"/>
        <item x="158"/>
        <item x="461"/>
        <item x="133"/>
        <item x="711"/>
        <item x="500"/>
        <item x="275"/>
        <item x="902"/>
        <item x="166"/>
        <item x="148"/>
        <item x="481"/>
        <item x="828"/>
        <item x="791"/>
        <item x="575"/>
        <item x="534"/>
        <item x="169"/>
        <item x="522"/>
        <item x="247"/>
        <item x="536"/>
        <item x="228"/>
        <item x="250"/>
        <item x="5"/>
        <item x="691"/>
        <item x="326"/>
        <item x="789"/>
        <item x="140"/>
        <item x="183"/>
        <item x="272"/>
        <item x="800"/>
        <item x="215"/>
        <item x="820"/>
        <item x="72"/>
        <item x="611"/>
        <item x="59"/>
        <item x="279"/>
        <item x="836"/>
        <item x="216"/>
        <item x="760"/>
        <item x="241"/>
        <item x="793"/>
        <item x="75"/>
        <item x="202"/>
        <item x="464"/>
        <item x="415"/>
        <item x="229"/>
        <item x="432"/>
        <item x="484"/>
        <item x="960"/>
        <item x="29"/>
        <item x="955"/>
        <item x="877"/>
        <item x="153"/>
        <item x="833"/>
        <item x="598"/>
        <item x="844"/>
        <item x="586"/>
        <item x="46"/>
        <item x="212"/>
        <item x="816"/>
        <item x="385"/>
        <item x="893"/>
        <item x="105"/>
        <item x="966"/>
        <item x="901"/>
        <item x="85"/>
        <item x="486"/>
        <item x="624"/>
        <item x="394"/>
        <item x="482"/>
        <item x="818"/>
        <item x="585"/>
        <item x="629"/>
        <item x="43"/>
        <item x="518"/>
        <item x="741"/>
        <item x="390"/>
        <item x="35"/>
        <item x="702"/>
        <item x="628"/>
        <item x="377"/>
        <item x="237"/>
        <item x="356"/>
        <item x="354"/>
        <item x="538"/>
        <item x="643"/>
        <item x="971"/>
        <item x="319"/>
        <item x="419"/>
        <item x="443"/>
        <item x="26"/>
        <item x="839"/>
        <item x="320"/>
        <item x="854"/>
        <item x="610"/>
        <item x="345"/>
        <item x="225"/>
        <item x="162"/>
        <item x="969"/>
        <item x="696"/>
        <item x="975"/>
        <item x="790"/>
        <item x="4"/>
        <item x="411"/>
        <item x="321"/>
        <item x="974"/>
        <item x="517"/>
        <item x="713"/>
        <item x="530"/>
        <item x="337"/>
        <item x="650"/>
        <item x="260"/>
        <item x="596"/>
        <item x="914"/>
        <item x="632"/>
        <item x="931"/>
        <item x="190"/>
        <item x="129"/>
        <item x="735"/>
        <item x="243"/>
        <item x="799"/>
        <item x="238"/>
        <item x="424"/>
        <item x="699"/>
        <item x="692"/>
        <item x="657"/>
        <item x="765"/>
        <item x="107"/>
        <item x="244"/>
        <item x="180"/>
        <item x="811"/>
        <item x="343"/>
        <item x="164"/>
        <item x="678"/>
        <item x="168"/>
        <item x="413"/>
        <item x="182"/>
        <item x="199"/>
        <item x="896"/>
        <item x="557"/>
        <item x="641"/>
        <item x="639"/>
        <item x="815"/>
        <item x="771"/>
        <item x="599"/>
        <item x="864"/>
        <item x="991"/>
        <item x="398"/>
        <item x="682"/>
        <item x="888"/>
        <item x="70"/>
        <item x="429"/>
        <item x="12"/>
        <item x="283"/>
        <item x="373"/>
        <item x="824"/>
        <item x="369"/>
        <item x="440"/>
        <item x="685"/>
        <item x="597"/>
        <item x="497"/>
        <item x="954"/>
        <item x="871"/>
        <item x="891"/>
        <item x="899"/>
        <item x="802"/>
        <item x="127"/>
        <item x="937"/>
        <item x="932"/>
        <item x="401"/>
        <item x="446"/>
        <item x="67"/>
        <item x="719"/>
        <item x="422"/>
        <item x="19"/>
        <item x="372"/>
        <item x="570"/>
        <item x="433"/>
        <item x="561"/>
        <item x="982"/>
        <item x="998"/>
        <item x="798"/>
        <item x="213"/>
        <item x="755"/>
        <item x="684"/>
        <item x="981"/>
        <item x="528"/>
        <item x="525"/>
        <item x="642"/>
        <item x="336"/>
        <item x="935"/>
        <item x="618"/>
        <item x="976"/>
        <item x="997"/>
        <item x="903"/>
        <item x="563"/>
        <item x="475"/>
        <item x="2"/>
        <item x="863"/>
        <item x="823"/>
        <item x="770"/>
        <item x="418"/>
        <item x="62"/>
        <item x="767"/>
        <item x="50"/>
        <item x="483"/>
        <item x="295"/>
        <item x="792"/>
        <item x="115"/>
        <item x="614"/>
        <item x="299"/>
        <item x="405"/>
        <item x="427"/>
        <item x="420"/>
        <item x="468"/>
        <item x="938"/>
        <item x="785"/>
        <item x="970"/>
        <item x="204"/>
        <item x="408"/>
        <item x="882"/>
        <item x="724"/>
        <item x="943"/>
        <item x="758"/>
        <item x="866"/>
        <item x="581"/>
        <item x="665"/>
        <item x="723"/>
        <item x="309"/>
        <item x="435"/>
        <item x="553"/>
        <item x="98"/>
        <item x="376"/>
        <item x="400"/>
        <item x="602"/>
        <item x="621"/>
        <item x="0"/>
        <item x="76"/>
        <item x="749"/>
        <item x="565"/>
        <item x="873"/>
        <item x="845"/>
        <item x="669"/>
        <item x="460"/>
        <item x="491"/>
        <item x="959"/>
        <item x="32"/>
        <item x="125"/>
        <item x="980"/>
        <item x="425"/>
        <item x="248"/>
        <item x="3"/>
        <item x="9"/>
        <item x="258"/>
        <item x="449"/>
        <item x="655"/>
        <item x="492"/>
        <item x="267"/>
        <item x="27"/>
        <item x="223"/>
        <item x="375"/>
        <item x="788"/>
        <item x="860"/>
        <item x="554"/>
        <item x="688"/>
        <item x="205"/>
        <item x="988"/>
        <item x="367"/>
        <item x="380"/>
        <item x="347"/>
        <item x="489"/>
        <item x="431"/>
        <item x="745"/>
        <item x="154"/>
        <item x="668"/>
        <item x="73"/>
        <item x="74"/>
        <item x="985"/>
        <item x="290"/>
        <item x="379"/>
        <item x="175"/>
        <item x="469"/>
        <item x="572"/>
        <item x="456"/>
        <item x="355"/>
        <item x="445"/>
        <item x="509"/>
        <item x="416"/>
        <item x="235"/>
        <item x="191"/>
        <item x="608"/>
        <item x="742"/>
        <item x="192"/>
        <item x="261"/>
        <item x="541"/>
        <item x="147"/>
        <item x="527"/>
        <item x="595"/>
        <item x="511"/>
        <item x="508"/>
        <item x="318"/>
        <item x="813"/>
        <item x="545"/>
        <item x="53"/>
        <item x="262"/>
        <item x="270"/>
        <item x="193"/>
        <item x="571"/>
        <item x="96"/>
        <item x="733"/>
        <item x="625"/>
        <item x="531"/>
        <item x="327"/>
        <item x="714"/>
        <item x="631"/>
        <item x="16"/>
        <item x="198"/>
        <item x="513"/>
        <item x="704"/>
        <item x="885"/>
        <item x="159"/>
        <item x="897"/>
        <item x="838"/>
        <item x="607"/>
        <item x="686"/>
        <item x="879"/>
        <item x="939"/>
        <item x="480"/>
        <item x="179"/>
        <item x="677"/>
        <item x="90"/>
        <item x="136"/>
        <item x="211"/>
        <item x="564"/>
        <item x="552"/>
        <item x="325"/>
        <item x="234"/>
        <item x="409"/>
        <item x="438"/>
        <item x="459"/>
        <item x="474"/>
        <item x="361"/>
        <item x="928"/>
        <item x="89"/>
        <item x="544"/>
        <item x="562"/>
        <item x="803"/>
        <item x="603"/>
        <item x="38"/>
        <item x="963"/>
        <item x="870"/>
        <item x="296"/>
        <item x="329"/>
        <item x="670"/>
        <item x="968"/>
        <item x="494"/>
        <item x="940"/>
        <item x="933"/>
        <item x="948"/>
        <item x="414"/>
        <item x="706"/>
        <item x="768"/>
        <item x="951"/>
        <item x="780"/>
        <item x="44"/>
        <item x="583"/>
        <item x="675"/>
        <item x="455"/>
        <item x="634"/>
        <item x="857"/>
        <item x="122"/>
        <item x="245"/>
        <item x="832"/>
        <item x="181"/>
        <item x="404"/>
        <item x="942"/>
        <item x="137"/>
        <item x="591"/>
        <item x="725"/>
        <item x="676"/>
        <item x="806"/>
        <item x="178"/>
        <item x="214"/>
        <item x="324"/>
        <item x="568"/>
        <item x="619"/>
        <item x="821"/>
        <item x="259"/>
        <item x="335"/>
        <item x="721"/>
        <item x="421"/>
        <item x="559"/>
        <item x="150"/>
        <item x="822"/>
        <item x="100"/>
        <item x="274"/>
        <item x="923"/>
        <item x="936"/>
        <item x="364"/>
        <item x="285"/>
        <item x="64"/>
        <item x="876"/>
        <item x="921"/>
        <item x="956"/>
        <item x="674"/>
        <item x="55"/>
        <item x="177"/>
        <item x="889"/>
        <item x="852"/>
        <item x="718"/>
        <item x="109"/>
        <item x="253"/>
        <item x="548"/>
        <item x="992"/>
        <item x="118"/>
        <item x="875"/>
        <item x="30"/>
        <item x="653"/>
        <item x="108"/>
        <item x="773"/>
        <item x="574"/>
        <item x="779"/>
        <item x="478"/>
        <item x="590"/>
        <item x="556"/>
        <item x="984"/>
        <item x="797"/>
        <item x="708"/>
        <item x="781"/>
        <item x="957"/>
        <item x="195"/>
        <item x="886"/>
        <item x="362"/>
        <item x="448"/>
        <item x="582"/>
        <item x="51"/>
        <item x="315"/>
        <item x="407"/>
        <item x="759"/>
        <item x="36"/>
        <item x="915"/>
        <item x="927"/>
        <item x="8"/>
        <item x="934"/>
        <item x="672"/>
        <item x="458"/>
        <item x="576"/>
        <item x="660"/>
        <item x="473"/>
        <item x="671"/>
        <item x="171"/>
        <item x="231"/>
        <item x="322"/>
        <item x="627"/>
        <item x="22"/>
        <item x="769"/>
        <item x="986"/>
        <item x="151"/>
        <item x="103"/>
        <item x="648"/>
        <item x="827"/>
        <item x="161"/>
        <item x="95"/>
        <item x="357"/>
        <item x="146"/>
        <item x="663"/>
        <item x="110"/>
        <item x="841"/>
        <item x="700"/>
        <item x="31"/>
        <item x="728"/>
        <item x="947"/>
        <item x="349"/>
        <item x="580"/>
        <item x="738"/>
        <item x="117"/>
        <item x="946"/>
        <item x="268"/>
        <item x="616"/>
        <item x="313"/>
        <item x="920"/>
        <item x="15"/>
        <item x="340"/>
        <item x="87"/>
        <item x="667"/>
        <item x="764"/>
        <item x="638"/>
        <item x="546"/>
        <item x="393"/>
        <item x="397"/>
        <item x="493"/>
        <item x="86"/>
        <item x="880"/>
        <item x="560"/>
        <item x="944"/>
        <item x="555"/>
        <item x="664"/>
        <item x="529"/>
        <item x="96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sd="0" x="0"/>
        <item x="1"/>
        <item sd="0" x="2"/>
        <item sd="0" x="3"/>
        <item sd="0" x="4"/>
        <item sd="0" x="5"/>
      </items>
      <extLst>
        <ext xmlns:x14="http://schemas.microsoft.com/office/spreadsheetml/2009/9/main" uri="{2946ED86-A175-432a-8AC1-64E0C546D7DE}">
          <x14:pivotField fillDownLabels="1"/>
        </ext>
      </extLst>
    </pivotField>
    <pivotField axis="axisRow" compact="0" outline="0" showAll="0" defaultSubtotal="0">
      <items count="4">
        <item h="1" x="0"/>
        <item x="1"/>
        <item x="2"/>
        <item h="1" x="3"/>
      </items>
      <extLst>
        <ext xmlns:x14="http://schemas.microsoft.com/office/spreadsheetml/2009/9/main" uri="{2946ED86-A175-432a-8AC1-64E0C546D7DE}">
          <x14:pivotField fillDownLabels="1"/>
        </ext>
      </extLst>
    </pivotField>
  </pivotFields>
  <rowFields count="2">
    <field x="26"/>
    <field x="1"/>
  </rowFields>
  <rowItems count="11">
    <i>
      <x v="1"/>
      <x v="3"/>
    </i>
    <i r="1">
      <x v="4"/>
    </i>
    <i r="1">
      <x v="5"/>
    </i>
    <i r="1">
      <x v="6"/>
    </i>
    <i r="1">
      <x v="7"/>
    </i>
    <i r="1">
      <x v="8"/>
    </i>
    <i r="1">
      <x v="9"/>
    </i>
    <i r="1">
      <x v="10"/>
    </i>
    <i r="1">
      <x v="11"/>
    </i>
    <i r="1">
      <x v="12"/>
    </i>
    <i t="grand">
      <x/>
    </i>
  </rowItems>
  <colFields count="1">
    <field x="-2"/>
  </colFields>
  <colItems count="2">
    <i>
      <x/>
    </i>
    <i i="1">
      <x v="1"/>
    </i>
  </colItems>
  <dataFields count="2">
    <dataField name="Sum of Sales_amount" fld="15" baseField="0" baseItem="0"/>
    <dataField name="Sum of Profit" fld="16" baseField="0" baseItem="0"/>
  </dataFields>
  <chartFormats count="6">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697EFA-6E83-471E-9437-7097081D9AEB}" sourceName="Region">
  <pivotTables>
    <pivotTable tabId="8" name="PivotTable4"/>
    <pivotTable tabId="12" name="PivotTable7"/>
    <pivotTable tabId="18" name="PivotTable13"/>
    <pivotTable tabId="16" name="PivotTable11"/>
    <pivotTable tabId="19" name="PivotTable14"/>
    <pivotTable tabId="6" name="PivotTable3"/>
    <pivotTable tabId="17" name="PivotTable12"/>
    <pivotTable tabId="9" name="PivotTable6"/>
    <pivotTable tabId="5" name="PivotTable2"/>
    <pivotTable tabId="20" name="PivotTable15"/>
  </pivotTables>
  <data>
    <tabular pivotCacheId="226640859">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B2D2A314-F50C-493A-81FA-15073AE7E557}" sourceName="Sales_amount">
  <pivotTables>
    <pivotTable tabId="20" name="PivotTable15"/>
  </pivotTables>
  <data>
    <tabular pivotCacheId="226640859">
      <items count="1000">
        <i x="162" s="1"/>
        <i x="692" s="1"/>
        <i x="243" s="1"/>
        <i x="799" s="1"/>
        <i x="610" s="1"/>
        <i x="321" s="1"/>
        <i x="238" s="1"/>
        <i x="643" s="1"/>
        <i x="411" s="1"/>
        <i x="818" s="1"/>
        <i x="244" s="1"/>
        <i x="599" s="1"/>
        <i x="85" s="1"/>
        <i x="696" s="1"/>
        <i x="401" s="1"/>
        <i x="816" s="1"/>
        <i x="343" s="1"/>
        <i x="882" s="1"/>
        <i x="46" s="1"/>
        <i x="765" s="1"/>
        <i x="975" s="1"/>
        <i x="427" s="1"/>
        <i x="741" s="1"/>
        <i x="105" s="1"/>
        <i x="29" s="1"/>
        <i x="596" s="1"/>
        <i x="650" s="1"/>
        <i x="624" s="1"/>
        <i x="372" s="1"/>
        <i x="345" s="1"/>
        <i x="212" s="1"/>
        <i x="557" s="1"/>
        <i x="937" s="1"/>
        <i x="158" s="1"/>
        <i x="969" s="1"/>
        <i x="375" s="1"/>
        <i x="267" s="1"/>
        <i x="464" s="1"/>
        <i x="216" s="1"/>
        <i x="319" s="1"/>
        <i x="138" s="1"/>
        <i x="475" s="1"/>
        <i x="629" s="1"/>
        <i x="684" s="1"/>
        <i x="896" s="1"/>
        <i x="182" s="1"/>
        <i x="492" s="1"/>
        <i x="864" s="1"/>
        <i x="966" s="1"/>
        <i x="561" s="1"/>
        <i x="570" s="1"/>
        <i x="699" s="1"/>
        <i x="456" s="1"/>
        <i x="691" s="1"/>
        <i x="166" s="1"/>
        <i x="486" s="1"/>
        <i x="572" s="1"/>
        <i x="871" s="1"/>
        <i x="204" s="1"/>
        <i x="491" s="1"/>
        <i x="75" s="1"/>
        <i x="115" s="1"/>
        <i x="897" s="1"/>
        <i x="820" s="1"/>
        <i x="631" s="1"/>
        <i x="430" s="1"/>
        <i x="474" s="1"/>
        <i x="982" s="1"/>
        <i x="354" s="1"/>
        <i x="538" s="1"/>
        <i x="685" s="1"/>
        <i x="147" s="1"/>
        <i x="974" s="1"/>
        <i x="971" s="1"/>
        <i x="614" s="1"/>
        <i x="190" s="1"/>
        <i x="484" s="1"/>
        <i x="598" s="1"/>
        <i x="215" s="1"/>
        <i x="804" s="1"/>
        <i x="997" s="1"/>
        <i x="959" s="1"/>
        <i x="511" s="1"/>
        <i x="647" s="1"/>
        <i x="735" s="1"/>
        <i x="619" s="1"/>
        <i x="586" s="1"/>
        <i x="337" s="1"/>
        <i x="565" s="1"/>
        <i x="770" s="1"/>
        <i x="803" s="1"/>
        <i x="4" s="1"/>
        <i x="581" s="1"/>
        <i x="563" s="1"/>
        <i x="545" s="1"/>
        <i x="568" s="1"/>
        <i x="270" s="1"/>
        <i x="910" s="1"/>
        <i x="258" s="1"/>
        <i x="326" s="1"/>
        <i x="2" s="1"/>
        <i x="740" s="1"/>
        <i x="88" s="1"/>
        <i x="325" s="1"/>
        <i x="793" s="1"/>
        <i x="900" s="1"/>
        <i x="828" s="1"/>
        <i x="122" s="1"/>
        <i x="355" s="1"/>
        <i x="118" s="1"/>
        <i x="422" s="1"/>
        <i x="280" s="1"/>
        <i x="632" s="1"/>
        <i x="988" s="1"/>
        <i x="141" s="1"/>
        <i x="373" s="1"/>
        <i x="749" s="1"/>
        <i x="378" s="1"/>
        <i x="291" s="1"/>
        <i x="129" s="1"/>
        <i x="641" s="1"/>
        <i x="257" s="1"/>
        <i x="653" s="1"/>
        <i x="821" s="1"/>
        <i x="332" s="1"/>
        <i x="481" s="1"/>
        <i x="177" s="1"/>
        <i x="478" s="1"/>
        <i x="81" s="1"/>
        <i x="611" s="1"/>
        <i x="854" s="1"/>
        <i x="296" s="1"/>
        <i x="127" s="1"/>
        <i x="718" s="1"/>
        <i x="836" s="1"/>
        <i x="513" s="1"/>
        <i x="356" s="1"/>
        <i x="709" s="1"/>
        <i x="530" s="1"/>
        <i x="415" s="1"/>
        <i x="419" s="1"/>
        <i x="986" s="1"/>
        <i x="802" s="1"/>
        <i x="12" s="1"/>
        <i x="178" s="1"/>
        <i x="206" s="1"/>
        <i x="733" s="1"/>
        <i x="554" s="1"/>
        <i x="227" s="1"/>
        <i x="613" s="1"/>
        <i x="213" s="1"/>
        <i x="907" s="1"/>
        <i x="432" s="1"/>
        <i x="247" s="1"/>
        <i x="846" s="1"/>
        <i x="758" s="1"/>
        <i x="891" s="1"/>
        <i x="575" s="1"/>
        <i x="461" s="1"/>
        <i x="567" s="1"/>
        <i x="786" s="1"/>
        <i x="294" s="1"/>
        <i x="995" s="1"/>
        <i x="584" s="1"/>
        <i x="943" s="1"/>
        <i x="719" s="1"/>
        <i x="830" s="1"/>
        <i x="936" s="1"/>
        <i x="365" s="1"/>
        <i x="585" s="1"/>
        <i x="857" s="1"/>
        <i x="914" s="1"/>
        <i x="396" s="1"/>
        <i x="769" s="1"/>
        <i x="516" s="1"/>
        <i x="405" s="1"/>
        <i x="893" s="1"/>
        <i x="292" s="1"/>
        <i x="380" s="1"/>
        <i x="932" s="1"/>
        <i x="469" s="1"/>
        <i x="706" s="1"/>
        <i x="780" s="1"/>
        <i x="454" s="1"/>
        <i x="232" s="1"/>
        <i x="125" s="1"/>
        <i x="275" s="1"/>
        <i x="38" s="1"/>
        <i x="159" s="1"/>
        <i x="288" s="1"/>
        <i x="702" s="1"/>
        <i x="813" s="1"/>
        <i x="62" s="1"/>
        <i x="443" s="1"/>
        <i x="483" s="1"/>
        <i x="398" s="1"/>
        <i x="318" s="1"/>
        <i x="934" s="1"/>
        <i x="819" s="1"/>
        <i x="92" s="1"/>
        <i x="667" s="1"/>
        <i x="862" s="1"/>
        <i x="140" s="1"/>
        <i x="15" s="1"/>
        <i x="543" s="1"/>
        <i x="386" s="1"/>
        <i x="327" s="1"/>
        <i x="136" s="1"/>
        <i x="348" s="1"/>
        <i x="265" s="1"/>
        <i x="340" s="1"/>
        <i x="991" s="1"/>
        <i x="400" s="1"/>
        <i x="460" s="1"/>
        <i x="665" s="1"/>
        <i x="781" s="1"/>
        <i x="231" s="1"/>
        <i x="655" s="1"/>
        <i x="921" s="1"/>
        <i x="930" s="1"/>
        <i x="669" s="1"/>
        <i x="744" s="1"/>
        <i x="755" s="1"/>
        <i x="183" s="1"/>
        <i x="944" s="1"/>
        <i x="119" s="1"/>
        <i x="145" s="1"/>
        <i x="279" s="1"/>
        <i x="493" s="1"/>
        <i x="44" s="1"/>
        <i x="960" s="1"/>
        <i x="205" s="1"/>
        <i x="27" s="1"/>
        <i x="953" s="1"/>
        <i x="704" s="1"/>
        <i x="107" s="1"/>
        <i x="435" s="1"/>
        <i x="808" s="1"/>
        <i x="837" s="1"/>
        <i x="981" s="1"/>
        <i x="211" s="1"/>
        <i x="927" s="1"/>
        <i x="855" s="1"/>
        <i x="194" s="1"/>
        <i x="295" s="1"/>
        <i x="268" s="1"/>
        <i x="408" s="1"/>
        <i x="420" s="1"/>
        <i x="517" s="1"/>
        <i x="388" s="1"/>
        <i x="273" s="1"/>
        <i x="961" s="1"/>
        <i x="133" s="1"/>
        <i x="381" s="1"/>
        <i x="463" s="1"/>
        <i x="824" s="1"/>
        <i x="79" s="1"/>
        <i x="909" s="1"/>
        <i x="226" s="1"/>
        <i x="10" s="1"/>
        <i x="748" s="1"/>
        <i x="297" s="1"/>
        <i x="595" s="1"/>
        <i x="260" s="1"/>
        <i x="346" s="1"/>
        <i x="931" s="1"/>
        <i x="272" s="1"/>
        <i x="455" s="1"/>
        <i x="929" s="1"/>
        <i x="616" s="1"/>
        <i x="912" s="1"/>
        <i x="902" s="1"/>
        <i x="42" s="1"/>
        <i x="302" s="1"/>
        <i x="838" s="1"/>
        <i x="110" s="1"/>
        <i x="465" s="1"/>
        <i x="112" s="1"/>
        <i x="956" s="1"/>
        <i x="645" s="1"/>
        <i x="915" s="1"/>
        <i x="151" s="1"/>
        <i x="282" s="1"/>
        <i x="870" s="1"/>
        <i x="928" s="1"/>
        <i x="255" s="1"/>
        <i x="201" s="1"/>
        <i x="261" s="1"/>
        <i x="535" s="1"/>
        <i x="701" s="1"/>
        <i x="67" s="1"/>
        <i x="609" s="1"/>
        <i x="94" s="1"/>
        <i x="459" s="1"/>
        <i x="911" s="1"/>
        <i x="880" s="1"/>
        <i x="87" s="1"/>
        <i x="132" s="1"/>
        <i x="747" s="1"/>
        <i x="872" s="1"/>
        <i x="382" s="1"/>
        <i x="628" s="1"/>
        <i x="169" s="1"/>
        <i x="957" s="1"/>
        <i x="597" s="1"/>
        <i x="723" s="1"/>
        <i x="607" s="1"/>
        <i x="621" s="1"/>
        <i x="503" s="1"/>
        <i x="950" s="1"/>
        <i x="283" s="1"/>
        <i x="845" s="1"/>
        <i x="316" s="1"/>
        <i x="578" s="1"/>
        <i x="8" s="1"/>
        <i x="390" s="1"/>
        <i x="970" s="1"/>
        <i x="329" s="1"/>
        <i x="505" s="1"/>
        <i x="571" s="1"/>
        <i x="908" s="1"/>
        <i x="634" s="1"/>
        <i x="20" s="1"/>
        <i x="93" s="1"/>
        <i x="113" s="1"/>
        <i x="916" s="1"/>
        <i x="549" s="1"/>
        <i x="556" s="1"/>
        <i x="219" s="1"/>
        <i x="555" s="1"/>
        <i x="26" s="1"/>
        <i x="374" s="1"/>
        <i x="754" s="1"/>
        <i x="842" s="1"/>
        <i x="389" s="1"/>
        <i x="43" s="1"/>
        <i x="444" s="1"/>
        <i x="222" s="1"/>
        <i x="951" s="1"/>
        <i x="240" s="1"/>
        <i x="82" s="1"/>
        <i x="428" s="1"/>
        <i x="583" s="1"/>
        <i x="675" s="1"/>
        <i x="103" s="1"/>
        <i x="648" s="1"/>
        <i x="468" s="1"/>
        <i x="220" s="1"/>
        <i x="878" s="1"/>
        <i x="347" s="1"/>
        <i x="180" s="1"/>
        <i x="114" s="1"/>
        <i x="229" s="1"/>
        <i x="45" s="1"/>
        <i x="938" s="1"/>
        <i x="529" s="1"/>
        <i x="980" s="1"/>
        <i x="473" s="1"/>
        <i x="339" s="1"/>
        <i x="506" s="1"/>
        <i x="661" s="1"/>
        <i x="527" s="1"/>
        <i x="457" s="1"/>
        <i x="298" s="1"/>
        <i x="905" s="1"/>
        <i x="534" s="1"/>
        <i x="19" s="1"/>
        <i x="760" s="1"/>
        <i x="552" s="1"/>
        <i x="36" s="1"/>
        <i x="39" s="1"/>
        <i x="693" s="1"/>
        <i x="311" s="1"/>
        <i x="681" s="1"/>
        <i x="601" s="1"/>
        <i x="729" s="1"/>
        <i x="429" s="1"/>
        <i x="310" s="1"/>
        <i x="811" s="1"/>
        <i x="978" s="1"/>
        <i x="714" s="1"/>
        <i x="860" s="1"/>
        <i x="787" s="1"/>
        <i x="753" s="1"/>
        <i x="384" s="1"/>
        <i x="499" s="1"/>
        <i x="223" s="1"/>
        <i x="175" s="1"/>
        <i x="955" s="1"/>
        <i x="322" s="1"/>
        <i x="894" s="1"/>
        <i x="608" s="1"/>
        <i x="198" s="1"/>
        <i x="450" s="1"/>
        <i x="9" s="1"/>
        <i x="917" s="1"/>
        <i x="14" s="1"/>
        <i x="289" s="1"/>
        <i x="788" s="1"/>
        <i x="859" s="1"/>
        <i x="778" s="1"/>
        <i x="121" s="1"/>
        <i x="881" s="1"/>
        <i x="54" s="1"/>
        <i x="657" s="1"/>
        <i x="189" s="1"/>
        <i x="933" s="1"/>
        <i x="305" s="1"/>
        <i x="246" s="1"/>
        <i x="11" s="1"/>
        <i x="18" s="1"/>
        <i x="123" s="1"/>
        <i x="290" s="1"/>
        <i x="679" s="1"/>
        <i x="442" s="1"/>
        <i x="95" s="1"/>
        <i x="768" s="1"/>
        <i x="490" s="1"/>
        <i x="301" s="1"/>
        <i x="71" s="1"/>
        <i x="97" s="1"/>
        <i x="707" s="1"/>
        <i x="137" s="1"/>
        <i x="362" s="1"/>
        <i x="898" s="1"/>
        <i x="523" s="1"/>
        <i x="496" s="1"/>
        <i x="869" s="1"/>
        <i x="832" s="1"/>
        <i x="541" s="1"/>
        <i x="783" s="1"/>
        <i x="582" s="1"/>
        <i x="111" s="1"/>
        <i x="179" s="1"/>
        <i x="192" s="1"/>
        <i x="547" s="1"/>
        <i x="155" s="1"/>
        <i x="617" s="1"/>
        <i x="542" s="1"/>
        <i x="96" s="1"/>
        <i x="494" s="1"/>
        <i x="727" s="1"/>
        <i x="635" s="1"/>
        <i x="594" s="1"/>
        <i x="967" s="1"/>
        <i x="771" s="1"/>
        <i x="963" s="1"/>
        <i x="715" s="1"/>
        <i x="550" s="1"/>
        <i x="590" s="1"/>
        <i x="367" s="1"/>
        <i x="751" s="1"/>
        <i x="330" s="1"/>
        <i x="167" s="1"/>
        <i x="143" s="1"/>
        <i x="654" s="1"/>
        <i x="334" s="1"/>
        <i x="705" s="1"/>
        <i x="591" s="1"/>
        <i x="875" s="1"/>
        <i x="34" s="1"/>
        <i x="514" s="1"/>
        <i x="573" s="1"/>
        <i x="996" s="1"/>
        <i x="467" s="1"/>
        <i x="413" s="1"/>
        <i x="922" s="1"/>
        <i x="306" s="1"/>
        <i x="682" s="1"/>
        <i x="649" s="1"/>
        <i x="989" s="1"/>
        <i x="626" s="1"/>
        <i x="309" s="1"/>
        <i x="172" s="1"/>
        <i x="84" s="1"/>
        <i x="941" s="1"/>
        <i x="193" s="1"/>
        <i x="713" s="1"/>
        <i x="670" s="1"/>
        <i x="350" s="1"/>
        <i x="248" s="1"/>
        <i x="853" s="1"/>
        <i x="646" s="1"/>
        <i x="767" s="1"/>
        <i x="254" s="1"/>
        <i x="412" s="1"/>
        <i x="23" s="1"/>
        <i x="865" s="1"/>
        <i x="387" s="1"/>
        <i x="221" s="1"/>
        <i x="152" s="1"/>
        <i x="77" s="1"/>
        <i x="776" s="1"/>
        <i x="207" s="1"/>
        <i x="593" s="1"/>
        <i x="371" s="1"/>
        <i x="903" s="1"/>
        <i x="926" s="1"/>
        <i x="779" s="1"/>
        <i x="69" s="1"/>
        <i x="851" s="1"/>
        <i x="532" s="1"/>
        <i x="724" s="1"/>
        <i x="576" s="1"/>
        <i x="357" s="1"/>
        <i x="694" s="1"/>
        <i x="498" s="1"/>
        <i x="360" s="1"/>
        <i x="249" s="1"/>
        <i x="885" s="1"/>
        <i x="603" s="1"/>
        <i x="24" s="1"/>
        <i x="677" s="1"/>
        <i x="660" s="1"/>
        <i x="241" s="1"/>
        <i x="515" s="1"/>
        <i x="277" s="1"/>
        <i x="947" s="1"/>
        <i x="662" s="1"/>
        <i x="236" s="1"/>
        <i x="471" s="1"/>
        <i x="433" s="1"/>
        <i x="600" s="1"/>
        <i x="1" s="1"/>
        <i x="580" s="1"/>
        <i x="353" s="1"/>
        <i x="437" s="1"/>
        <i x="395" s="1"/>
        <i x="604" s="1"/>
        <i x="271" s="1"/>
        <i x="574" s="1"/>
        <i x="307" s="1"/>
        <i x="109" s="1"/>
        <i x="6" s="1"/>
        <i x="252" s="1"/>
        <i x="708" s="1"/>
        <i x="153" s="1"/>
        <i x="128" s="1"/>
        <i x="721" s="1"/>
        <i x="165" s="1"/>
        <i x="352" s="1"/>
        <i x="397" s="1"/>
        <i x="139" s="1"/>
        <i x="171" s="1"/>
        <i x="739" s="1"/>
        <i x="344" s="1"/>
        <i x="410" s="1"/>
        <i x="663" s="1"/>
        <i x="852" s="1"/>
        <i x="605" s="1"/>
        <i x="157" s="1"/>
        <i x="431" s="1"/>
        <i x="196" s="1"/>
        <i x="448" s="1"/>
        <i x="102" s="1"/>
        <i x="965" s="1"/>
        <i x="16" s="1"/>
        <i x="495" s="1"/>
        <i x="690" s="1"/>
        <i x="59" s="1"/>
        <i x="668" s="1"/>
        <i x="104" s="1"/>
        <i x="315" s="1"/>
        <i x="509" s="1"/>
        <i x="738" s="1"/>
        <i x="784" s="1"/>
        <i x="154" s="1"/>
        <i x="687" s="1"/>
        <i x="562" s="1"/>
        <i x="964" s="1"/>
        <i x="391" s="1"/>
        <i x="70" s="1"/>
        <i x="403" s="1"/>
        <i x="476" s="1"/>
        <i x="994" s="1"/>
        <i x="281" s="1"/>
        <i x="925" s="1"/>
        <i x="424" s="1"/>
        <i x="866" s="1"/>
        <i x="623" s="1"/>
        <i x="72" s="1"/>
        <i x="56" s="1"/>
        <i x="973" s="1"/>
        <i x="323" s="1"/>
        <i x="436" s="1"/>
        <i x="55" s="1"/>
        <i x="521" s="1"/>
        <i x="785" s="1"/>
        <i x="421" s="1"/>
        <i x="868" s="1"/>
        <i x="942" s="1"/>
        <i x="361" s="1"/>
        <i x="533" s="1"/>
        <i x="658" s="1"/>
        <i x="230" s="1"/>
        <i x="602" s="1"/>
        <i x="480" s="1"/>
        <i x="383" s="1"/>
        <i x="58" s="1"/>
        <i x="659" s="1"/>
        <i x="134" s="1"/>
        <i x="983" s="1"/>
        <i x="835" s="1"/>
        <i x="186" s="1"/>
        <i x="825" s="1"/>
        <i x="91" s="1"/>
        <i x="99" s="1"/>
        <i x="83" s="1"/>
        <i x="796" s="1"/>
        <i x="588" s="1"/>
        <i x="840" s="1"/>
        <i x="333" s="1"/>
        <i x="65" s="1"/>
        <i x="377" s="1"/>
        <i x="328" s="1"/>
        <i x="730" s="1"/>
        <i x="834" s="1"/>
        <i x="25" s="1"/>
        <i x="61" s="1"/>
        <i x="434" s="1"/>
        <i x="651" s="1"/>
        <i x="200" s="1"/>
        <i x="245" s="1"/>
        <i x="197" s="1"/>
        <i x="242" s="1"/>
        <i x="451" s="1"/>
        <i x="57" s="1"/>
        <i x="406" s="1"/>
        <i x="379" s="1"/>
        <i x="773" s="1"/>
        <i x="615" s="1"/>
        <i x="540" s="1"/>
        <i x="874" s="1"/>
        <i x="548" s="1"/>
        <i x="918" s="1"/>
        <i x="710" s="1"/>
        <i x="782" s="1"/>
        <i x="86" s="1"/>
        <i x="695" s="1"/>
        <i x="284" s="1"/>
        <i x="142" s="1"/>
        <i x="686" s="1"/>
        <i x="671" s="1"/>
        <i x="797" s="1"/>
        <i x="286" s="1"/>
        <i x="174" s="1"/>
        <i x="812" s="1"/>
        <i x="539" s="1"/>
        <i x="501" s="1"/>
        <i x="887" s="1"/>
        <i x="890" s="1"/>
        <i x="89" s="1"/>
        <i x="734" s="1"/>
        <i x="848" s="1"/>
        <i x="30" s="1"/>
        <i x="630" s="1"/>
        <i x="737" s="1"/>
        <i x="48" s="1"/>
        <i x="656" s="1"/>
        <i x="409" s="1"/>
        <i x="906" s="1"/>
        <i x="74" s="1"/>
        <i x="168" s="1"/>
        <i x="458" s="1"/>
        <i x="566" s="1"/>
        <i x="173" s="1"/>
        <i x="53" s="1"/>
        <i x="792" s="1"/>
        <i x="826" s="1"/>
        <i x="716" s="1"/>
        <i x="407" s="1"/>
        <i x="13" s="1"/>
        <i x="447" s="1"/>
        <i x="276" s="1"/>
        <i x="51" s="1"/>
        <i x="807" s="1"/>
        <i x="479" s="1"/>
        <i x="287" s="1"/>
        <i x="485" s="1"/>
        <i x="446" s="1"/>
        <i x="335" s="1"/>
        <i x="269" s="1"/>
        <i x="303" s="1"/>
        <i x="923" s="1"/>
        <i x="759" s="1"/>
        <i x="622" s="1"/>
        <i x="146" s="1"/>
        <i x="827" s="1"/>
        <i x="861" s="1"/>
        <i x="589" s="1"/>
        <i x="358" s="1"/>
        <i x="863" s="1"/>
        <i x="879" s="1"/>
        <i x="278" s="1"/>
        <i x="831" s="1"/>
        <i x="958" s="1"/>
        <i x="688" s="1"/>
        <i x="508" s="1"/>
        <i x="423" s="1"/>
        <i x="762" s="1"/>
        <i x="913" s="1"/>
        <i x="108" s="1"/>
        <i x="743" s="1"/>
        <i x="251" s="1"/>
        <i x="341" s="1"/>
        <i x="977" s="1"/>
        <i x="228" s="1"/>
        <i x="676" s="1"/>
        <i x="217" s="1"/>
        <i x="999" s="1"/>
        <i x="78" s="1"/>
        <i x="160" s="1"/>
        <i x="726" s="1"/>
        <i x="664" s="1"/>
        <i x="131" s="1"/>
        <i x="49" s="1"/>
        <i x="253" s="1"/>
        <i x="259" s="1"/>
        <i x="187" s="1"/>
        <i x="440" s="1"/>
        <i x="234" s="1"/>
        <i x="52" s="1"/>
        <i x="867" s="1"/>
        <i x="856" s="1"/>
        <i x="757" s="1"/>
        <i x="161" s="1"/>
        <i x="31" s="1"/>
        <i x="218" s="1"/>
        <i x="191" s="1"/>
        <i x="920" s="1"/>
        <i x="680" s="1"/>
        <i x="214" s="1"/>
        <i x="637" s="1"/>
        <i x="720" s="1"/>
        <i x="438" s="1"/>
        <i x="472" s="1"/>
        <i x="308" s="1"/>
        <i x="520" s="1"/>
        <i x="801" s="1"/>
        <i x="817" s="1"/>
        <i x="722" s="1"/>
        <i x="805" s="1"/>
        <i x="120" s="1"/>
        <i x="537" s="1"/>
        <i x="210" s="1"/>
        <i x="466" s="1"/>
        <i x="606" s="1"/>
        <i x="993" s="1"/>
        <i x="106" s="1"/>
        <i x="262" s="1"/>
        <i x="763" s="1"/>
        <i x="73" s="1"/>
        <i x="235" s="1"/>
        <i x="369" s="1"/>
        <i x="587" s="1"/>
        <i x="314" s="1"/>
        <i x="425" s="1"/>
        <i x="998" s="1"/>
        <i x="208" s="1"/>
        <i x="544" s="1"/>
        <i x="233" s="1"/>
        <i x="47" s="1"/>
        <i x="399" s="1"/>
        <i x="338" s="1"/>
        <i x="313" s="1"/>
        <i x="761" s="1"/>
        <i x="188" s="1"/>
        <i x="148" s="1"/>
        <i x="368" s="1"/>
        <i x="512" s="1"/>
        <i x="445" s="1"/>
        <i x="185" s="1"/>
        <i x="904" s="1"/>
        <i x="98" s="1"/>
        <i x="895" s="1"/>
        <i x="551" s="1"/>
        <i x="883" s="1"/>
        <i x="209" s="1"/>
        <i x="526" s="1"/>
        <i x="553" s="1"/>
        <i x="703" s="1"/>
        <i x="884" s="1"/>
        <i x="519" s="1"/>
        <i x="889" s="1"/>
        <i x="531" s="1"/>
        <i x="304" s="1"/>
        <i x="116" s="1"/>
        <i x="441" s="1"/>
        <i x="979" s="1"/>
        <i x="28" s="1"/>
        <i x="364" s="1"/>
        <i x="184" s="1"/>
        <i x="477" s="1"/>
        <i x="3" s="1"/>
        <i x="952" s="1"/>
        <i x="342" s="1"/>
        <i x="756" s="1"/>
        <i x="40" s="1"/>
        <i x="640" s="1"/>
        <i x="66" s="1"/>
        <i x="22" s="1"/>
        <i x="452" s="1"/>
        <i x="752" s="1"/>
        <i x="814" s="1"/>
        <i x="17" s="1"/>
        <i x="772" s="1"/>
        <i x="764" s="1"/>
        <i x="266" s="1"/>
        <i x="625" s="1"/>
        <i x="892" s="1"/>
        <i x="901" s="1"/>
        <i x="510" s="1"/>
        <i x="126" s="1"/>
        <i x="349" s="1"/>
        <i x="203" s="1"/>
        <i x="264" s="1"/>
        <i x="633" s="1"/>
        <i x="984" s="1"/>
        <i x="844" s="1"/>
        <i x="170" s="1"/>
        <i x="806" s="1"/>
        <i x="962" s="1"/>
        <i x="164" s="1" nd="1"/>
        <i x="678" s="1" nd="1"/>
        <i x="888" s="1" nd="1"/>
        <i x="336" s="1" nd="1"/>
        <i x="199" s="1" nd="1"/>
        <i x="394" s="1" nd="1"/>
        <i x="873" s="1" nd="1"/>
        <i x="839" s="1" nd="1"/>
        <i x="0" s="1" nd="1"/>
        <i x="976" s="1" nd="1"/>
        <i x="418" s="1" nd="1"/>
        <i x="935" s="1" nd="1"/>
        <i x="528" s="1" nd="1"/>
        <i x="815" s="1" nd="1"/>
        <i x="968" s="1" nd="1"/>
        <i x="237" s="1" nd="1"/>
        <i x="522" s="1" nd="1"/>
        <i x="642" s="1" nd="1"/>
        <i x="32" s="1" nd="1"/>
        <i x="500" s="1" nd="1"/>
        <i x="536" s="1" nd="1"/>
        <i x="35" s="1" nd="1"/>
        <i x="150" s="1" nd="1"/>
        <i x="612" s="1" nd="1"/>
        <i x="711" s="1" nd="1"/>
        <i x="789" s="1" nd="1"/>
        <i x="224" s="1" nd="1"/>
        <i x="518" s="1" nd="1"/>
        <i x="627" s="1" nd="1"/>
        <i x="559" s="1" nd="1"/>
        <i x="798" s="1" nd="1"/>
        <i x="725" s="1" nd="1"/>
        <i x="487" s="1" nd="1"/>
        <i x="823" s="1" nd="1"/>
        <i x="700" s="1" nd="1"/>
        <i x="639" s="1" nd="1"/>
        <i x="795" s="1" nd="1"/>
        <i x="504" s="1" nd="1"/>
        <i x="363" s="1" nd="1"/>
        <i x="569" s="1" nd="1"/>
        <i x="732" s="1" nd="1"/>
        <i x="366" s="1" nd="1"/>
        <i x="416" s="1" nd="1"/>
        <i x="462" s="1" nd="1"/>
        <i x="717" s="1" nd="1"/>
        <i x="156" s="1" nd="1"/>
        <i x="992" s="1" nd="1"/>
        <i x="833" s="1" nd="1"/>
        <i x="393" s="1" nd="1"/>
        <i x="392" s="1" nd="1"/>
        <i x="402" s="1" nd="1"/>
        <i x="202" s="1" nd="1"/>
        <i x="482" s="1" nd="1"/>
        <i x="940" s="1" nd="1"/>
        <i x="985" s="1" nd="1"/>
        <i x="50" s="1" nd="1"/>
        <i x="351" s="1" nd="1"/>
        <i x="750" s="1" nd="1"/>
        <i x="5" s="1" nd="1"/>
        <i x="250" s="1" nd="1"/>
        <i x="195" s="1" nd="1"/>
        <i x="404" s="1" nd="1"/>
        <i x="317" s="1" nd="1"/>
        <i x="636" s="1" nd="1"/>
        <i x="497" s="1" nd="1"/>
        <i x="130" s="1" nd="1"/>
        <i x="100" s="1" nd="1"/>
        <i x="299" s="1" nd="1"/>
        <i x="274" s="1" nd="1"/>
        <i x="689" s="1" nd="1"/>
        <i x="746" s="1" nd="1"/>
        <i x="800" s="1" nd="1"/>
        <i x="225" s="1" nd="1"/>
        <i x="775" s="1" nd="1"/>
        <i x="80" s="1" nd="1"/>
        <i x="324" s="1" nd="1"/>
        <i x="948" s="1" nd="1"/>
        <i x="579" s="1" nd="1"/>
        <i x="414" s="1" nd="1"/>
        <i x="117" s="1" nd="1"/>
        <i x="163" s="1" nd="1"/>
        <i x="877" s="1" nd="1"/>
        <i x="293" s="1" nd="1"/>
        <i x="987" s="1" nd="1"/>
        <i x="698" s="1" nd="1"/>
        <i x="21" s="1" nd="1"/>
        <i x="41" s="1" nd="1"/>
        <i x="674" s="1" nd="1"/>
        <i x="736" s="1" nd="1"/>
        <i x="673" s="1" nd="1"/>
        <i x="712" s="1" nd="1"/>
        <i x="766" s="1" nd="1"/>
        <i x="954" s="1" nd="1"/>
        <i x="666" s="1" nd="1"/>
        <i x="945" s="1" nd="1"/>
        <i x="37" s="1" nd="1"/>
        <i x="791" s="1" nd="1"/>
        <i x="181" s="1" nd="1"/>
        <i x="919" s="1" nd="1"/>
        <i x="33" s="1" nd="1"/>
        <i x="886" s="1" nd="1"/>
        <i x="124" s="1" nd="1"/>
        <i x="502" s="1" nd="1"/>
        <i x="652" s="1" nd="1"/>
        <i x="63" s="1" nd="1"/>
        <i x="239" s="1" nd="1"/>
        <i x="524" s="1" nd="1"/>
        <i x="385" s="1" nd="1"/>
        <i x="728" s="1" nd="1"/>
        <i x="439" s="1" nd="1"/>
        <i x="449" s="1" nd="1"/>
        <i x="300" s="1" nd="1"/>
        <i x="263" s="1" nd="1"/>
        <i x="560" s="1" nd="1"/>
        <i x="564" s="1" nd="1"/>
        <i x="285" s="1" nd="1"/>
        <i x="697" s="1" nd="1"/>
        <i x="990" s="1" nd="1"/>
        <i x="810" s="1" nd="1"/>
        <i x="822" s="1" nd="1"/>
        <i x="774" s="1" nd="1"/>
        <i x="312" s="1" nd="1"/>
        <i x="742" s="1" nd="1"/>
        <i x="777" s="1" nd="1"/>
        <i x="644" s="1" nd="1"/>
        <i x="149" s="1" nd="1"/>
        <i x="489" s="1" nd="1"/>
        <i x="847" s="1" nd="1"/>
        <i x="320" s="1" nd="1"/>
        <i x="176" s="1" nd="1"/>
        <i x="620" s="1" nd="1"/>
        <i x="68" s="1" nd="1"/>
        <i x="135" s="1" nd="1"/>
        <i x="683" s="1" nd="1"/>
        <i x="90" s="1" nd="1"/>
        <i x="638" s="1" nd="1"/>
        <i x="470" s="1" nd="1"/>
        <i x="525" s="1" nd="1"/>
        <i x="76" s="1" nd="1"/>
        <i x="426" s="1" nd="1"/>
        <i x="618" s="1" nd="1"/>
        <i x="876" s="1" nd="1"/>
        <i x="858" s="1" nd="1"/>
        <i x="592" s="1" nd="1"/>
        <i x="841" s="1" nd="1"/>
        <i x="790" s="1" nd="1"/>
        <i x="144" s="1" nd="1"/>
        <i x="488" s="1" nd="1"/>
        <i x="899" s="1" nd="1"/>
        <i x="376" s="1" nd="1"/>
        <i x="829" s="1" nd="1"/>
        <i x="939" s="1" nd="1"/>
        <i x="809" s="1" nd="1"/>
        <i x="794" s="1" nd="1"/>
        <i x="745" s="1" nd="1"/>
        <i x="101" s="1" nd="1"/>
        <i x="949" s="1" nd="1"/>
        <i x="507" s="1" nd="1"/>
        <i x="849" s="1" nd="1"/>
        <i x="972" s="1" nd="1"/>
        <i x="546" s="1" nd="1"/>
        <i x="577" s="1" nd="1"/>
        <i x="731" s="1" nd="1"/>
        <i x="946" s="1" nd="1"/>
        <i x="453" s="1" nd="1"/>
        <i x="558" s="1" nd="1"/>
        <i x="60" s="1" nd="1"/>
        <i x="417" s="1" nd="1"/>
        <i x="924" s="1" nd="1"/>
        <i x="331" s="1" nd="1"/>
        <i x="7" s="1" nd="1"/>
        <i x="370" s="1" nd="1"/>
        <i x="359" s="1" nd="1"/>
        <i x="64" s="1" nd="1"/>
        <i x="256" s="1" nd="1"/>
        <i x="843" s="1" nd="1"/>
        <i x="850" s="1" nd="1"/>
        <i x="67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A1BA655-DD1E-438B-9984-7C4276172B34}" sourceName="Profit">
  <pivotTables>
    <pivotTable tabId="20" name="PivotTable15"/>
  </pivotTables>
  <data>
    <tabular pivotCacheId="226640859">
      <items count="1000">
        <i x="883" s="1"/>
        <i x="519" s="1"/>
        <i x="188" s="1"/>
        <i x="551" s="1"/>
        <i x="185" s="1"/>
        <i x="40" s="1"/>
        <i x="423" s="1"/>
        <i x="338" s="1"/>
        <i x="304" s="1"/>
        <i x="184" s="1"/>
        <i x="993" s="1"/>
        <i x="756" s="1"/>
        <i x="269" s="1"/>
        <i x="52" s="1"/>
        <i x="368" s="1"/>
        <i x="656" s="1"/>
        <i x="752" s="1"/>
        <i x="466" s="1"/>
        <i x="447" s="1"/>
        <i x="142" s="1"/>
        <i x="472" s="1"/>
        <i x="814" s="1"/>
        <i x="606" s="1"/>
        <i x="867" s="1"/>
        <i x="441" s="1"/>
        <i x="640" s="1"/>
        <i x="566" s="1"/>
        <i x="726" s="1"/>
        <i x="485" s="1"/>
        <i x="186" s="1"/>
        <i x="187" s="1"/>
        <i x="680" s="1"/>
        <i x="925" s="1"/>
        <i x="637" s="1"/>
        <i x="197" s="1"/>
        <i x="286" s="1"/>
        <i x="251" s="1"/>
        <i x="47" s="1"/>
        <i x="452" s="1"/>
        <i x="510" s="1"/>
        <i x="874" s="1"/>
        <i x="174" s="1"/>
        <i x="303" s="1"/>
        <i x="762" s="1"/>
        <i x="451" s="1"/>
        <i x="28" s="1"/>
        <i x="358" s="1"/>
        <i x="589" s="1"/>
        <i x="65" s="1"/>
        <i x="278" s="1"/>
        <i x="826" s="1"/>
        <i x="895" s="1"/>
        <i x="782" s="1"/>
        <i x="918" s="1"/>
        <i x="817" s="1"/>
        <i x="651" s="1"/>
        <i x="13" s="1"/>
        <i x="884" s="1"/>
        <i x="242" s="1"/>
        <i x="160" s="1"/>
        <i x="196" s="1"/>
        <i x="861" s="1"/>
        <i x="314" s="1"/>
        <i x="217" s="1"/>
        <i x="994" s="1"/>
        <i x="521" s="1"/>
        <i x="200" s="1"/>
        <i x="360" s="1"/>
        <i x="983" s="1"/>
        <i x="533" s="1"/>
        <i x="307" s="1"/>
        <i x="233" s="1"/>
        <i x="308" s="1"/>
        <i x="512" s="1"/>
        <i x="333" s="1"/>
        <i x="520" s="1"/>
        <i x="654" s="1"/>
        <i x="78" s="1"/>
        <i x="139" s="1"/>
        <i x="350" s="1"/>
        <i x="436" s="1"/>
        <i x="890" s="1"/>
        <i x="851" s="1"/>
        <i x="751" s="1"/>
        <i x="977" s="1"/>
        <i x="306" s="1"/>
        <i x="391" s="1"/>
        <i x="434" s="1"/>
        <i x="633" s="1"/>
        <i x="281" s="1"/>
        <i x="128" s="1"/>
        <i x="687" s="1"/>
        <i x="547" s="1"/>
        <i x="334" s="1"/>
        <i x="540" s="1"/>
        <i x="57" s="1"/>
        <i x="246" s="1"/>
        <i x="371" s="1"/>
        <i x="25" s="1"/>
        <i x="17" s="1"/>
        <i x="807" s="1"/>
        <i x="77" s="1"/>
        <i x="344" s="1"/>
        <i x="796" s="1"/>
        <i x="868" s="1"/>
        <i x="523" s="1"/>
        <i x="913" s="1"/>
        <i x="801" s="1"/>
        <i x="906" s="1"/>
        <i x="442" s="1"/>
        <i x="743" s="1"/>
        <i x="734" s="1"/>
        <i x="277" s="1"/>
        <i x="501" s="1"/>
        <i x="271" s="1"/>
        <i x="690" s="1"/>
        <i x="778" s="1"/>
        <i x="18" s="1"/>
        <i x="662" s="1"/>
        <i x="374" s="1"/>
        <i x="311" s="1"/>
        <i x="155" s="1"/>
        <i x="23" s="1"/>
        <i x="210" s="1"/>
        <i x="203" s="1"/>
        <i x="165" s="1"/>
        <i x="114" s="1"/>
        <i x="727" s="1"/>
        <i x="705" s="1"/>
        <i x="916" s="1"/>
        <i x="761" s="1"/>
        <i x="387" s="1"/>
        <i x="83" s="1"/>
        <i x="495" s="1"/>
        <i x="753" s="1"/>
        <i x="167" s="1"/>
        <i x="310" s="1"/>
        <i x="490" s="1"/>
        <i x="352" s="1"/>
        <i x="254" s="1"/>
        <i x="173" s="1"/>
        <i x="710" s="1"/>
        <i x="588" s="1"/>
        <i x="450" s="1"/>
        <i x="715" s="1"/>
        <i x="316" s="1"/>
        <i x="898" s="1"/>
        <i x="784" s="1"/>
        <i x="236" s="1"/>
        <i x="276" s="1"/>
        <i x="996" s="1"/>
        <i x="54" s="1"/>
        <i x="230" s="1"/>
        <i x="14" s="1"/>
        <i x="926" s="1"/>
        <i x="143" s="1"/>
        <i x="218" s="1"/>
        <i x="289" s="1"/>
        <i x="594" s="1"/>
        <i x="967" s="1"/>
        <i x="406" s="1"/>
        <i x="515" s="1"/>
        <i x="34" s="1"/>
        <i x="703" s="1"/>
        <i x="722" s="1"/>
        <i x="172" s="1"/>
        <i x="383" s="1"/>
        <i x="131" s="1"/>
        <i x="757" s="1"/>
        <i x="853" s="1"/>
        <i x="514" s="1"/>
        <i x="152" s="1"/>
        <i x="911" s="1"/>
        <i x="600" s="1"/>
        <i x="661" s="1"/>
        <i x="573" s="1"/>
        <i x="249" s="1"/>
        <i x="66" s="1"/>
        <i x="106" s="1"/>
        <i x="964" s="1"/>
        <i x="170" s="1"/>
        <i x="952" s="1"/>
        <i x="339" s="1"/>
        <i x="865" s="1"/>
        <i x="209" s="1"/>
        <i x="102" s="1"/>
        <i x="961" s="1"/>
        <i x="49" s="1"/>
        <i x="132" s="1"/>
        <i x="220" s="1"/>
        <i x="905" s="1"/>
        <i x="894" s="1"/>
        <i x="973" s="1"/>
        <i x="208" s="1"/>
        <i x="24" s="1"/>
        <i x="869" s="1"/>
        <i x="904" s="1"/>
        <i x="403" s="1"/>
        <i x="693" s="1"/>
        <i x="284" s="1"/>
        <i x="730" s="1"/>
        <i x="526" s="1"/>
        <i x="342" s="1"/>
        <i x="476" s="1"/>
        <i x="908" s="1"/>
        <i x="226" s="1"/>
        <i x="305" s="1"/>
        <i x="496" s="1"/>
        <i x="222" s="1"/>
        <i x="887" s="1"/>
        <i x="776" s="1"/>
        <i x="219" s="1"/>
        <i x="437" s="1"/>
        <i x="264" s="1"/>
        <i x="737" s="1"/>
        <i x="855" s="1"/>
        <i x="707" s="1"/>
        <i x="389" s="1"/>
        <i x="94" s="1"/>
        <i x="878" s="1"/>
        <i x="892" s="1"/>
        <i x="646" s="1"/>
        <i x="302" s="1"/>
        <i x="965" s="1"/>
        <i x="56" s="1"/>
        <i x="477" s="1"/>
        <i x="287" s="1"/>
        <i x="601" s="1"/>
        <i x="499" s="1"/>
        <i x="617" s="1"/>
        <i x="20" s="1"/>
        <i x="323" s="1"/>
        <i x="10" s="1"/>
        <i x="71" s="1"/>
        <i x="104" s="1"/>
        <i x="772" s="1"/>
        <i x="941" s="1"/>
        <i x="45" s="1"/>
        <i x="134" s="1"/>
        <i x="840" s="1"/>
        <i x="953" s="1"/>
        <i x="679" s="1"/>
        <i x="825" s="1"/>
        <i x="537" s="1"/>
        <i x="157" s="1"/>
        <i x="328" s="1"/>
        <i x="720" s="1"/>
        <i x="539" s="1"/>
        <i x="605" s="1"/>
        <i x="623" s="1"/>
        <i x="701" s="1"/>
        <i x="587" s="1"/>
        <i x="831" s="1"/>
        <i x="99" s="1"/>
        <i x="396" s="1"/>
        <i x="999" s="1"/>
        <i x="958" s="1"/>
        <i x="207" s="1"/>
        <i x="630" s="1"/>
        <i x="842" s="1"/>
        <i x="532" s="1"/>
        <i x="922" s="1"/>
        <i x="917" s="1"/>
        <i x="479" s="1"/>
        <i x="542" s="1"/>
        <i x="912" s="1"/>
        <i x="593" s="1"/>
        <i x="535" s="1"/>
        <i x="716" s="1"/>
        <i x="428" s="1"/>
        <i x="93" s="1"/>
        <i x="835" s="1"/>
        <i x="979" s="1"/>
        <i x="808" s="1"/>
        <i x="659" s="1"/>
        <i x="729" s="1"/>
        <i x="353" s="1"/>
        <i x="381" s="1"/>
        <i x="467" s="1"/>
        <i x="658" s="1"/>
        <i x="189" s="1"/>
        <i x="786" s="1"/>
        <i x="123" s="1"/>
        <i x="292" s="1"/>
        <i x="549" s="1"/>
        <i x="348" s="1"/>
        <i x="783" s="1"/>
        <i x="609" s="1"/>
        <i x="388" s="1"/>
        <i x="6" s="1"/>
        <i x="498" s="1"/>
        <i x="543" s="1"/>
        <i x="550" s="1"/>
        <i x="145" s="1"/>
        <i x="995" s="1"/>
        <i x="834" s="1"/>
        <i x="805" s="1"/>
        <i x="399" s="1"/>
        <i x="39" s="1"/>
        <i x="240" s="1"/>
        <i x="681" s="1"/>
        <i x="454" s="1"/>
        <i x="113" s="1"/>
        <i x="812" s="1"/>
        <i x="909" s="1"/>
        <i x="615" s="1"/>
        <i x="444" s="1"/>
        <i x="61" s="1"/>
        <i x="266" s="1"/>
        <i x="294" s="1"/>
        <i x="506" s="1"/>
        <i x="91" s="1"/>
        <i x="856" s="1"/>
        <i x="206" s="1"/>
        <i x="739" s="1"/>
        <i x="116" s="1"/>
        <i x="819" s="1"/>
        <i x="330" s="1"/>
        <i x="989" s="1"/>
        <i x="126" s="1"/>
        <i x="930" s="1"/>
        <i x="465" s="1"/>
        <i x="79" s="1"/>
        <i x="645" s="1"/>
        <i x="384" s="1"/>
        <i x="694" s="1"/>
        <i x="332" s="1"/>
        <i x="121" s="1"/>
        <i x="111" s="1"/>
        <i x="900" s="1"/>
        <i x="194" s="1"/>
        <i x="301" s="1"/>
        <i x="907" s="1"/>
        <i x="846" s="1"/>
        <i x="763" s="1"/>
        <i x="881" s="1"/>
        <i x="346" s="1"/>
        <i x="265" s="1"/>
        <i x="84" s="1"/>
        <i x="48" s="1"/>
        <i x="410" s="1"/>
        <i x="365" s="1"/>
        <i x="695" s="1"/>
        <i x="584" s="1"/>
        <i x="341" s="1"/>
        <i x="378" s="1"/>
        <i x="88" s="1"/>
        <i x="747" s="1"/>
        <i x="282" s="1"/>
        <i x="298" s="1"/>
        <i x="141" s="1"/>
        <i x="910" s="1"/>
        <i x="613" s="1"/>
        <i x="412" s="1"/>
        <i x="297" s="1"/>
        <i x="463" s="1"/>
        <i x="386" s="1"/>
        <i x="649" s="1"/>
        <i x="11" s="1"/>
        <i x="221" s="1"/>
        <i x="457" s="1"/>
        <i x="69" s="1"/>
        <i x="622" s="1"/>
        <i x="252" s="1"/>
        <i x="97" s="1"/>
        <i x="862" s="1"/>
        <i x="430" s="1"/>
        <i x="929" s="1"/>
        <i x="859" s="1"/>
        <i x="604" s="1"/>
        <i x="709" s="1"/>
        <i x="578" s="1"/>
        <i x="82" s="1"/>
        <i x="395" s="1"/>
        <i x="112" s="1"/>
        <i x="255" s="1"/>
        <i x="754" s="1"/>
        <i x="740" s="1"/>
        <i x="288" s="1"/>
        <i x="950" s="1"/>
        <i x="471" s="1"/>
        <i x="81" s="1"/>
        <i x="626" s="1"/>
        <i x="505" s="1"/>
        <i x="830" s="1"/>
        <i x="516" s="1"/>
        <i x="787" s="1"/>
        <i x="280" s="1"/>
        <i x="382" s="1"/>
        <i x="92" s="1"/>
        <i x="58" s="1"/>
        <i x="744" s="1"/>
        <i x="232" s="1"/>
        <i x="273" s="1"/>
        <i x="257" s="1"/>
        <i x="227" s="1"/>
        <i x="748" s="1"/>
        <i x="647" s="1"/>
        <i x="872" s="1"/>
        <i x="503" s="1"/>
        <i x="978" s="1"/>
        <i x="291" s="1"/>
        <i x="42" s="1"/>
        <i x="567" s="1"/>
        <i x="201" s="1"/>
        <i x="804" s="1"/>
        <i x="848" s="1"/>
        <i x="119" s="1"/>
        <i x="138" s="1"/>
        <i x="635" s="1"/>
        <i x="120" s="1"/>
        <i x="837" s="1"/>
        <i x="1" s="1"/>
        <i x="158" s="1"/>
        <i x="461" s="1"/>
        <i x="133" s="1"/>
        <i x="275" s="1"/>
        <i x="902" s="1"/>
        <i x="166" s="1"/>
        <i x="148" s="1"/>
        <i x="481" s="1"/>
        <i x="828" s="1"/>
        <i x="575" s="1"/>
        <i x="534" s="1"/>
        <i x="169" s="1"/>
        <i x="247" s="1"/>
        <i x="228" s="1"/>
        <i x="691" s="1"/>
        <i x="326" s="1"/>
        <i x="140" s="1"/>
        <i x="183" s="1"/>
        <i x="272" s="1"/>
        <i x="215" s="1"/>
        <i x="820" s="1"/>
        <i x="72" s="1"/>
        <i x="611" s="1"/>
        <i x="59" s="1"/>
        <i x="279" s="1"/>
        <i x="836" s="1"/>
        <i x="216" s="1"/>
        <i x="760" s="1"/>
        <i x="241" s="1"/>
        <i x="793" s="1"/>
        <i x="75" s="1"/>
        <i x="464" s="1"/>
        <i x="415" s="1"/>
        <i x="229" s="1"/>
        <i x="432" s="1"/>
        <i x="484" s="1"/>
        <i x="960" s="1"/>
        <i x="29" s="1"/>
        <i x="955" s="1"/>
        <i x="153" s="1"/>
        <i x="598" s="1"/>
        <i x="844" s="1"/>
        <i x="586" s="1"/>
        <i x="46" s="1"/>
        <i x="212" s="1"/>
        <i x="816" s="1"/>
        <i x="893" s="1"/>
        <i x="105" s="1"/>
        <i x="966" s="1"/>
        <i x="901" s="1"/>
        <i x="85" s="1"/>
        <i x="486" s="1"/>
        <i x="624" s="1"/>
        <i x="818" s="1"/>
        <i x="585" s="1"/>
        <i x="629" s="1"/>
        <i x="43" s="1"/>
        <i x="741" s="1"/>
        <i x="390" s="1"/>
        <i x="702" s="1"/>
        <i x="628" s="1"/>
        <i x="377" s="1"/>
        <i x="356" s="1"/>
        <i x="354" s="1"/>
        <i x="538" s="1"/>
        <i x="643" s="1"/>
        <i x="971" s="1"/>
        <i x="319" s="1"/>
        <i x="419" s="1"/>
        <i x="443" s="1"/>
        <i x="26" s="1"/>
        <i x="854" s="1"/>
        <i x="610" s="1"/>
        <i x="345" s="1"/>
        <i x="162" s="1"/>
        <i x="969" s="1"/>
        <i x="696" s="1"/>
        <i x="975" s="1"/>
        <i x="4" s="1"/>
        <i x="411" s="1"/>
        <i x="321" s="1"/>
        <i x="974" s="1"/>
        <i x="517" s="1"/>
        <i x="713" s="1"/>
        <i x="530" s="1"/>
        <i x="337" s="1"/>
        <i x="650" s="1"/>
        <i x="260" s="1"/>
        <i x="596" s="1"/>
        <i x="914" s="1"/>
        <i x="632" s="1"/>
        <i x="931" s="1"/>
        <i x="190" s="1"/>
        <i x="129" s="1"/>
        <i x="735" s="1"/>
        <i x="243" s="1"/>
        <i x="799" s="1"/>
        <i x="238" s="1"/>
        <i x="424" s="1"/>
        <i x="699" s="1"/>
        <i x="692" s="1"/>
        <i x="657" s="1"/>
        <i x="765" s="1"/>
        <i x="107" s="1"/>
        <i x="244" s="1"/>
        <i x="180" s="1"/>
        <i x="811" s="1"/>
        <i x="343" s="1"/>
        <i x="168" s="1"/>
        <i x="413" s="1"/>
        <i x="182" s="1"/>
        <i x="896" s="1"/>
        <i x="557" s="1"/>
        <i x="641" s="1"/>
        <i x="771" s="1"/>
        <i x="599" s="1"/>
        <i x="864" s="1"/>
        <i x="991" s="1"/>
        <i x="398" s="1"/>
        <i x="682" s="1"/>
        <i x="70" s="1"/>
        <i x="429" s="1"/>
        <i x="12" s="1"/>
        <i x="283" s="1"/>
        <i x="373" s="1"/>
        <i x="824" s="1"/>
        <i x="369" s="1"/>
        <i x="440" s="1"/>
        <i x="685" s="1"/>
        <i x="597" s="1"/>
        <i x="871" s="1"/>
        <i x="891" s="1"/>
        <i x="802" s="1"/>
        <i x="127" s="1"/>
        <i x="937" s="1"/>
        <i x="932" s="1"/>
        <i x="401" s="1"/>
        <i x="446" s="1"/>
        <i x="67" s="1"/>
        <i x="719" s="1"/>
        <i x="422" s="1"/>
        <i x="19" s="1"/>
        <i x="372" s="1"/>
        <i x="570" s="1"/>
        <i x="433" s="1"/>
        <i x="561" s="1"/>
        <i x="982" s="1"/>
        <i x="998" s="1"/>
        <i x="213" s="1"/>
        <i x="755" s="1"/>
        <i x="684" s="1"/>
        <i x="981" s="1"/>
        <i x="997" s="1"/>
        <i x="903" s="1"/>
        <i x="563" s="1"/>
        <i x="475" s="1"/>
        <i x="2" s="1"/>
        <i x="863" s="1"/>
        <i x="770" s="1"/>
        <i x="62" s="1"/>
        <i x="767" s="1"/>
        <i x="483" s="1"/>
        <i x="295" s="1"/>
        <i x="792" s="1"/>
        <i x="115" s="1"/>
        <i x="614" s="1"/>
        <i x="405" s="1"/>
        <i x="427" s="1"/>
        <i x="420" s="1"/>
        <i x="468" s="1"/>
        <i x="938" s="1"/>
        <i x="785" s="1"/>
        <i x="970" s="1"/>
        <i x="204" s="1"/>
        <i x="408" s="1"/>
        <i x="882" s="1"/>
        <i x="724" s="1"/>
        <i x="943" s="1"/>
        <i x="758" s="1"/>
        <i x="866" s="1"/>
        <i x="581" s="1"/>
        <i x="665" s="1"/>
        <i x="723" s="1"/>
        <i x="309" s="1"/>
        <i x="435" s="1"/>
        <i x="553" s="1"/>
        <i x="98" s="1"/>
        <i x="400" s="1"/>
        <i x="602" s="1"/>
        <i x="621" s="1"/>
        <i x="749" s="1"/>
        <i x="565" s="1"/>
        <i x="845" s="1"/>
        <i x="669" s="1"/>
        <i x="460" s="1"/>
        <i x="491" s="1"/>
        <i x="959" s="1"/>
        <i x="125" s="1"/>
        <i x="980" s="1"/>
        <i x="425" s="1"/>
        <i x="248" s="1"/>
        <i x="3" s="1"/>
        <i x="9" s="1"/>
        <i x="258" s="1"/>
        <i x="655" s="1"/>
        <i x="492" s="1"/>
        <i x="267" s="1"/>
        <i x="27" s="1"/>
        <i x="223" s="1"/>
        <i x="375" s="1"/>
        <i x="788" s="1"/>
        <i x="860" s="1"/>
        <i x="554" s="1"/>
        <i x="688" s="1"/>
        <i x="205" s="1"/>
        <i x="988" s="1"/>
        <i x="367" s="1"/>
        <i x="380" s="1"/>
        <i x="347" s="1"/>
        <i x="431" s="1"/>
        <i x="154" s="1"/>
        <i x="668" s="1"/>
        <i x="73" s="1"/>
        <i x="74" s="1"/>
        <i x="290" s="1"/>
        <i x="379" s="1"/>
        <i x="175" s="1"/>
        <i x="469" s="1"/>
        <i x="572" s="1"/>
        <i x="456" s="1"/>
        <i x="355" s="1"/>
        <i x="445" s="1"/>
        <i x="509" s="1"/>
        <i x="235" s="1"/>
        <i x="191" s="1"/>
        <i x="608" s="1"/>
        <i x="192" s="1"/>
        <i x="261" s="1"/>
        <i x="541" s="1"/>
        <i x="147" s="1"/>
        <i x="527" s="1"/>
        <i x="595" s="1"/>
        <i x="511" s="1"/>
        <i x="508" s="1"/>
        <i x="318" s="1"/>
        <i x="813" s="1"/>
        <i x="545" s="1"/>
        <i x="53" s="1"/>
        <i x="262" s="1"/>
        <i x="270" s="1"/>
        <i x="193" s="1"/>
        <i x="571" s="1"/>
        <i x="96" s="1"/>
        <i x="733" s="1"/>
        <i x="625" s="1"/>
        <i x="531" s="1"/>
        <i x="327" s="1"/>
        <i x="714" s="1"/>
        <i x="631" s="1"/>
        <i x="16" s="1"/>
        <i x="198" s="1"/>
        <i x="513" s="1"/>
        <i x="704" s="1"/>
        <i x="885" s="1"/>
        <i x="159" s="1"/>
        <i x="897" s="1"/>
        <i x="838" s="1"/>
        <i x="607" s="1"/>
        <i x="686" s="1"/>
        <i x="879" s="1"/>
        <i x="480" s="1"/>
        <i x="179" s="1"/>
        <i x="677" s="1"/>
        <i x="136" s="1"/>
        <i x="211" s="1"/>
        <i x="552" s="1"/>
        <i x="325" s="1"/>
        <i x="234" s="1"/>
        <i x="409" s="1"/>
        <i x="438" s="1"/>
        <i x="459" s="1"/>
        <i x="474" s="1"/>
        <i x="361" s="1"/>
        <i x="928" s="1"/>
        <i x="89" s="1"/>
        <i x="544" s="1"/>
        <i x="562" s="1"/>
        <i x="803" s="1"/>
        <i x="603" s="1"/>
        <i x="38" s="1"/>
        <i x="963" s="1"/>
        <i x="870" s="1"/>
        <i x="296" s="1"/>
        <i x="329" s="1"/>
        <i x="670" s="1"/>
        <i x="494" s="1"/>
        <i x="933" s="1"/>
        <i x="706" s="1"/>
        <i x="768" s="1"/>
        <i x="951" s="1"/>
        <i x="780" s="1"/>
        <i x="44" s="1"/>
        <i x="583" s="1"/>
        <i x="675" s="1"/>
        <i x="455" s="1"/>
        <i x="634" s="1"/>
        <i x="857" s="1"/>
        <i x="122" s="1"/>
        <i x="245" s="1"/>
        <i x="832" s="1"/>
        <i x="942" s="1"/>
        <i x="137" s="1"/>
        <i x="591" s="1"/>
        <i x="676" s="1"/>
        <i x="806" s="1"/>
        <i x="178" s="1"/>
        <i x="214" s="1"/>
        <i x="568" s="1"/>
        <i x="619" s="1"/>
        <i x="821" s="1"/>
        <i x="259" s="1"/>
        <i x="335" s="1"/>
        <i x="721" s="1"/>
        <i x="421" s="1"/>
        <i x="923" s="1"/>
        <i x="936" s="1"/>
        <i x="364" s="1"/>
        <i x="921" s="1"/>
        <i x="956" s="1"/>
        <i x="55" s="1"/>
        <i x="177" s="1"/>
        <i x="889" s="1"/>
        <i x="852" s="1"/>
        <i x="718" s="1"/>
        <i x="109" s="1"/>
        <i x="253" s="1"/>
        <i x="548" s="1"/>
        <i x="118" s="1"/>
        <i x="875" s="1"/>
        <i x="30" s="1"/>
        <i x="653" s="1"/>
        <i x="108" s="1"/>
        <i x="773" s="1"/>
        <i x="574" s="1"/>
        <i x="779" s="1"/>
        <i x="478" s="1"/>
        <i x="590" s="1"/>
        <i x="556" s="1"/>
        <i x="984" s="1"/>
        <i x="797" s="1"/>
        <i x="708" s="1"/>
        <i x="781" s="1"/>
        <i x="957" s="1"/>
        <i x="362" s="1"/>
        <i x="448" s="1"/>
        <i x="582" s="1"/>
        <i x="51" s="1"/>
        <i x="315" s="1"/>
        <i x="407" s="1"/>
        <i x="759" s="1"/>
        <i x="36" s="1"/>
        <i x="915" s="1"/>
        <i x="927" s="1"/>
        <i x="8" s="1"/>
        <i x="934" s="1"/>
        <i x="458" s="1"/>
        <i x="576" s="1"/>
        <i x="660" s="1"/>
        <i x="473" s="1"/>
        <i x="671" s="1"/>
        <i x="171" s="1"/>
        <i x="231" s="1"/>
        <i x="322" s="1"/>
        <i x="22" s="1"/>
        <i x="769" s="1"/>
        <i x="986" s="1"/>
        <i x="151" s="1"/>
        <i x="103" s="1"/>
        <i x="648" s="1"/>
        <i x="827" s="1"/>
        <i x="161" s="1"/>
        <i x="95" s="1"/>
        <i x="357" s="1"/>
        <i x="146" s="1"/>
        <i x="663" s="1"/>
        <i x="110" s="1"/>
        <i x="31" s="1"/>
        <i x="947" s="1"/>
        <i x="349" s="1"/>
        <i x="580" s="1"/>
        <i x="738" s="1"/>
        <i x="268" s="1"/>
        <i x="616" s="1"/>
        <i x="313" s="1"/>
        <i x="920" s="1"/>
        <i x="15" s="1"/>
        <i x="340" s="1"/>
        <i x="87" s="1"/>
        <i x="667" s="1"/>
        <i x="764" s="1"/>
        <i x="397" s="1"/>
        <i x="493" s="1"/>
        <i x="86" s="1"/>
        <i x="880" s="1"/>
        <i x="944" s="1"/>
        <i x="555" s="1"/>
        <i x="664" s="1"/>
        <i x="529" s="1"/>
        <i x="962" s="1"/>
        <i x="331" s="1" nd="1"/>
        <i x="949" s="1" nd="1"/>
        <i x="731" s="1" nd="1"/>
        <i x="843" s="1" nd="1"/>
        <i x="972" s="1" nd="1"/>
        <i x="417" s="1" nd="1"/>
        <i x="620" s="1" nd="1"/>
        <i x="60" s="1" nd="1"/>
        <i x="507" s="1" nd="1"/>
        <i x="144" s="1" nd="1"/>
        <i x="359" s="1" nd="1"/>
        <i x="849" s="1" nd="1"/>
        <i x="592" s="1" nd="1"/>
        <i x="426" s="1" nd="1"/>
        <i x="794" s="1" nd="1"/>
        <i x="453" s="1" nd="1"/>
        <i x="990" s="1" nd="1"/>
        <i x="470" s="1" nd="1"/>
        <i x="68" s="1" nd="1"/>
        <i x="777" s="1" nd="1"/>
        <i x="239" s="1" nd="1"/>
        <i x="37" s="1" nd="1"/>
        <i x="577" s="1" nd="1"/>
        <i x="135" s="1" nd="1"/>
        <i x="810" s="1" nd="1"/>
        <i x="33" s="1" nd="1"/>
        <i x="558" s="1" nd="1"/>
        <i x="63" s="1" nd="1"/>
        <i x="644" s="1" nd="1"/>
        <i x="683" s="1" nd="1"/>
        <i x="924" s="1" nd="1"/>
        <i x="736" s="1" nd="1"/>
        <i x="652" s="1" nd="1"/>
        <i x="673" s="1" nd="1"/>
        <i x="101" s="1" nd="1"/>
        <i x="987" s="1" nd="1"/>
        <i x="488" s="1" nd="1"/>
        <i x="370" s="1" nd="1"/>
        <i x="697" s="1" nd="1"/>
        <i x="524" s="1" nd="1"/>
        <i x="300" s="1" nd="1"/>
        <i x="149" s="1" nd="1"/>
        <i x="312" s="1" nd="1"/>
        <i x="829" s="1" nd="1"/>
        <i x="439" s="1" nd="1"/>
        <i x="7" s="1" nd="1"/>
        <i x="579" s="1" nd="1"/>
        <i x="858" s="1" nd="1"/>
        <i x="775" s="1" nd="1"/>
        <i x="666" s="1" nd="1"/>
        <i x="176" s="1" nd="1"/>
        <i x="689" s="1" nd="1"/>
        <i x="636" s="1" nd="1"/>
        <i x="712" s="1" nd="1"/>
        <i x="293" s="1" nd="1"/>
        <i x="945" s="1" nd="1"/>
        <i x="163" s="1" nd="1"/>
        <i x="919" s="1" nd="1"/>
        <i x="504" s="1" nd="1"/>
        <i x="462" s="1" nd="1"/>
        <i x="698" s="1" nd="1"/>
        <i x="156" s="1" nd="1"/>
        <i x="256" s="1" nd="1"/>
        <i x="392" s="1" nd="1"/>
        <i x="366" s="1" nd="1"/>
        <i x="41" s="1" nd="1"/>
        <i x="124" s="1" nd="1"/>
        <i x="502" s="1" nd="1"/>
        <i x="402" s="1" nd="1"/>
        <i x="732" s="1" nd="1"/>
        <i x="363" s="1" nd="1"/>
        <i x="569" s="1" nd="1"/>
        <i x="774" s="1" nd="1"/>
        <i x="809" s="1" nd="1"/>
        <i x="750" s="1" nd="1"/>
        <i x="80" s="1" nd="1"/>
        <i x="717" s="1" nd="1"/>
        <i x="317" s="1" nd="1"/>
        <i x="21" s="1" nd="1"/>
        <i x="850" s="1" nd="1"/>
        <i x="351" s="1" nd="1"/>
        <i x="487" s="1" nd="1"/>
        <i x="795" s="1" nd="1"/>
        <i x="224" s="1" nd="1"/>
        <i x="766" s="1" nd="1"/>
        <i x="263" s="1" nd="1"/>
        <i x="746" s="1" nd="1"/>
        <i x="130" s="1" nd="1"/>
        <i x="847" s="1" nd="1"/>
        <i x="612" s="1" nd="1"/>
        <i x="711" s="1" nd="1"/>
        <i x="500" s="1" nd="1"/>
        <i x="791" s="1" nd="1"/>
        <i x="522" s="1" nd="1"/>
        <i x="536" s="1" nd="1"/>
        <i x="250" s="1" nd="1"/>
        <i x="5" s="1" nd="1"/>
        <i x="789" s="1" nd="1"/>
        <i x="800" s="1" nd="1"/>
        <i x="202" s="1" nd="1"/>
        <i x="877" s="1" nd="1"/>
        <i x="833" s="1" nd="1"/>
        <i x="385" s="1" nd="1"/>
        <i x="394" s="1" nd="1"/>
        <i x="482" s="1" nd="1"/>
        <i x="518" s="1" nd="1"/>
        <i x="35" s="1" nd="1"/>
        <i x="237" s="1" nd="1"/>
        <i x="839" s="1" nd="1"/>
        <i x="320" s="1" nd="1"/>
        <i x="225" s="1" nd="1"/>
        <i x="790" s="1" nd="1"/>
        <i x="164" s="1" nd="1"/>
        <i x="678" s="1" nd="1"/>
        <i x="199" s="1" nd="1"/>
        <i x="639" s="1" nd="1"/>
        <i x="815" s="1" nd="1"/>
        <i x="888" s="1" nd="1"/>
        <i x="497" s="1" nd="1"/>
        <i x="954" s="1" nd="1"/>
        <i x="899" s="1" nd="1"/>
        <i x="798" s="1" nd="1"/>
        <i x="528" s="1" nd="1"/>
        <i x="525" s="1" nd="1"/>
        <i x="642" s="1" nd="1"/>
        <i x="336" s="1" nd="1"/>
        <i x="935" s="1" nd="1"/>
        <i x="618" s="1" nd="1"/>
        <i x="976" s="1" nd="1"/>
        <i x="823" s="1" nd="1"/>
        <i x="418" s="1" nd="1"/>
        <i x="50" s="1" nd="1"/>
        <i x="299" s="1" nd="1"/>
        <i x="376" s="1" nd="1"/>
        <i x="0" s="1" nd="1"/>
        <i x="76" s="1" nd="1"/>
        <i x="873" s="1" nd="1"/>
        <i x="32" s="1" nd="1"/>
        <i x="449" s="1" nd="1"/>
        <i x="489" s="1" nd="1"/>
        <i x="745" s="1" nd="1"/>
        <i x="985" s="1" nd="1"/>
        <i x="416" s="1" nd="1"/>
        <i x="742" s="1" nd="1"/>
        <i x="939" s="1" nd="1"/>
        <i x="90" s="1" nd="1"/>
        <i x="564" s="1" nd="1"/>
        <i x="968" s="1" nd="1"/>
        <i x="940" s="1" nd="1"/>
        <i x="948" s="1" nd="1"/>
        <i x="414" s="1" nd="1"/>
        <i x="181" s="1" nd="1"/>
        <i x="404" s="1" nd="1"/>
        <i x="725" s="1" nd="1"/>
        <i x="324" s="1" nd="1"/>
        <i x="559" s="1" nd="1"/>
        <i x="150" s="1" nd="1"/>
        <i x="822" s="1" nd="1"/>
        <i x="100" s="1" nd="1"/>
        <i x="274" s="1" nd="1"/>
        <i x="285" s="1" nd="1"/>
        <i x="64" s="1" nd="1"/>
        <i x="876" s="1" nd="1"/>
        <i x="674" s="1" nd="1"/>
        <i x="992" s="1" nd="1"/>
        <i x="195" s="1" nd="1"/>
        <i x="886" s="1" nd="1"/>
        <i x="672" s="1" nd="1"/>
        <i x="627" s="1" nd="1"/>
        <i x="841" s="1" nd="1"/>
        <i x="700" s="1" nd="1"/>
        <i x="728" s="1" nd="1"/>
        <i x="117" s="1" nd="1"/>
        <i x="946" s="1" nd="1"/>
        <i x="638" s="1" nd="1"/>
        <i x="546" s="1" nd="1"/>
        <i x="393" s="1" nd="1"/>
        <i x="56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Status" xr10:uid="{CDFA4819-AD98-4DAE-8165-A910592FFD50}" sourceName="Profit_Status">
  <pivotTables>
    <pivotTable tabId="20" name="PivotTable15"/>
  </pivotTables>
  <data>
    <tabular pivotCacheId="22664085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588E578-9CEC-490D-AB73-7CC6CF296E04}" sourceName="Years">
  <pivotTables>
    <pivotTable tabId="20" name="PivotTable15"/>
  </pivotTables>
  <data>
    <tabular pivotCacheId="226640859">
      <items count="4">
        <i x="1" s="1"/>
        <i x="0" nd="1"/>
        <i x="3" nd="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D43F01B-6F8D-4CE4-8BBE-D5AC77276A75}" sourceName="Sales_Rep">
  <pivotTables>
    <pivotTable tabId="20" name="PivotTable15"/>
    <pivotTable tabId="8" name="PivotTable4"/>
    <pivotTable tabId="12" name="PivotTable7"/>
    <pivotTable tabId="18" name="PivotTable13"/>
    <pivotTable tabId="16" name="PivotTable11"/>
    <pivotTable tabId="19" name="PivotTable14"/>
    <pivotTable tabId="6" name="PivotTable3"/>
    <pivotTable tabId="17" name="PivotTable12"/>
    <pivotTable tabId="4" name="PivotTable1"/>
    <pivotTable tabId="9" name="PivotTable6"/>
    <pivotTable tabId="5" name="PivotTable2"/>
  </pivotTables>
  <data>
    <tabular pivotCacheId="226640859">
      <items count="5">
        <i x="4" s="1"/>
        <i x="0"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7724C62-17F3-4A99-B5CD-5CE312630A9E}" sourceName="Product_Category">
  <pivotTables>
    <pivotTable tabId="20" name="PivotTable15"/>
  </pivotTables>
  <data>
    <tabular pivotCacheId="226640859">
      <items count="4">
        <i x="2" s="1"/>
        <i x="3"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8E48F57-1FA1-449F-9469-385E6542AABD}" sourceName="Customer_Type">
  <pivotTables>
    <pivotTable tabId="20" name="PivotTable15"/>
  </pivotTables>
  <data>
    <tabular pivotCacheId="226640859">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A22A6F6-76C2-4C02-ACC4-9DE2D6A5BD6A}" sourceName="Payment_Method">
  <pivotTables>
    <pivotTable tabId="20" name="PivotTable15"/>
  </pivotTables>
  <data>
    <tabular pivotCacheId="22664085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amount" xr10:uid="{2B6AE39E-3CAE-4921-912E-107FECD0A850}" cache="Slicer_Sales_amount" caption="Sales_amount" rowHeight="234950"/>
  <slicer name="Profit" xr10:uid="{EFF8A862-60A1-4A16-B85E-AF747405027C}" cache="Slicer_Profit" caption="Profit" rowHeight="234950"/>
  <slicer name="Profit_Status" xr10:uid="{61589370-37BF-405A-8C92-DA411843422D}" cache="Slicer_Profit_Status" caption="Profit_Status" rowHeight="234950"/>
  <slicer name="Years" xr10:uid="{B2185D02-551E-4A16-991E-30EF9624BC10}" cache="Slicer_Years"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EC00EF-313C-428D-933F-DB383CF5A906}" cache="Slicer_Region" caption="Region" rowHeight="234950"/>
  <slicer name="Sales_Rep" xr10:uid="{19B3064C-2CFD-4F49-85A3-419B0D62D5BE}" cache="Slicer_Sales_Rep" caption="Sales_Rep" rowHeight="234950"/>
  <slicer name="Product_Category" xr10:uid="{A00BAED1-6D89-4A80-889D-0CEC4DD052C0}" cache="Slicer_Product_Category" caption="Product_Category" rowHeight="234950"/>
  <slicer name="Customer_Type" xr10:uid="{4D0DD49D-1F7A-4BAE-8F6B-86B52156BA4F}" cache="Slicer_Customer_Type" caption="Customer_Type" rowHeight="234950"/>
  <slicer name="Payment_Method" xr10:uid="{A53D246D-8638-4F55-899F-D626A5E41BEA}" cache="Slicer_Payment_Method" caption="Payment_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Y1001" totalsRowShown="0">
  <autoFilter ref="A1:Y1001" xr:uid="{00000000-0009-0000-0100-000001000000}"/>
  <tableColumns count="25">
    <tableColumn id="1" xr3:uid="{00000000-0010-0000-0000-000001000000}" name="Product_ID"/>
    <tableColumn id="2" xr3:uid="{00000000-0010-0000-0000-000002000000}" name="Sale_Date" dataDxfId="16"/>
    <tableColumn id="3" xr3:uid="{00000000-0010-0000-0000-000003000000}" name="Sales_Rep"/>
    <tableColumn id="4" xr3:uid="{00000000-0010-0000-0000-000004000000}" name="Region"/>
    <tableColumn id="6" xr3:uid="{00000000-0010-0000-0000-000006000000}" name="Quantity_Sold"/>
    <tableColumn id="7" xr3:uid="{00000000-0010-0000-0000-000007000000}" name="Product_Category"/>
    <tableColumn id="8" xr3:uid="{00000000-0010-0000-0000-000008000000}" name="Unit_Cost"/>
    <tableColumn id="9" xr3:uid="{00000000-0010-0000-0000-000009000000}" name="Unit_Price"/>
    <tableColumn id="10" xr3:uid="{00000000-0010-0000-0000-00000A000000}" name="Customer_Type"/>
    <tableColumn id="11" xr3:uid="{00000000-0010-0000-0000-00000B000000}" name="Discount" dataDxfId="15"/>
    <tableColumn id="12" xr3:uid="{00000000-0010-0000-0000-00000C000000}" name="Payment_Method"/>
    <tableColumn id="13" xr3:uid="{00000000-0010-0000-0000-00000D000000}" name="Sales_Channel"/>
    <tableColumn id="14" xr3:uid="{00000000-0010-0000-0000-00000E000000}" name="Region_and_Sales_Rep"/>
    <tableColumn id="15" xr3:uid="{00000000-0010-0000-0000-00000F000000}" name="Total_Cost" dataDxfId="14">
      <calculatedColumnFormula>SalesData[[#This Row],[Quantity_Sold]]*SalesData[[#This Row],[Unit_Cost]]</calculatedColumnFormula>
    </tableColumn>
    <tableColumn id="19" xr3:uid="{00000000-0010-0000-0000-000013000000}" name="Gross_sales" dataDxfId="13">
      <calculatedColumnFormula>SalesData[[#This Row],[Quantity_Sold]]*SalesData[[#This Row],[Unit_Price]]</calculatedColumnFormula>
    </tableColumn>
    <tableColumn id="20" xr3:uid="{00000000-0010-0000-0000-000014000000}" name="Sales_amount" dataDxfId="12">
      <calculatedColumnFormula>SalesData[[#This Row],[Gross_sales]]*(1-SalesData[[#This Row],[Discount]])</calculatedColumnFormula>
    </tableColumn>
    <tableColumn id="21" xr3:uid="{00000000-0010-0000-0000-000015000000}" name="Profit" dataDxfId="11">
      <calculatedColumnFormula>SalesData[[#This Row],[Sales_amount]]-SalesData[[#This Row],[Total_Cost]]</calculatedColumnFormula>
    </tableColumn>
    <tableColumn id="5" xr3:uid="{FE821AAA-4981-4494-A435-FD636DFB3F1B}" name="ProfitMargin" dataDxfId="10">
      <calculatedColumnFormula>SalesData[[#This Row],[Profit]]/SalesData[[#This Row],[Sales_amount]]</calculatedColumnFormula>
    </tableColumn>
    <tableColumn id="16" xr3:uid="{35152268-6BD8-4ACB-ACEC-DDA521D8AF4C}" name="Unit_Margin" dataDxfId="9">
      <calculatedColumnFormula>SalesData[[#This Row],[Unit_Price]]-SalesData[[#This Row],[Unit_Cost]]</calculatedColumnFormula>
    </tableColumn>
    <tableColumn id="17" xr3:uid="{5D114F17-4BF0-4794-868F-21DE7609079B}" name="Unit_Margin_Percent" dataDxfId="8" dataCellStyle="Per cent">
      <calculatedColumnFormula>SalesData[[#This Row],[Unit_Margin]]/SalesData[[#This Row],[Unit_Price]]</calculatedColumnFormula>
    </tableColumn>
    <tableColumn id="18" xr3:uid="{2F943413-EB5A-450E-9944-D1384FAB2D62}" name="Unit_Margin_Status" dataDxfId="7">
      <calculatedColumnFormula>IF(SalesData[[#This Row],[Unit_Margin]]&lt;0, "Negative margin", "Positive margin")</calculatedColumnFormula>
    </tableColumn>
    <tableColumn id="22" xr3:uid="{472E0059-C246-4150-8438-61876BE83382}" name="Profit_Status" dataDxfId="6">
      <calculatedColumnFormula>IF(SalesData[[#This Row],[Profit]]&lt;0, "Loss", "Profit")</calculatedColumnFormula>
    </tableColumn>
    <tableColumn id="23" xr3:uid="{BBEDC5C5-D370-4D55-8E14-486340565EFC}" name="Effective_Unit_Price" dataDxfId="5">
      <calculatedColumnFormula>SalesData[[#This Row],[Unit_Price]]*(1-SalesData[[#This Row],[Discount]])</calculatedColumnFormula>
    </tableColumn>
    <tableColumn id="24" xr3:uid="{EFA3A4A4-3428-4747-B347-CC6E21ADB120}" name="Effective_Unit_Margin" dataDxfId="4">
      <calculatedColumnFormula>SalesData[[#This Row],[Effective_Unit_Price]]-SalesData[[#This Row],[Unit_Cost]]</calculatedColumnFormula>
    </tableColumn>
    <tableColumn id="25" xr3:uid="{4F4B8BEA-69CD-4CB4-9199-EFF41A4961E4}" name="Effective_Margin_Status" dataDxfId="3">
      <calculatedColumnFormula>IF(SalesData[[#This Row],[Effective_Unit_Margin]]&lt;0,"Loss per Unit","Positive per Unit")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6F40-4F3C-4C84-A5A1-B3A700D66040}">
  <dimension ref="A1:K6"/>
  <sheetViews>
    <sheetView workbookViewId="0">
      <selection activeCell="G14" sqref="G14"/>
    </sheetView>
  </sheetViews>
  <sheetFormatPr defaultRowHeight="14.4" x14ac:dyDescent="0.3"/>
  <cols>
    <col min="1" max="1" width="12.5546875" customWidth="1"/>
    <col min="2" max="2" width="19.5546875" customWidth="1"/>
    <col min="3" max="3" width="12.6640625" customWidth="1"/>
    <col min="4" max="4" width="19.6640625" customWidth="1"/>
    <col min="5" max="5" width="17.88671875" style="10" customWidth="1"/>
  </cols>
  <sheetData>
    <row r="1" spans="1:11" x14ac:dyDescent="0.3">
      <c r="A1" s="7" t="s">
        <v>68</v>
      </c>
      <c r="B1" t="s">
        <v>70</v>
      </c>
      <c r="C1" t="s">
        <v>71</v>
      </c>
      <c r="D1" t="s">
        <v>72</v>
      </c>
      <c r="E1" s="10" t="s">
        <v>73</v>
      </c>
      <c r="G1" t="s">
        <v>3</v>
      </c>
      <c r="H1" t="s">
        <v>60</v>
      </c>
      <c r="J1" t="s">
        <v>101</v>
      </c>
      <c r="K1" t="s">
        <v>54</v>
      </c>
    </row>
    <row r="2" spans="1:11" x14ac:dyDescent="0.3">
      <c r="A2" s="8" t="s">
        <v>33</v>
      </c>
      <c r="B2" s="2">
        <v>15202282.224600006</v>
      </c>
      <c r="C2" s="2">
        <v>-1224561.6254000051</v>
      </c>
      <c r="D2" s="2">
        <v>6356</v>
      </c>
      <c r="E2" s="10">
        <f>C2/B2</f>
        <v>-8.05511703643053E-2</v>
      </c>
      <c r="G2" s="8" t="s">
        <v>33</v>
      </c>
      <c r="H2" s="2">
        <v>15202282.224600006</v>
      </c>
      <c r="J2" s="8" t="s">
        <v>33</v>
      </c>
      <c r="K2" s="2">
        <v>-1224561.6254000051</v>
      </c>
    </row>
    <row r="3" spans="1:11" x14ac:dyDescent="0.3">
      <c r="A3" s="8" t="s">
        <v>14</v>
      </c>
      <c r="B3" s="2">
        <v>15570342.181999987</v>
      </c>
      <c r="C3" s="2">
        <v>-976600.46800000616</v>
      </c>
      <c r="D3" s="2">
        <v>6705</v>
      </c>
      <c r="E3" s="10">
        <f t="shared" ref="E3:E6" si="0">C3/B3</f>
        <v>-6.2721837232902949E-2</v>
      </c>
      <c r="G3" s="8" t="s">
        <v>14</v>
      </c>
      <c r="H3" s="2">
        <v>15570342.181999987</v>
      </c>
      <c r="J3" s="8" t="s">
        <v>14</v>
      </c>
      <c r="K3" s="2">
        <v>-976600.46800000616</v>
      </c>
    </row>
    <row r="4" spans="1:11" x14ac:dyDescent="0.3">
      <c r="A4" s="8" t="s">
        <v>24</v>
      </c>
      <c r="B4" s="2">
        <v>13894660.279499998</v>
      </c>
      <c r="C4" s="2">
        <v>-868169.98050000612</v>
      </c>
      <c r="D4" s="2">
        <v>5808</v>
      </c>
      <c r="E4" s="10">
        <f t="shared" si="0"/>
        <v>-6.248227470382222E-2</v>
      </c>
      <c r="G4" s="8" t="s">
        <v>24</v>
      </c>
      <c r="H4" s="2">
        <v>13894660.279499998</v>
      </c>
      <c r="J4" s="8" t="s">
        <v>24</v>
      </c>
      <c r="K4" s="2">
        <v>-868169.98050000612</v>
      </c>
    </row>
    <row r="5" spans="1:11" x14ac:dyDescent="0.3">
      <c r="A5" s="8" t="s">
        <v>20</v>
      </c>
      <c r="B5" s="2">
        <v>15018888.5976</v>
      </c>
      <c r="C5" s="2">
        <v>-1086588.2824000041</v>
      </c>
      <c r="D5" s="2">
        <v>6486</v>
      </c>
      <c r="E5" s="10">
        <f t="shared" si="0"/>
        <v>-7.2348115197661142E-2</v>
      </c>
      <c r="G5" s="8" t="s">
        <v>20</v>
      </c>
      <c r="H5" s="2">
        <v>15018888.5976</v>
      </c>
      <c r="J5" s="8" t="s">
        <v>20</v>
      </c>
      <c r="K5" s="2">
        <v>-1086588.2824000041</v>
      </c>
    </row>
    <row r="6" spans="1:11" x14ac:dyDescent="0.3">
      <c r="A6" s="8" t="s">
        <v>69</v>
      </c>
      <c r="B6" s="2">
        <v>59686173.283699989</v>
      </c>
      <c r="C6" s="2">
        <v>-4155920.3563000215</v>
      </c>
      <c r="D6" s="2">
        <v>25355</v>
      </c>
      <c r="E6" s="10">
        <f t="shared" si="0"/>
        <v>-6.9629532731913038E-2</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64C3-9042-4FFA-954B-3638B19A1233}">
  <dimension ref="A1:K7"/>
  <sheetViews>
    <sheetView workbookViewId="0">
      <selection activeCell="G1" sqref="G1:H6"/>
    </sheetView>
  </sheetViews>
  <sheetFormatPr defaultRowHeight="14.4" x14ac:dyDescent="0.3"/>
  <cols>
    <col min="1" max="1" width="12.5546875" customWidth="1"/>
    <col min="2" max="2" width="19.5546875" customWidth="1"/>
    <col min="3" max="3" width="12.6640625" customWidth="1"/>
    <col min="4" max="4" width="19.6640625" customWidth="1"/>
    <col min="5" max="5" width="11.6640625" customWidth="1"/>
  </cols>
  <sheetData>
    <row r="1" spans="1:11" x14ac:dyDescent="0.3">
      <c r="A1" s="7" t="s">
        <v>68</v>
      </c>
      <c r="B1" t="s">
        <v>70</v>
      </c>
      <c r="C1" t="s">
        <v>71</v>
      </c>
      <c r="D1" t="s">
        <v>72</v>
      </c>
      <c r="E1" t="s">
        <v>63</v>
      </c>
      <c r="G1" t="s">
        <v>100</v>
      </c>
      <c r="H1" t="s">
        <v>60</v>
      </c>
      <c r="J1" t="s">
        <v>100</v>
      </c>
      <c r="K1" t="s">
        <v>54</v>
      </c>
    </row>
    <row r="2" spans="1:11" x14ac:dyDescent="0.3">
      <c r="A2" s="8" t="s">
        <v>41</v>
      </c>
      <c r="B2" s="2">
        <v>11476645.563299995</v>
      </c>
      <c r="C2" s="2">
        <v>-626262.51670000318</v>
      </c>
      <c r="D2" s="2">
        <v>4832</v>
      </c>
      <c r="E2" s="10">
        <f>C2/B2</f>
        <v>-5.4568428836267696E-2</v>
      </c>
      <c r="G2" s="8" t="s">
        <v>41</v>
      </c>
      <c r="H2" s="2">
        <v>11476645.563299995</v>
      </c>
      <c r="J2" s="8" t="s">
        <v>41</v>
      </c>
      <c r="K2" s="2">
        <v>-626262.51670000318</v>
      </c>
    </row>
    <row r="3" spans="1:11" x14ac:dyDescent="0.3">
      <c r="A3" s="8" t="s">
        <v>13</v>
      </c>
      <c r="B3" s="2">
        <v>11768703.708699994</v>
      </c>
      <c r="C3" s="2">
        <v>-773124.23130000685</v>
      </c>
      <c r="D3" s="2">
        <v>4977</v>
      </c>
      <c r="E3" s="10">
        <f t="shared" ref="E3:E7" si="0">C3/B3</f>
        <v>-6.5693236097742538E-2</v>
      </c>
      <c r="G3" s="8" t="s">
        <v>13</v>
      </c>
      <c r="H3" s="2">
        <v>11768703.708699994</v>
      </c>
      <c r="J3" s="8" t="s">
        <v>13</v>
      </c>
      <c r="K3" s="2">
        <v>-773124.23130000685</v>
      </c>
    </row>
    <row r="4" spans="1:11" x14ac:dyDescent="0.3">
      <c r="A4" s="8" t="s">
        <v>32</v>
      </c>
      <c r="B4" s="2">
        <v>9827690.8506999984</v>
      </c>
      <c r="C4" s="2">
        <v>-653165.03930000216</v>
      </c>
      <c r="D4" s="2">
        <v>4217</v>
      </c>
      <c r="E4" s="10">
        <f t="shared" si="0"/>
        <v>-6.6461699825801815E-2</v>
      </c>
      <c r="G4" s="8" t="s">
        <v>32</v>
      </c>
      <c r="H4" s="2">
        <v>9827690.8506999984</v>
      </c>
      <c r="J4" s="8" t="s">
        <v>32</v>
      </c>
      <c r="K4" s="2">
        <v>-653165.03930000216</v>
      </c>
    </row>
    <row r="5" spans="1:11" x14ac:dyDescent="0.3">
      <c r="A5" s="8" t="s">
        <v>23</v>
      </c>
      <c r="B5" s="2">
        <v>13674409.201900005</v>
      </c>
      <c r="C5" s="2">
        <v>-1219424.9881000053</v>
      </c>
      <c r="D5" s="2">
        <v>6042</v>
      </c>
      <c r="E5" s="10">
        <f t="shared" si="0"/>
        <v>-8.9175698203515147E-2</v>
      </c>
      <c r="G5" s="8" t="s">
        <v>23</v>
      </c>
      <c r="H5" s="2">
        <v>13674409.201900005</v>
      </c>
      <c r="J5" s="8" t="s">
        <v>23</v>
      </c>
      <c r="K5" s="2">
        <v>-1219424.9881000053</v>
      </c>
    </row>
    <row r="6" spans="1:11" x14ac:dyDescent="0.3">
      <c r="A6" s="8" t="s">
        <v>37</v>
      </c>
      <c r="B6" s="2">
        <v>12938723.959099999</v>
      </c>
      <c r="C6" s="2">
        <v>-883943.58090000367</v>
      </c>
      <c r="D6" s="2">
        <v>5287</v>
      </c>
      <c r="E6" s="10">
        <f t="shared" si="0"/>
        <v>-6.8317678288384295E-2</v>
      </c>
      <c r="G6" s="8" t="s">
        <v>37</v>
      </c>
      <c r="H6" s="2">
        <v>12938723.959099999</v>
      </c>
      <c r="J6" s="8" t="s">
        <v>37</v>
      </c>
      <c r="K6" s="2">
        <v>-883943.58090000367</v>
      </c>
    </row>
    <row r="7" spans="1:11" x14ac:dyDescent="0.3">
      <c r="A7" s="8" t="s">
        <v>69</v>
      </c>
      <c r="B7" s="2">
        <v>59686173.283699997</v>
      </c>
      <c r="C7" s="2">
        <v>-4155920.3563000211</v>
      </c>
      <c r="D7" s="2">
        <v>25355</v>
      </c>
      <c r="E7" s="10">
        <f t="shared" si="0"/>
        <v>-6.962953273191301E-2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78D7-5B06-4DB9-BEC3-45D8D410075D}">
  <dimension ref="A1:K6"/>
  <sheetViews>
    <sheetView workbookViewId="0">
      <selection activeCell="L17" sqref="L17"/>
    </sheetView>
  </sheetViews>
  <sheetFormatPr defaultRowHeight="14.4" x14ac:dyDescent="0.3"/>
  <cols>
    <col min="1" max="1" width="12.5546875" customWidth="1"/>
    <col min="2" max="2" width="19.5546875" customWidth="1"/>
    <col min="3" max="3" width="12.6640625" customWidth="1"/>
    <col min="4" max="4" width="19.6640625" customWidth="1"/>
    <col min="5" max="5" width="18.33203125" style="10" customWidth="1"/>
  </cols>
  <sheetData>
    <row r="1" spans="1:11" x14ac:dyDescent="0.3">
      <c r="A1" s="7" t="s">
        <v>68</v>
      </c>
      <c r="B1" t="s">
        <v>70</v>
      </c>
      <c r="C1" t="s">
        <v>71</v>
      </c>
      <c r="D1" t="s">
        <v>72</v>
      </c>
      <c r="E1" t="s">
        <v>63</v>
      </c>
      <c r="G1" t="s">
        <v>102</v>
      </c>
      <c r="H1" t="s">
        <v>103</v>
      </c>
      <c r="J1" t="s">
        <v>102</v>
      </c>
      <c r="K1" t="s">
        <v>54</v>
      </c>
    </row>
    <row r="2" spans="1:11" x14ac:dyDescent="0.3">
      <c r="A2" s="8" t="s">
        <v>28</v>
      </c>
      <c r="B2" s="2">
        <v>16360844.624699995</v>
      </c>
      <c r="C2" s="2">
        <v>-1212931.5053000061</v>
      </c>
      <c r="D2" s="2">
        <v>6922</v>
      </c>
      <c r="E2" s="10">
        <f>C2/B2</f>
        <v>-7.4136240097827308E-2</v>
      </c>
      <c r="G2" s="8" t="s">
        <v>28</v>
      </c>
      <c r="H2" s="2">
        <v>16360844.624699995</v>
      </c>
      <c r="J2" s="8" t="s">
        <v>28</v>
      </c>
      <c r="K2" s="2">
        <v>-1212931.5053000061</v>
      </c>
    </row>
    <row r="3" spans="1:11" x14ac:dyDescent="0.3">
      <c r="A3" s="8" t="s">
        <v>34</v>
      </c>
      <c r="B3" s="2">
        <v>15153225.285399998</v>
      </c>
      <c r="C3" s="2">
        <v>-843495.22460000566</v>
      </c>
      <c r="D3" s="2">
        <v>6096</v>
      </c>
      <c r="E3" s="10">
        <f t="shared" ref="E3:E6" si="0">C3/B3</f>
        <v>-5.5664402047312399E-2</v>
      </c>
      <c r="G3" s="8" t="s">
        <v>34</v>
      </c>
      <c r="H3" s="2">
        <v>15153225.285399998</v>
      </c>
      <c r="J3" s="8" t="s">
        <v>34</v>
      </c>
      <c r="K3" s="2">
        <v>-843495.22460000566</v>
      </c>
    </row>
    <row r="4" spans="1:11" x14ac:dyDescent="0.3">
      <c r="A4" s="8" t="s">
        <v>25</v>
      </c>
      <c r="B4" s="2">
        <v>12808326.230800005</v>
      </c>
      <c r="C4" s="2">
        <v>-912451.36920000473</v>
      </c>
      <c r="D4" s="2">
        <v>5608</v>
      </c>
      <c r="E4" s="10">
        <f t="shared" si="0"/>
        <v>-7.1238923240871679E-2</v>
      </c>
      <c r="G4" s="8" t="s">
        <v>25</v>
      </c>
      <c r="H4" s="2">
        <v>12808326.230800005</v>
      </c>
      <c r="J4" s="8" t="s">
        <v>25</v>
      </c>
      <c r="K4" s="2">
        <v>-912451.36920000473</v>
      </c>
    </row>
    <row r="5" spans="1:11" x14ac:dyDescent="0.3">
      <c r="A5" s="8" t="s">
        <v>15</v>
      </c>
      <c r="B5" s="2">
        <v>15363777.142799998</v>
      </c>
      <c r="C5" s="2">
        <v>-1187042.2572000045</v>
      </c>
      <c r="D5" s="2">
        <v>6729</v>
      </c>
      <c r="E5" s="10">
        <f t="shared" si="0"/>
        <v>-7.7262397531995833E-2</v>
      </c>
      <c r="G5" s="8" t="s">
        <v>15</v>
      </c>
      <c r="H5" s="2">
        <v>15363777.142799998</v>
      </c>
      <c r="J5" s="8" t="s">
        <v>15</v>
      </c>
      <c r="K5" s="2">
        <v>-1187042.2572000045</v>
      </c>
    </row>
    <row r="6" spans="1:11" x14ac:dyDescent="0.3">
      <c r="A6" s="8" t="s">
        <v>69</v>
      </c>
      <c r="B6" s="2">
        <v>59686173.283699989</v>
      </c>
      <c r="C6" s="2">
        <v>-4155920.3563000211</v>
      </c>
      <c r="D6" s="2">
        <v>25355</v>
      </c>
      <c r="E6" s="10">
        <f t="shared" si="0"/>
        <v>-6.9629532731913024E-2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C4A08-BD6F-48FE-B58F-950924217BA2}">
  <dimension ref="A1:K4"/>
  <sheetViews>
    <sheetView workbookViewId="0">
      <selection activeCell="J24" sqref="J24"/>
    </sheetView>
  </sheetViews>
  <sheetFormatPr defaultRowHeight="14.4" x14ac:dyDescent="0.3"/>
  <cols>
    <col min="1" max="1" width="12.5546875" customWidth="1"/>
    <col min="2" max="2" width="19.5546875" customWidth="1"/>
    <col min="3" max="3" width="12.6640625" customWidth="1"/>
    <col min="4" max="4" width="19.6640625" customWidth="1"/>
    <col min="5" max="5" width="12.6640625" style="10" customWidth="1"/>
  </cols>
  <sheetData>
    <row r="1" spans="1:11" x14ac:dyDescent="0.3">
      <c r="A1" s="7" t="s">
        <v>68</v>
      </c>
      <c r="B1" t="s">
        <v>70</v>
      </c>
      <c r="C1" t="s">
        <v>71</v>
      </c>
      <c r="D1" t="s">
        <v>72</v>
      </c>
      <c r="E1" s="10" t="s">
        <v>63</v>
      </c>
      <c r="G1" t="s">
        <v>104</v>
      </c>
      <c r="H1" t="s">
        <v>105</v>
      </c>
      <c r="J1" t="s">
        <v>106</v>
      </c>
      <c r="K1" t="s">
        <v>107</v>
      </c>
    </row>
    <row r="2" spans="1:11" x14ac:dyDescent="0.3">
      <c r="A2" s="8" t="s">
        <v>29</v>
      </c>
      <c r="B2" s="2">
        <v>31164860.84310003</v>
      </c>
      <c r="C2" s="2">
        <v>-1933120.4069000129</v>
      </c>
      <c r="D2" s="2">
        <v>13184</v>
      </c>
      <c r="E2" s="10">
        <f>C2/B2</f>
        <v>-6.2028847702299626E-2</v>
      </c>
      <c r="G2" s="8" t="s">
        <v>29</v>
      </c>
      <c r="H2" s="2">
        <v>31164860.84310003</v>
      </c>
      <c r="J2" s="8" t="s">
        <v>29</v>
      </c>
      <c r="K2" s="2">
        <v>-1933120.4069000129</v>
      </c>
    </row>
    <row r="3" spans="1:11" x14ac:dyDescent="0.3">
      <c r="A3" s="8" t="s">
        <v>16</v>
      </c>
      <c r="B3" s="2">
        <v>28521312.440599971</v>
      </c>
      <c r="C3" s="2">
        <v>-2222799.9494000096</v>
      </c>
      <c r="D3" s="2">
        <v>12171</v>
      </c>
      <c r="E3" s="10">
        <f t="shared" ref="E3:E4" si="0">C3/B3</f>
        <v>-7.7934700727020648E-2</v>
      </c>
      <c r="G3" s="8" t="s">
        <v>16</v>
      </c>
      <c r="H3" s="2">
        <v>28521312.440599971</v>
      </c>
      <c r="J3" s="8" t="s">
        <v>16</v>
      </c>
      <c r="K3" s="2">
        <v>-2222799.9494000096</v>
      </c>
    </row>
    <row r="4" spans="1:11" x14ac:dyDescent="0.3">
      <c r="A4" s="8" t="s">
        <v>69</v>
      </c>
      <c r="B4" s="2">
        <v>59686173.283700004</v>
      </c>
      <c r="C4" s="2">
        <v>-4155920.3563000225</v>
      </c>
      <c r="D4" s="2">
        <v>25355</v>
      </c>
      <c r="E4" s="10">
        <f t="shared" si="0"/>
        <v>-6.9629532731913024E-2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E294-0A34-4695-8053-B76AB31F7C9F}">
  <dimension ref="A1:K4"/>
  <sheetViews>
    <sheetView workbookViewId="0">
      <selection activeCell="G8" sqref="G8"/>
    </sheetView>
  </sheetViews>
  <sheetFormatPr defaultRowHeight="14.4" x14ac:dyDescent="0.3"/>
  <cols>
    <col min="1" max="1" width="12.5546875" customWidth="1"/>
    <col min="2" max="2" width="19.5546875" customWidth="1"/>
    <col min="3" max="3" width="12.6640625" customWidth="1"/>
    <col min="4" max="4" width="19.6640625" customWidth="1"/>
    <col min="5" max="5" width="18.33203125" customWidth="1"/>
  </cols>
  <sheetData>
    <row r="1" spans="1:11" x14ac:dyDescent="0.3">
      <c r="A1" s="7" t="s">
        <v>68</v>
      </c>
      <c r="B1" t="s">
        <v>70</v>
      </c>
      <c r="C1" t="s">
        <v>71</v>
      </c>
      <c r="D1" t="s">
        <v>72</v>
      </c>
      <c r="E1" t="s">
        <v>74</v>
      </c>
      <c r="G1" t="s">
        <v>108</v>
      </c>
      <c r="H1" t="s">
        <v>109</v>
      </c>
      <c r="J1" t="s">
        <v>110</v>
      </c>
      <c r="K1" t="s">
        <v>54</v>
      </c>
    </row>
    <row r="2" spans="1:11" x14ac:dyDescent="0.3">
      <c r="A2" s="8" t="s">
        <v>18</v>
      </c>
      <c r="B2" s="2">
        <v>30296019.585400026</v>
      </c>
      <c r="C2" s="2">
        <v>-2164672.5346000129</v>
      </c>
      <c r="D2" s="2">
        <v>12602</v>
      </c>
      <c r="E2" s="10">
        <f>C2/B2</f>
        <v>-7.1450724029871945E-2</v>
      </c>
      <c r="G2" s="8" t="s">
        <v>18</v>
      </c>
      <c r="H2" s="2">
        <v>30296019.585400026</v>
      </c>
      <c r="J2" s="8" t="s">
        <v>18</v>
      </c>
      <c r="K2" s="2">
        <v>-2164672.5346000129</v>
      </c>
    </row>
    <row r="3" spans="1:11" x14ac:dyDescent="0.3">
      <c r="A3" s="8" t="s">
        <v>21</v>
      </c>
      <c r="B3" s="2">
        <v>29390153.69829997</v>
      </c>
      <c r="C3" s="2">
        <v>-1991247.8217000109</v>
      </c>
      <c r="D3" s="2">
        <v>12753</v>
      </c>
      <c r="E3" s="10">
        <f t="shared" ref="E3:E4" si="0">C3/B3</f>
        <v>-6.7752208516527482E-2</v>
      </c>
      <c r="G3" s="8" t="s">
        <v>21</v>
      </c>
      <c r="H3" s="2">
        <v>29390153.69829997</v>
      </c>
      <c r="J3" s="8" t="s">
        <v>21</v>
      </c>
      <c r="K3" s="2">
        <v>-1991247.8217000109</v>
      </c>
    </row>
    <row r="4" spans="1:11" x14ac:dyDescent="0.3">
      <c r="A4" s="8" t="s">
        <v>69</v>
      </c>
      <c r="B4" s="2">
        <v>59686173.283699997</v>
      </c>
      <c r="C4" s="2">
        <v>-4155920.3563000239</v>
      </c>
      <c r="D4" s="2">
        <v>25355</v>
      </c>
      <c r="E4" s="10">
        <f t="shared" si="0"/>
        <v>-6.9629532731913066E-2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1276-C11A-46D9-831D-E61D415FEF23}">
  <dimension ref="A1:M33"/>
  <sheetViews>
    <sheetView topLeftCell="A7" workbookViewId="0">
      <selection sqref="A1:C33"/>
    </sheetView>
  </sheetViews>
  <sheetFormatPr defaultRowHeight="14.4" x14ac:dyDescent="0.3"/>
  <cols>
    <col min="1" max="1" width="12.5546875" style="11" customWidth="1"/>
    <col min="2" max="2" width="19.5546875" customWidth="1"/>
    <col min="3" max="3" width="12.6640625" customWidth="1"/>
    <col min="4" max="4" width="19.6640625" customWidth="1"/>
    <col min="5" max="5" width="11.6640625" customWidth="1"/>
    <col min="7" max="7" width="11.6640625" style="10" customWidth="1"/>
  </cols>
  <sheetData>
    <row r="1" spans="1:13" x14ac:dyDescent="0.3">
      <c r="A1" s="12" t="s">
        <v>68</v>
      </c>
      <c r="B1" t="s">
        <v>70</v>
      </c>
      <c r="C1" t="s">
        <v>71</v>
      </c>
      <c r="F1" t="s">
        <v>9</v>
      </c>
      <c r="G1" s="10" t="s">
        <v>63</v>
      </c>
      <c r="I1" t="s">
        <v>9</v>
      </c>
      <c r="J1" t="s">
        <v>103</v>
      </c>
      <c r="L1" t="s">
        <v>9</v>
      </c>
      <c r="M1" t="s">
        <v>54</v>
      </c>
    </row>
    <row r="2" spans="1:13" x14ac:dyDescent="0.3">
      <c r="A2" s="13">
        <v>0</v>
      </c>
      <c r="B2" s="2">
        <v>941037.12999999966</v>
      </c>
      <c r="C2" s="2">
        <v>100845.27999999962</v>
      </c>
      <c r="F2" s="10">
        <f>A2</f>
        <v>0</v>
      </c>
      <c r="G2" s="10">
        <f>C2/B2</f>
        <v>0.10716397555960375</v>
      </c>
      <c r="I2" s="13">
        <v>0</v>
      </c>
      <c r="J2" s="2">
        <v>941037.12999999966</v>
      </c>
      <c r="L2" s="13">
        <v>0</v>
      </c>
      <c r="M2" s="2">
        <v>100845.27999999962</v>
      </c>
    </row>
    <row r="3" spans="1:13" x14ac:dyDescent="0.3">
      <c r="A3" s="13">
        <v>0.01</v>
      </c>
      <c r="B3" s="2">
        <v>3407713.6400999981</v>
      </c>
      <c r="C3" s="2">
        <v>266120.90009999846</v>
      </c>
      <c r="F3" s="10">
        <f t="shared" ref="F3:F32" si="0">A3</f>
        <v>0.01</v>
      </c>
      <c r="G3" s="10">
        <f t="shared" ref="G3:G32" si="1">C3/B3</f>
        <v>7.8093680457313672E-2</v>
      </c>
      <c r="I3" s="13">
        <v>0.01</v>
      </c>
      <c r="J3" s="2">
        <v>3407713.6400999981</v>
      </c>
      <c r="L3" s="13">
        <v>0.01</v>
      </c>
      <c r="M3" s="2">
        <v>266120.90009999846</v>
      </c>
    </row>
    <row r="4" spans="1:13" x14ac:dyDescent="0.3">
      <c r="A4" s="13">
        <v>0.02</v>
      </c>
      <c r="B4" s="2">
        <v>1473235.7248</v>
      </c>
      <c r="C4" s="2">
        <v>93066.994799999768</v>
      </c>
      <c r="F4" s="10">
        <f t="shared" si="0"/>
        <v>0.02</v>
      </c>
      <c r="G4" s="10">
        <f t="shared" si="1"/>
        <v>6.3171828671636468E-2</v>
      </c>
      <c r="I4" s="13">
        <v>0.02</v>
      </c>
      <c r="J4" s="2">
        <v>1473235.7248</v>
      </c>
      <c r="L4" s="13">
        <v>0.02</v>
      </c>
      <c r="M4" s="2">
        <v>93066.994799999768</v>
      </c>
    </row>
    <row r="5" spans="1:13" x14ac:dyDescent="0.3">
      <c r="A5" s="13">
        <v>0.03</v>
      </c>
      <c r="B5" s="2">
        <v>2363527.3558000005</v>
      </c>
      <c r="C5" s="2">
        <v>134915.43579999966</v>
      </c>
      <c r="F5" s="10">
        <f t="shared" si="0"/>
        <v>0.03</v>
      </c>
      <c r="G5" s="10">
        <f t="shared" si="1"/>
        <v>5.7082240012548462E-2</v>
      </c>
      <c r="I5" s="13">
        <v>0.03</v>
      </c>
      <c r="J5" s="2">
        <v>2363527.3558000005</v>
      </c>
      <c r="L5" s="13">
        <v>0.03</v>
      </c>
      <c r="M5" s="2">
        <v>134915.43579999966</v>
      </c>
    </row>
    <row r="6" spans="1:13" x14ac:dyDescent="0.3">
      <c r="A6" s="13">
        <v>0.04</v>
      </c>
      <c r="B6" s="2">
        <v>2207444.4863999984</v>
      </c>
      <c r="C6" s="2">
        <v>175063.14639999869</v>
      </c>
      <c r="F6" s="10">
        <f t="shared" si="0"/>
        <v>0.04</v>
      </c>
      <c r="G6" s="10">
        <f t="shared" si="1"/>
        <v>7.9305797939000347E-2</v>
      </c>
      <c r="I6" s="13">
        <v>0.04</v>
      </c>
      <c r="J6" s="2">
        <v>2207444.4863999984</v>
      </c>
      <c r="L6" s="13">
        <v>0.04</v>
      </c>
      <c r="M6" s="2">
        <v>175063.14639999869</v>
      </c>
    </row>
    <row r="7" spans="1:13" x14ac:dyDescent="0.3">
      <c r="A7" s="13">
        <v>0.05</v>
      </c>
      <c r="B7" s="2">
        <v>2064901.227999999</v>
      </c>
      <c r="C7" s="2">
        <v>100161.8879999991</v>
      </c>
      <c r="F7" s="10">
        <f t="shared" si="0"/>
        <v>0.05</v>
      </c>
      <c r="G7" s="10">
        <f t="shared" si="1"/>
        <v>4.8506866402037489E-2</v>
      </c>
      <c r="I7" s="13">
        <v>0.05</v>
      </c>
      <c r="J7" s="2">
        <v>2064901.227999999</v>
      </c>
      <c r="L7" s="13">
        <v>0.05</v>
      </c>
      <c r="M7" s="2">
        <v>100161.8879999991</v>
      </c>
    </row>
    <row r="8" spans="1:13" x14ac:dyDescent="0.3">
      <c r="A8" s="13">
        <v>0.06</v>
      </c>
      <c r="B8" s="2">
        <v>2439073.5915999985</v>
      </c>
      <c r="C8" s="2">
        <v>60655.041599998964</v>
      </c>
      <c r="F8" s="10">
        <f t="shared" si="0"/>
        <v>0.06</v>
      </c>
      <c r="G8" s="10">
        <f t="shared" si="1"/>
        <v>2.4868065403557627E-2</v>
      </c>
      <c r="I8" s="13">
        <v>0.06</v>
      </c>
      <c r="J8" s="2">
        <v>2439073.5915999985</v>
      </c>
      <c r="L8" s="13">
        <v>0.06</v>
      </c>
      <c r="M8" s="2">
        <v>60655.041599998964</v>
      </c>
    </row>
    <row r="9" spans="1:13" x14ac:dyDescent="0.3">
      <c r="A9" s="13">
        <v>7.0000000000000007E-2</v>
      </c>
      <c r="B9" s="2">
        <v>2503420.7138999985</v>
      </c>
      <c r="C9" s="2">
        <v>7067.7038999989454</v>
      </c>
      <c r="F9" s="10">
        <f t="shared" si="0"/>
        <v>7.0000000000000007E-2</v>
      </c>
      <c r="G9" s="10">
        <f t="shared" si="1"/>
        <v>2.823218590769107E-3</v>
      </c>
      <c r="I9" s="13">
        <v>7.0000000000000007E-2</v>
      </c>
      <c r="J9" s="2">
        <v>2503420.7138999985</v>
      </c>
      <c r="L9" s="13">
        <v>7.0000000000000007E-2</v>
      </c>
      <c r="M9" s="2">
        <v>7067.7038999989454</v>
      </c>
    </row>
    <row r="10" spans="1:13" x14ac:dyDescent="0.3">
      <c r="A10" s="13">
        <v>0.08</v>
      </c>
      <c r="B10" s="2">
        <v>2154474.3171999995</v>
      </c>
      <c r="C10" s="2">
        <v>42461.19719999934</v>
      </c>
      <c r="F10" s="10">
        <f t="shared" si="0"/>
        <v>0.08</v>
      </c>
      <c r="G10" s="10">
        <f t="shared" si="1"/>
        <v>1.9708379376358876E-2</v>
      </c>
      <c r="I10" s="13">
        <v>0.08</v>
      </c>
      <c r="J10" s="2">
        <v>2154474.3171999995</v>
      </c>
      <c r="L10" s="13">
        <v>0.08</v>
      </c>
      <c r="M10" s="2">
        <v>42461.19719999934</v>
      </c>
    </row>
    <row r="11" spans="1:13" x14ac:dyDescent="0.3">
      <c r="A11" s="13">
        <v>0.09</v>
      </c>
      <c r="B11" s="2">
        <v>2311713.2401999994</v>
      </c>
      <c r="C11" s="2">
        <v>9182.1101999994971</v>
      </c>
      <c r="F11" s="10">
        <f t="shared" si="0"/>
        <v>0.09</v>
      </c>
      <c r="G11" s="10">
        <f t="shared" si="1"/>
        <v>3.971993602115244E-3</v>
      </c>
      <c r="I11" s="13">
        <v>0.09</v>
      </c>
      <c r="J11" s="2">
        <v>2311713.2401999994</v>
      </c>
      <c r="L11" s="13">
        <v>0.09</v>
      </c>
      <c r="M11" s="2">
        <v>9182.1101999994971</v>
      </c>
    </row>
    <row r="12" spans="1:13" x14ac:dyDescent="0.3">
      <c r="A12" s="13">
        <v>0.1</v>
      </c>
      <c r="B12" s="2">
        <v>2541672.1349999988</v>
      </c>
      <c r="C12" s="2">
        <v>-7462.9450000013385</v>
      </c>
      <c r="F12" s="10">
        <f t="shared" si="0"/>
        <v>0.1</v>
      </c>
      <c r="G12" s="10">
        <f t="shared" si="1"/>
        <v>-2.936234338502256E-3</v>
      </c>
      <c r="I12" s="13">
        <v>0.1</v>
      </c>
      <c r="J12" s="2">
        <v>2541672.1349999988</v>
      </c>
      <c r="L12" s="13">
        <v>0.1</v>
      </c>
      <c r="M12" s="2">
        <v>-7462.9450000013385</v>
      </c>
    </row>
    <row r="13" spans="1:13" x14ac:dyDescent="0.3">
      <c r="A13" s="13">
        <v>0.11</v>
      </c>
      <c r="B13" s="2">
        <v>997909.91899999906</v>
      </c>
      <c r="C13" s="2">
        <v>14972.818999999179</v>
      </c>
      <c r="F13" s="10">
        <f t="shared" si="0"/>
        <v>0.11</v>
      </c>
      <c r="G13" s="10">
        <f t="shared" si="1"/>
        <v>1.5004178949341812E-2</v>
      </c>
      <c r="I13" s="13">
        <v>0.11</v>
      </c>
      <c r="J13" s="2">
        <v>997909.91899999906</v>
      </c>
      <c r="L13" s="13">
        <v>0.11</v>
      </c>
      <c r="M13" s="2">
        <v>14972.818999999179</v>
      </c>
    </row>
    <row r="14" spans="1:13" x14ac:dyDescent="0.3">
      <c r="A14" s="13">
        <v>0.12</v>
      </c>
      <c r="B14" s="2">
        <v>2199089.3671999993</v>
      </c>
      <c r="C14" s="2">
        <v>-59600.912800000755</v>
      </c>
      <c r="F14" s="10">
        <f t="shared" si="0"/>
        <v>0.12</v>
      </c>
      <c r="G14" s="10">
        <f t="shared" si="1"/>
        <v>-2.7102542392757733E-2</v>
      </c>
      <c r="I14" s="13">
        <v>0.12</v>
      </c>
      <c r="J14" s="2">
        <v>2199089.3671999993</v>
      </c>
      <c r="L14" s="13">
        <v>0.12</v>
      </c>
      <c r="M14" s="2">
        <v>-59600.912800000755</v>
      </c>
    </row>
    <row r="15" spans="1:13" x14ac:dyDescent="0.3">
      <c r="A15" s="13">
        <v>0.13</v>
      </c>
      <c r="B15" s="2">
        <v>1973058.2186999985</v>
      </c>
      <c r="C15" s="2">
        <v>-55514.321300001277</v>
      </c>
      <c r="F15" s="10">
        <f t="shared" si="0"/>
        <v>0.13</v>
      </c>
      <c r="G15" s="10">
        <f t="shared" si="1"/>
        <v>-2.8136180054827958E-2</v>
      </c>
      <c r="I15" s="13">
        <v>0.13</v>
      </c>
      <c r="J15" s="2">
        <v>1973058.2186999985</v>
      </c>
      <c r="L15" s="13">
        <v>0.13</v>
      </c>
      <c r="M15" s="2">
        <v>-55514.321300001277</v>
      </c>
    </row>
    <row r="16" spans="1:13" x14ac:dyDescent="0.3">
      <c r="A16" s="13">
        <v>0.14000000000000001</v>
      </c>
      <c r="B16" s="2">
        <v>1979860.8249999988</v>
      </c>
      <c r="C16" s="2">
        <v>-103647.15500000126</v>
      </c>
      <c r="F16" s="10">
        <f t="shared" si="0"/>
        <v>0.14000000000000001</v>
      </c>
      <c r="G16" s="10">
        <f t="shared" si="1"/>
        <v>-5.2350727733602852E-2</v>
      </c>
      <c r="I16" s="13">
        <v>0.14000000000000001</v>
      </c>
      <c r="J16" s="2">
        <v>1979860.8249999988</v>
      </c>
      <c r="L16" s="13">
        <v>0.14000000000000001</v>
      </c>
      <c r="M16" s="2">
        <v>-103647.15500000126</v>
      </c>
    </row>
    <row r="17" spans="1:13" x14ac:dyDescent="0.3">
      <c r="A17" s="13">
        <v>0.15</v>
      </c>
      <c r="B17" s="2">
        <v>1351263.2834999999</v>
      </c>
      <c r="C17" s="2">
        <v>-76344.40650000023</v>
      </c>
      <c r="F17" s="10">
        <f t="shared" si="0"/>
        <v>0.15</v>
      </c>
      <c r="G17" s="10">
        <f t="shared" si="1"/>
        <v>-5.649854283190122E-2</v>
      </c>
      <c r="I17" s="13">
        <v>0.15</v>
      </c>
      <c r="J17" s="2">
        <v>1351263.2834999999</v>
      </c>
      <c r="L17" s="13">
        <v>0.15</v>
      </c>
      <c r="M17" s="2">
        <v>-76344.40650000023</v>
      </c>
    </row>
    <row r="18" spans="1:13" x14ac:dyDescent="0.3">
      <c r="A18" s="13">
        <v>0.16</v>
      </c>
      <c r="B18" s="2">
        <v>1321676.9915999991</v>
      </c>
      <c r="C18" s="2">
        <v>-136985.13840000061</v>
      </c>
      <c r="F18" s="10">
        <f t="shared" si="0"/>
        <v>0.16</v>
      </c>
      <c r="G18" s="10">
        <f t="shared" si="1"/>
        <v>-0.10364494446874556</v>
      </c>
      <c r="I18" s="13">
        <v>0.16</v>
      </c>
      <c r="J18" s="2">
        <v>1321676.9915999991</v>
      </c>
      <c r="L18" s="13">
        <v>0.16</v>
      </c>
      <c r="M18" s="2">
        <v>-136985.13840000061</v>
      </c>
    </row>
    <row r="19" spans="1:13" x14ac:dyDescent="0.3">
      <c r="A19" s="13">
        <v>0.17</v>
      </c>
      <c r="B19" s="2">
        <v>2160697.3007999994</v>
      </c>
      <c r="C19" s="2">
        <v>-208410.41920000088</v>
      </c>
      <c r="F19" s="10">
        <f t="shared" si="0"/>
        <v>0.17</v>
      </c>
      <c r="G19" s="10">
        <f t="shared" si="1"/>
        <v>-9.645516709945294E-2</v>
      </c>
      <c r="I19" s="13">
        <v>0.17</v>
      </c>
      <c r="J19" s="2">
        <v>2160697.3007999994</v>
      </c>
      <c r="L19" s="13">
        <v>0.17</v>
      </c>
      <c r="M19" s="2">
        <v>-208410.41920000088</v>
      </c>
    </row>
    <row r="20" spans="1:13" x14ac:dyDescent="0.3">
      <c r="A20" s="13">
        <v>0.18</v>
      </c>
      <c r="B20" s="2">
        <v>1642641.0969999991</v>
      </c>
      <c r="C20" s="2">
        <v>-141236.46300000069</v>
      </c>
      <c r="F20" s="10">
        <f t="shared" si="0"/>
        <v>0.18</v>
      </c>
      <c r="G20" s="10">
        <f t="shared" si="1"/>
        <v>-8.5981328031999649E-2</v>
      </c>
      <c r="I20" s="13">
        <v>0.18</v>
      </c>
      <c r="J20" s="2">
        <v>1642641.0969999991</v>
      </c>
      <c r="L20" s="13">
        <v>0.18</v>
      </c>
      <c r="M20" s="2">
        <v>-141236.46300000069</v>
      </c>
    </row>
    <row r="21" spans="1:13" x14ac:dyDescent="0.3">
      <c r="A21" s="13">
        <v>0.19</v>
      </c>
      <c r="B21" s="2">
        <v>1884128.2344000004</v>
      </c>
      <c r="C21" s="2">
        <v>-266281.72559999989</v>
      </c>
      <c r="F21" s="10">
        <f t="shared" si="0"/>
        <v>0.19</v>
      </c>
      <c r="G21" s="10">
        <f t="shared" si="1"/>
        <v>-0.14132887599595745</v>
      </c>
      <c r="I21" s="13">
        <v>0.19</v>
      </c>
      <c r="J21" s="2">
        <v>1884128.2344000004</v>
      </c>
      <c r="L21" s="13">
        <v>0.19</v>
      </c>
      <c r="M21" s="2">
        <v>-266281.72559999989</v>
      </c>
    </row>
    <row r="22" spans="1:13" x14ac:dyDescent="0.3">
      <c r="A22" s="13">
        <v>0.2</v>
      </c>
      <c r="B22" s="2">
        <v>1860254.0239999995</v>
      </c>
      <c r="C22" s="2">
        <v>-271860.20600000059</v>
      </c>
      <c r="F22" s="10">
        <f t="shared" si="0"/>
        <v>0.2</v>
      </c>
      <c r="G22" s="10">
        <f t="shared" si="1"/>
        <v>-0.14614144223993392</v>
      </c>
      <c r="I22" s="13">
        <v>0.2</v>
      </c>
      <c r="J22" s="2">
        <v>1860254.0239999995</v>
      </c>
      <c r="L22" s="13">
        <v>0.2</v>
      </c>
      <c r="M22" s="2">
        <v>-271860.20600000059</v>
      </c>
    </row>
    <row r="23" spans="1:13" x14ac:dyDescent="0.3">
      <c r="A23" s="13">
        <v>0.21</v>
      </c>
      <c r="B23" s="2">
        <v>2038421.7845999983</v>
      </c>
      <c r="C23" s="2">
        <v>-338558.41540000122</v>
      </c>
      <c r="F23" s="10">
        <f t="shared" si="0"/>
        <v>0.21</v>
      </c>
      <c r="G23" s="10">
        <f t="shared" si="1"/>
        <v>-0.16608849942527321</v>
      </c>
      <c r="I23" s="13">
        <v>0.21</v>
      </c>
      <c r="J23" s="2">
        <v>2038421.7845999983</v>
      </c>
      <c r="L23" s="13">
        <v>0.21</v>
      </c>
      <c r="M23" s="2">
        <v>-338558.41540000122</v>
      </c>
    </row>
    <row r="24" spans="1:13" x14ac:dyDescent="0.3">
      <c r="A24" s="13">
        <v>0.22</v>
      </c>
      <c r="B24" s="2">
        <v>2022074.4725999997</v>
      </c>
      <c r="C24" s="2">
        <v>-307470.01740000042</v>
      </c>
      <c r="F24" s="10">
        <f t="shared" si="0"/>
        <v>0.22</v>
      </c>
      <c r="G24" s="10">
        <f t="shared" si="1"/>
        <v>-0.15205672272033235</v>
      </c>
      <c r="I24" s="13">
        <v>0.22</v>
      </c>
      <c r="J24" s="2">
        <v>2022074.4725999997</v>
      </c>
      <c r="L24" s="13">
        <v>0.22</v>
      </c>
      <c r="M24" s="2">
        <v>-307470.01740000042</v>
      </c>
    </row>
    <row r="25" spans="1:13" x14ac:dyDescent="0.3">
      <c r="A25" s="13">
        <v>0.23</v>
      </c>
      <c r="B25" s="2">
        <v>1451595.6762999997</v>
      </c>
      <c r="C25" s="2">
        <v>-262908.35370000062</v>
      </c>
      <c r="F25" s="10">
        <f t="shared" si="0"/>
        <v>0.23</v>
      </c>
      <c r="G25" s="10">
        <f t="shared" si="1"/>
        <v>-0.18111679305227252</v>
      </c>
      <c r="I25" s="13">
        <v>0.23</v>
      </c>
      <c r="J25" s="2">
        <v>1451595.6762999997</v>
      </c>
      <c r="L25" s="13">
        <v>0.23</v>
      </c>
      <c r="M25" s="2">
        <v>-262908.35370000062</v>
      </c>
    </row>
    <row r="26" spans="1:13" x14ac:dyDescent="0.3">
      <c r="A26" s="13">
        <v>0.24</v>
      </c>
      <c r="B26" s="2">
        <v>2383445.4087999989</v>
      </c>
      <c r="C26" s="2">
        <v>-455539.261200001</v>
      </c>
      <c r="F26" s="10">
        <f t="shared" si="0"/>
        <v>0.24</v>
      </c>
      <c r="G26" s="10">
        <f t="shared" si="1"/>
        <v>-0.19112636669507477</v>
      </c>
      <c r="I26" s="13">
        <v>0.24</v>
      </c>
      <c r="J26" s="2">
        <v>2383445.4087999989</v>
      </c>
      <c r="L26" s="13">
        <v>0.24</v>
      </c>
      <c r="M26" s="2">
        <v>-455539.261200001</v>
      </c>
    </row>
    <row r="27" spans="1:13" x14ac:dyDescent="0.3">
      <c r="A27" s="13">
        <v>0.25</v>
      </c>
      <c r="B27" s="2">
        <v>2486133.0300000003</v>
      </c>
      <c r="C27" s="2">
        <v>-563796.92000000051</v>
      </c>
      <c r="F27" s="10">
        <f t="shared" si="0"/>
        <v>0.25</v>
      </c>
      <c r="G27" s="10">
        <f t="shared" si="1"/>
        <v>-0.22677665000090541</v>
      </c>
      <c r="I27" s="13">
        <v>0.25</v>
      </c>
      <c r="J27" s="2">
        <v>2486133.0300000003</v>
      </c>
      <c r="L27" s="13">
        <v>0.25</v>
      </c>
      <c r="M27" s="2">
        <v>-563796.92000000051</v>
      </c>
    </row>
    <row r="28" spans="1:13" x14ac:dyDescent="0.3">
      <c r="A28" s="13">
        <v>0.26</v>
      </c>
      <c r="B28" s="2">
        <v>1716555.0452000003</v>
      </c>
      <c r="C28" s="2">
        <v>-378562.89480000013</v>
      </c>
      <c r="F28" s="10">
        <f t="shared" si="0"/>
        <v>0.26</v>
      </c>
      <c r="G28" s="10">
        <f t="shared" si="1"/>
        <v>-0.22053641440661914</v>
      </c>
      <c r="I28" s="13">
        <v>0.26</v>
      </c>
      <c r="J28" s="2">
        <v>1716555.0452000003</v>
      </c>
      <c r="L28" s="13">
        <v>0.26</v>
      </c>
      <c r="M28" s="2">
        <v>-378562.89480000013</v>
      </c>
    </row>
    <row r="29" spans="1:13" x14ac:dyDescent="0.3">
      <c r="A29" s="13">
        <v>0.27</v>
      </c>
      <c r="B29" s="2">
        <v>1935100.0453999988</v>
      </c>
      <c r="C29" s="2">
        <v>-483550.19460000109</v>
      </c>
      <c r="F29" s="10">
        <f t="shared" si="0"/>
        <v>0.27</v>
      </c>
      <c r="G29" s="10">
        <f t="shared" si="1"/>
        <v>-0.24988382163985112</v>
      </c>
      <c r="I29" s="13">
        <v>0.27</v>
      </c>
      <c r="J29" s="2">
        <v>1935100.0453999988</v>
      </c>
      <c r="L29" s="13">
        <v>0.27</v>
      </c>
      <c r="M29" s="2">
        <v>-483550.19460000109</v>
      </c>
    </row>
    <row r="30" spans="1:13" x14ac:dyDescent="0.3">
      <c r="A30" s="13">
        <v>0.28000000000000003</v>
      </c>
      <c r="B30" s="2">
        <v>1275694.8047999998</v>
      </c>
      <c r="C30" s="2">
        <v>-325705.55520000012</v>
      </c>
      <c r="F30" s="10">
        <f t="shared" si="0"/>
        <v>0.28000000000000003</v>
      </c>
      <c r="G30" s="10">
        <f t="shared" si="1"/>
        <v>-0.2553162041379195</v>
      </c>
      <c r="I30" s="13">
        <v>0.28000000000000003</v>
      </c>
      <c r="J30" s="2">
        <v>1275694.8047999998</v>
      </c>
      <c r="L30" s="13">
        <v>0.28000000000000003</v>
      </c>
      <c r="M30" s="2">
        <v>-325705.55520000012</v>
      </c>
    </row>
    <row r="31" spans="1:13" x14ac:dyDescent="0.3">
      <c r="A31" s="13">
        <v>0.28999999999999998</v>
      </c>
      <c r="B31" s="2">
        <v>1657714.7308</v>
      </c>
      <c r="C31" s="2">
        <v>-439978.30920000037</v>
      </c>
      <c r="F31" s="10">
        <f t="shared" si="0"/>
        <v>0.28999999999999998</v>
      </c>
      <c r="G31" s="10">
        <f t="shared" si="1"/>
        <v>-0.26541255924514245</v>
      </c>
      <c r="I31" s="13">
        <v>0.28999999999999998</v>
      </c>
      <c r="J31" s="2">
        <v>1657714.7308</v>
      </c>
      <c r="L31" s="13">
        <v>0.28999999999999998</v>
      </c>
      <c r="M31" s="2">
        <v>-439978.30920000037</v>
      </c>
    </row>
    <row r="32" spans="1:13" x14ac:dyDescent="0.3">
      <c r="A32" s="13">
        <v>0.3</v>
      </c>
      <c r="B32" s="2">
        <v>940645.46099999989</v>
      </c>
      <c r="C32" s="2">
        <v>-277019.25900000002</v>
      </c>
      <c r="F32" s="10">
        <f t="shared" si="0"/>
        <v>0.3</v>
      </c>
      <c r="G32" s="10">
        <f t="shared" si="1"/>
        <v>-0.29449911840907722</v>
      </c>
      <c r="I32" s="13">
        <v>0.3</v>
      </c>
      <c r="J32" s="2">
        <v>940645.46099999989</v>
      </c>
      <c r="L32" s="13">
        <v>0.3</v>
      </c>
      <c r="M32" s="2">
        <v>-277019.25900000002</v>
      </c>
    </row>
    <row r="33" spans="1:3" x14ac:dyDescent="0.3">
      <c r="A33" s="13" t="s">
        <v>69</v>
      </c>
      <c r="B33" s="2">
        <v>59686173.283699974</v>
      </c>
      <c r="C33" s="2">
        <v>-4155920.3563000225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C5FD8-D76E-46DB-8065-FA8477225212}">
  <dimension ref="A1:H10"/>
  <sheetViews>
    <sheetView workbookViewId="0">
      <selection activeCell="A7" sqref="A7:C8"/>
    </sheetView>
  </sheetViews>
  <sheetFormatPr defaultRowHeight="14.4" x14ac:dyDescent="0.3"/>
  <cols>
    <col min="1" max="1" width="12.5546875" customWidth="1"/>
    <col min="2" max="2" width="18.44140625" customWidth="1"/>
    <col min="3" max="3" width="19.5546875" customWidth="1"/>
    <col min="4" max="4" width="12.6640625" customWidth="1"/>
    <col min="5" max="5" width="19.6640625" customWidth="1"/>
    <col min="6" max="6" width="11.5546875" style="10" customWidth="1"/>
  </cols>
  <sheetData>
    <row r="1" spans="1:8" x14ac:dyDescent="0.3">
      <c r="A1" s="7" t="s">
        <v>68</v>
      </c>
      <c r="B1" t="s">
        <v>80</v>
      </c>
      <c r="C1" t="s">
        <v>70</v>
      </c>
      <c r="D1" t="s">
        <v>71</v>
      </c>
      <c r="E1" t="s">
        <v>72</v>
      </c>
      <c r="F1" s="10" t="s">
        <v>81</v>
      </c>
    </row>
    <row r="2" spans="1:8" x14ac:dyDescent="0.3">
      <c r="A2" s="8" t="s">
        <v>79</v>
      </c>
      <c r="B2" s="2">
        <v>604</v>
      </c>
      <c r="C2" s="2">
        <v>40284214.296900004</v>
      </c>
      <c r="D2" s="2">
        <v>-5952257.473100015</v>
      </c>
      <c r="E2" s="2">
        <v>15449</v>
      </c>
      <c r="F2" s="10">
        <f>D2/C2</f>
        <v>-0.14775657356082678</v>
      </c>
    </row>
    <row r="3" spans="1:8" x14ac:dyDescent="0.3">
      <c r="A3" s="8" t="s">
        <v>54</v>
      </c>
      <c r="B3" s="2">
        <v>396</v>
      </c>
      <c r="C3" s="2">
        <v>19401958.986799993</v>
      </c>
      <c r="D3" s="2">
        <v>1796337.1167999902</v>
      </c>
      <c r="E3" s="2">
        <v>9906</v>
      </c>
      <c r="F3" s="10">
        <f t="shared" ref="F3:F4" si="0">D3/C3</f>
        <v>9.2585347594133019E-2</v>
      </c>
    </row>
    <row r="4" spans="1:8" x14ac:dyDescent="0.3">
      <c r="A4" s="8" t="s">
        <v>69</v>
      </c>
      <c r="B4" s="2">
        <v>1000</v>
      </c>
      <c r="C4" s="2">
        <v>59686173.283699997</v>
      </c>
      <c r="D4" s="2">
        <v>-4155920.3563000248</v>
      </c>
      <c r="E4" s="2">
        <v>25355</v>
      </c>
      <c r="F4" s="10">
        <f t="shared" si="0"/>
        <v>-6.962953273191308E-2</v>
      </c>
    </row>
    <row r="7" spans="1:8" x14ac:dyDescent="0.3">
      <c r="A7" s="8" t="s">
        <v>79</v>
      </c>
      <c r="B7" s="2">
        <v>604</v>
      </c>
      <c r="C7" s="2">
        <v>40284214.296900004</v>
      </c>
      <c r="D7" s="8"/>
    </row>
    <row r="8" spans="1:8" x14ac:dyDescent="0.3">
      <c r="A8" s="8" t="s">
        <v>54</v>
      </c>
      <c r="B8" s="2">
        <v>396</v>
      </c>
      <c r="C8" s="2">
        <v>19401958.986799993</v>
      </c>
      <c r="D8" s="8"/>
    </row>
    <row r="9" spans="1:8" x14ac:dyDescent="0.3">
      <c r="F9" s="8" t="s">
        <v>79</v>
      </c>
      <c r="G9" s="2">
        <v>604</v>
      </c>
      <c r="H9" s="2">
        <v>-5952257.473100015</v>
      </c>
    </row>
    <row r="10" spans="1:8" x14ac:dyDescent="0.3">
      <c r="F10" s="8" t="s">
        <v>54</v>
      </c>
      <c r="G10" s="2">
        <v>396</v>
      </c>
      <c r="H10" s="2">
        <v>1796337.1167999902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50A9-8D52-4E82-BF84-E76B4C087E00}">
  <dimension ref="A3:B6"/>
  <sheetViews>
    <sheetView workbookViewId="0">
      <selection activeCell="J16" sqref="J16"/>
    </sheetView>
  </sheetViews>
  <sheetFormatPr defaultRowHeight="14.4" x14ac:dyDescent="0.3"/>
  <cols>
    <col min="1" max="1" width="12.5546875" customWidth="1"/>
    <col min="2" max="2" width="18.109375" customWidth="1"/>
  </cols>
  <sheetData>
    <row r="3" spans="1:2" x14ac:dyDescent="0.3">
      <c r="A3" s="7" t="s">
        <v>68</v>
      </c>
      <c r="B3" t="s">
        <v>82</v>
      </c>
    </row>
    <row r="4" spans="1:2" x14ac:dyDescent="0.3">
      <c r="A4" s="8" t="s">
        <v>79</v>
      </c>
      <c r="B4" s="2">
        <v>0.18831125827814563</v>
      </c>
    </row>
    <row r="5" spans="1:2" x14ac:dyDescent="0.3">
      <c r="A5" s="8" t="s">
        <v>54</v>
      </c>
      <c r="B5" s="2">
        <v>9.7601010101010202E-2</v>
      </c>
    </row>
    <row r="6" spans="1:2" x14ac:dyDescent="0.3">
      <c r="A6" s="8" t="s">
        <v>69</v>
      </c>
      <c r="B6" s="2">
        <v>0.15238999999999991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216F-F8F9-481B-B0E6-91C0225ABEE2}">
  <dimension ref="A1:G10"/>
  <sheetViews>
    <sheetView workbookViewId="0">
      <selection activeCell="K15" sqref="K15"/>
    </sheetView>
  </sheetViews>
  <sheetFormatPr defaultRowHeight="14.4" x14ac:dyDescent="0.3"/>
  <cols>
    <col min="1" max="1" width="14.44140625" customWidth="1"/>
    <col min="2" max="2" width="18.44140625" customWidth="1"/>
    <col min="3" max="3" width="19.5546875" customWidth="1"/>
    <col min="4" max="4" width="12.6640625" customWidth="1"/>
    <col min="5" max="5" width="19.6640625" customWidth="1"/>
    <col min="6" max="6" width="18.44140625" customWidth="1"/>
    <col min="7" max="7" width="12.6640625" customWidth="1"/>
  </cols>
  <sheetData>
    <row r="1" spans="1:7" x14ac:dyDescent="0.3">
      <c r="A1" s="7" t="s">
        <v>68</v>
      </c>
      <c r="B1" t="s">
        <v>80</v>
      </c>
      <c r="C1" t="s">
        <v>70</v>
      </c>
      <c r="D1" t="s">
        <v>71</v>
      </c>
      <c r="E1" t="s">
        <v>72</v>
      </c>
    </row>
    <row r="2" spans="1:7" x14ac:dyDescent="0.3">
      <c r="A2" s="8" t="s">
        <v>86</v>
      </c>
      <c r="B2" s="2">
        <v>604</v>
      </c>
      <c r="C2" s="2">
        <v>40284214.296900004</v>
      </c>
      <c r="D2" s="2">
        <v>-5952257.473100015</v>
      </c>
      <c r="E2" s="2">
        <v>15449</v>
      </c>
    </row>
    <row r="3" spans="1:7" x14ac:dyDescent="0.3">
      <c r="A3" s="8" t="s">
        <v>87</v>
      </c>
      <c r="B3" s="2">
        <v>396</v>
      </c>
      <c r="C3" s="2">
        <v>19401958.986799993</v>
      </c>
      <c r="D3" s="2">
        <v>1796337.1167999902</v>
      </c>
      <c r="E3" s="2">
        <v>9906</v>
      </c>
    </row>
    <row r="4" spans="1:7" x14ac:dyDescent="0.3">
      <c r="A4" s="8" t="s">
        <v>69</v>
      </c>
      <c r="B4" s="2">
        <v>1000</v>
      </c>
      <c r="C4" s="2">
        <v>59686173.283699997</v>
      </c>
      <c r="D4" s="2">
        <v>-4155920.3563000248</v>
      </c>
      <c r="E4" s="2">
        <v>25355</v>
      </c>
    </row>
    <row r="8" spans="1:7" x14ac:dyDescent="0.3">
      <c r="A8" s="9" t="s">
        <v>68</v>
      </c>
      <c r="B8" s="9" t="s">
        <v>80</v>
      </c>
      <c r="C8" s="9" t="s">
        <v>70</v>
      </c>
      <c r="E8" s="9" t="s">
        <v>68</v>
      </c>
      <c r="F8" s="9" t="s">
        <v>80</v>
      </c>
      <c r="G8" s="9" t="s">
        <v>71</v>
      </c>
    </row>
    <row r="9" spans="1:7" x14ac:dyDescent="0.3">
      <c r="A9" s="8" t="s">
        <v>86</v>
      </c>
      <c r="B9" s="2">
        <v>604</v>
      </c>
      <c r="C9" s="2">
        <v>40284214.296900004</v>
      </c>
      <c r="E9" s="8" t="s">
        <v>86</v>
      </c>
      <c r="F9" s="2">
        <v>604</v>
      </c>
      <c r="G9" s="2">
        <v>-5952257.473100015</v>
      </c>
    </row>
    <row r="10" spans="1:7" x14ac:dyDescent="0.3">
      <c r="A10" s="8" t="s">
        <v>87</v>
      </c>
      <c r="B10" s="2">
        <v>396</v>
      </c>
      <c r="C10" s="2">
        <v>19401958.986799993</v>
      </c>
      <c r="E10" s="8" t="s">
        <v>87</v>
      </c>
      <c r="F10" s="2">
        <v>396</v>
      </c>
      <c r="G10" s="2">
        <v>1796337.1167999902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2B0C-A893-4E38-B95A-A91F7758175D}">
  <dimension ref="A1:E5"/>
  <sheetViews>
    <sheetView workbookViewId="0">
      <selection sqref="A1:E5"/>
    </sheetView>
  </sheetViews>
  <sheetFormatPr defaultRowHeight="14.4" x14ac:dyDescent="0.3"/>
  <cols>
    <col min="1" max="1" width="12.5546875" customWidth="1"/>
    <col min="2" max="2" width="19.5546875" customWidth="1"/>
    <col min="3" max="3" width="12.6640625" customWidth="1"/>
    <col min="4" max="4" width="19.6640625" customWidth="1"/>
    <col min="5" max="5" width="12.6640625" style="10" customWidth="1"/>
  </cols>
  <sheetData>
    <row r="1" spans="1:5" x14ac:dyDescent="0.3">
      <c r="A1" s="7" t="s">
        <v>68</v>
      </c>
      <c r="B1" t="s">
        <v>70</v>
      </c>
      <c r="C1" t="s">
        <v>71</v>
      </c>
      <c r="D1" t="s">
        <v>72</v>
      </c>
      <c r="E1" s="10" t="s">
        <v>63</v>
      </c>
    </row>
    <row r="2" spans="1:5" x14ac:dyDescent="0.3">
      <c r="A2" s="8" t="s">
        <v>26</v>
      </c>
      <c r="B2" s="2">
        <v>20913818.667900011</v>
      </c>
      <c r="C2" s="2">
        <v>-1516259.5621000095</v>
      </c>
      <c r="D2" s="2">
        <v>8696</v>
      </c>
      <c r="E2" s="10">
        <f>C2/GETPIVOTDATA("Sum of Sales_amount",$A$1,"Payment_Method","Bank Transfer")</f>
        <v>-7.2500368592526371E-2</v>
      </c>
    </row>
    <row r="3" spans="1:5" x14ac:dyDescent="0.3">
      <c r="A3" s="8" t="s">
        <v>17</v>
      </c>
      <c r="B3" s="2">
        <v>18835408.509199992</v>
      </c>
      <c r="C3" s="2">
        <v>-1241809.2708000087</v>
      </c>
      <c r="D3" s="2">
        <v>8218</v>
      </c>
      <c r="E3" s="10">
        <f>C3/GETPIVOTDATA("Sum of Sales_amount",$A$1,"Payment_Method","Bank Transfer")</f>
        <v>-5.9377452320843932E-2</v>
      </c>
    </row>
    <row r="4" spans="1:5" x14ac:dyDescent="0.3">
      <c r="A4" s="8" t="s">
        <v>30</v>
      </c>
      <c r="B4" s="2">
        <v>19936946.106599994</v>
      </c>
      <c r="C4" s="2">
        <v>-1397851.523400004</v>
      </c>
      <c r="D4" s="2">
        <v>8441</v>
      </c>
      <c r="E4" s="10">
        <f>C4/GETPIVOTDATA("Sum of Sales_amount",$A$1,"Payment_Method","Bank Transfer")</f>
        <v>-6.6838655608386061E-2</v>
      </c>
    </row>
    <row r="5" spans="1:5" x14ac:dyDescent="0.3">
      <c r="A5" s="8" t="s">
        <v>69</v>
      </c>
      <c r="B5" s="2">
        <v>59686173.283699997</v>
      </c>
      <c r="C5" s="2">
        <v>-4155920.3563000225</v>
      </c>
      <c r="D5" s="2">
        <v>25355</v>
      </c>
      <c r="E5" s="10">
        <f>C5/GETPIVOTDATA("Sum of Sales_amount",$A$1,"Payment_Method","Bank Transfer")</f>
        <v>-0.19871647652175636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BF12F-AA4C-4312-9C4A-956F250362A3}">
  <dimension ref="A1:F14"/>
  <sheetViews>
    <sheetView workbookViewId="0">
      <selection activeCell="B9" sqref="B2:B14"/>
      <pivotSelection pane="bottomRight" showHeader="1" dimension="1" activeRow="8" activeCol="1" click="1" r:id="rId1">
        <pivotArea dataOnly="0" labelOnly="1" outline="0" fieldPosition="0">
          <references count="1">
            <reference field="1" count="0"/>
          </references>
        </pivotArea>
      </pivotSelection>
    </sheetView>
  </sheetViews>
  <sheetFormatPr defaultRowHeight="14.4" x14ac:dyDescent="0.3"/>
  <cols>
    <col min="1" max="1" width="12.5546875" customWidth="1"/>
    <col min="2" max="2" width="11.5546875" customWidth="1"/>
    <col min="3" max="3" width="19.5546875" customWidth="1"/>
    <col min="4" max="4" width="12.6640625" customWidth="1"/>
    <col min="5" max="5" width="19.6640625" customWidth="1"/>
    <col min="6" max="6" width="11.6640625" style="10" customWidth="1"/>
  </cols>
  <sheetData>
    <row r="1" spans="1:6" x14ac:dyDescent="0.3">
      <c r="A1" s="7" t="s">
        <v>99</v>
      </c>
      <c r="B1" s="7" t="s">
        <v>1</v>
      </c>
      <c r="C1" t="s">
        <v>70</v>
      </c>
      <c r="D1" t="s">
        <v>71</v>
      </c>
      <c r="F1" s="10" t="s">
        <v>63</v>
      </c>
    </row>
    <row r="2" spans="1:6" x14ac:dyDescent="0.3">
      <c r="A2" t="s">
        <v>88</v>
      </c>
      <c r="B2" s="1" t="s">
        <v>89</v>
      </c>
      <c r="C2" s="2">
        <v>5111669.9625999946</v>
      </c>
      <c r="D2" s="2">
        <v>-367957.63740000298</v>
      </c>
      <c r="F2" s="10">
        <f>D2/C2</f>
        <v>-7.1983840915434485E-2</v>
      </c>
    </row>
    <row r="3" spans="1:6" x14ac:dyDescent="0.3">
      <c r="A3" t="s">
        <v>88</v>
      </c>
      <c r="B3" s="1" t="s">
        <v>90</v>
      </c>
      <c r="C3" s="2">
        <v>4518199.6369999992</v>
      </c>
      <c r="D3" s="2">
        <v>-454291.16300000116</v>
      </c>
      <c r="F3" s="10">
        <f t="shared" ref="F3:F15" si="0">D3/C3</f>
        <v>-0.10054694336207819</v>
      </c>
    </row>
    <row r="4" spans="1:6" x14ac:dyDescent="0.3">
      <c r="A4" t="s">
        <v>88</v>
      </c>
      <c r="B4" s="1" t="s">
        <v>91</v>
      </c>
      <c r="C4" s="2">
        <v>4878261.7866999982</v>
      </c>
      <c r="D4" s="2">
        <v>-432892.57330000179</v>
      </c>
      <c r="F4" s="10">
        <f t="shared" si="0"/>
        <v>-8.873910262057523E-2</v>
      </c>
    </row>
    <row r="5" spans="1:6" x14ac:dyDescent="0.3">
      <c r="A5" t="s">
        <v>88</v>
      </c>
      <c r="B5" s="1" t="s">
        <v>92</v>
      </c>
      <c r="C5" s="2">
        <v>5296111.9988999991</v>
      </c>
      <c r="D5" s="2">
        <v>-240457.03110000223</v>
      </c>
      <c r="F5" s="10">
        <f t="shared" si="0"/>
        <v>-4.5402557791441173E-2</v>
      </c>
    </row>
    <row r="6" spans="1:6" x14ac:dyDescent="0.3">
      <c r="A6" t="s">
        <v>88</v>
      </c>
      <c r="B6" s="1" t="s">
        <v>93</v>
      </c>
      <c r="C6" s="2">
        <v>4003580.3107999968</v>
      </c>
      <c r="D6" s="2">
        <v>-300173.34920000163</v>
      </c>
      <c r="F6" s="10">
        <f t="shared" si="0"/>
        <v>-7.4976227750510868E-2</v>
      </c>
    </row>
    <row r="7" spans="1:6" x14ac:dyDescent="0.3">
      <c r="A7" t="s">
        <v>88</v>
      </c>
      <c r="B7" s="1" t="s">
        <v>94</v>
      </c>
      <c r="C7" s="2">
        <v>5724989.7415000005</v>
      </c>
      <c r="D7" s="2">
        <v>-432783.17850000091</v>
      </c>
      <c r="F7" s="10">
        <f t="shared" si="0"/>
        <v>-7.5595450479638365E-2</v>
      </c>
    </row>
    <row r="8" spans="1:6" x14ac:dyDescent="0.3">
      <c r="A8" t="s">
        <v>88</v>
      </c>
      <c r="B8" s="1" t="s">
        <v>95</v>
      </c>
      <c r="C8" s="2">
        <v>3835193.0909999977</v>
      </c>
      <c r="D8" s="2">
        <v>-248881.9690000019</v>
      </c>
      <c r="F8" s="10">
        <f t="shared" si="0"/>
        <v>-6.4894247328524418E-2</v>
      </c>
    </row>
    <row r="9" spans="1:6" x14ac:dyDescent="0.3">
      <c r="A9" t="s">
        <v>88</v>
      </c>
      <c r="B9" s="1" t="s">
        <v>96</v>
      </c>
      <c r="C9" s="2">
        <v>5678169.6189999972</v>
      </c>
      <c r="D9" s="2">
        <v>-297756.94100000168</v>
      </c>
      <c r="F9" s="10">
        <f t="shared" si="0"/>
        <v>-5.2438895098107466E-2</v>
      </c>
    </row>
    <row r="10" spans="1:6" x14ac:dyDescent="0.3">
      <c r="A10" t="s">
        <v>88</v>
      </c>
      <c r="B10" s="1" t="s">
        <v>97</v>
      </c>
      <c r="C10" s="2">
        <v>4157584.6568999961</v>
      </c>
      <c r="D10" s="2">
        <v>-243533.47310000204</v>
      </c>
      <c r="F10" s="10">
        <f t="shared" si="0"/>
        <v>-5.8575709984841767E-2</v>
      </c>
    </row>
    <row r="11" spans="1:6" x14ac:dyDescent="0.3">
      <c r="A11" t="s">
        <v>88</v>
      </c>
      <c r="B11" s="1" t="s">
        <v>98</v>
      </c>
      <c r="C11" s="2">
        <v>5398212.0220000017</v>
      </c>
      <c r="D11" s="2">
        <v>-261633.21800000226</v>
      </c>
      <c r="F11" s="10">
        <f t="shared" si="0"/>
        <v>-4.8466643572674807E-2</v>
      </c>
    </row>
    <row r="12" spans="1:6" x14ac:dyDescent="0.3">
      <c r="A12" t="s">
        <v>69</v>
      </c>
      <c r="C12" s="2">
        <v>48601972.826399982</v>
      </c>
      <c r="D12" s="2">
        <v>-3280360.5336000184</v>
      </c>
      <c r="F12" s="10">
        <f t="shared" si="0"/>
        <v>-6.7494390512028102E-2</v>
      </c>
    </row>
    <row r="13" spans="1:6" x14ac:dyDescent="0.3">
      <c r="F13" s="10" t="e">
        <f t="shared" si="0"/>
        <v>#DIV/0!</v>
      </c>
    </row>
    <row r="14" spans="1:6" x14ac:dyDescent="0.3">
      <c r="F14" s="10" t="e">
        <f t="shared" si="0"/>
        <v>#DIV/0!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zoomScale="85" zoomScaleNormal="85" workbookViewId="0">
      <pane ySplit="1" topLeftCell="A2" activePane="bottomLeft" state="frozen"/>
      <selection activeCell="G1" sqref="G1"/>
      <selection pane="bottomLeft" activeCell="F15" sqref="F15"/>
    </sheetView>
  </sheetViews>
  <sheetFormatPr defaultRowHeight="14.4" x14ac:dyDescent="0.3"/>
  <cols>
    <col min="1" max="1" width="12.33203125" customWidth="1"/>
    <col min="2" max="2" width="11.21875" style="1" customWidth="1"/>
    <col min="3" max="3" width="11.33203125" customWidth="1"/>
    <col min="4" max="4" width="8.6640625" customWidth="1"/>
    <col min="5" max="5" width="14.88671875" customWidth="1"/>
    <col min="6" max="6" width="18.109375" customWidth="1"/>
    <col min="7" max="7" width="11.109375" customWidth="1"/>
    <col min="8" max="8" width="11.5546875" customWidth="1"/>
    <col min="9" max="9" width="16.109375" customWidth="1"/>
    <col min="10" max="10" width="10.21875" style="2" customWidth="1"/>
    <col min="11" max="11" width="18.21875" customWidth="1"/>
    <col min="12" max="12" width="15" customWidth="1"/>
    <col min="13" max="13" width="22.33203125" customWidth="1"/>
    <col min="14" max="14" width="12.109375" customWidth="1"/>
    <col min="16" max="16" width="16.21875" customWidth="1"/>
    <col min="17" max="17" width="11.6640625" customWidth="1"/>
    <col min="19" max="19" width="14.77734375" customWidth="1"/>
    <col min="20" max="20" width="23" style="10" customWidth="1"/>
    <col min="21" max="21" width="21.6640625" customWidth="1"/>
    <col min="22" max="22" width="15.21875" customWidth="1"/>
    <col min="23" max="23" width="21.77734375" customWidth="1"/>
    <col min="24" max="24" width="31" customWidth="1"/>
    <col min="25" max="25" width="38.77734375" customWidth="1"/>
  </cols>
  <sheetData>
    <row r="1" spans="1:25" x14ac:dyDescent="0.3">
      <c r="A1" t="s">
        <v>0</v>
      </c>
      <c r="B1" s="1" t="s">
        <v>1</v>
      </c>
      <c r="C1" t="s">
        <v>2</v>
      </c>
      <c r="D1" t="s">
        <v>3</v>
      </c>
      <c r="E1" t="s">
        <v>4</v>
      </c>
      <c r="F1" t="s">
        <v>5</v>
      </c>
      <c r="G1" t="s">
        <v>6</v>
      </c>
      <c r="H1" t="s">
        <v>7</v>
      </c>
      <c r="I1" t="s">
        <v>8</v>
      </c>
      <c r="J1" s="2" t="s">
        <v>9</v>
      </c>
      <c r="K1" t="s">
        <v>10</v>
      </c>
      <c r="L1" t="s">
        <v>11</v>
      </c>
      <c r="M1" t="s">
        <v>12</v>
      </c>
      <c r="N1" t="s">
        <v>53</v>
      </c>
      <c r="O1" t="s">
        <v>55</v>
      </c>
      <c r="P1" t="s">
        <v>56</v>
      </c>
      <c r="Q1" t="s">
        <v>54</v>
      </c>
      <c r="R1" t="s">
        <v>57</v>
      </c>
      <c r="S1" t="s">
        <v>75</v>
      </c>
      <c r="T1" s="10" t="s">
        <v>76</v>
      </c>
      <c r="U1" t="s">
        <v>77</v>
      </c>
      <c r="V1" t="s">
        <v>78</v>
      </c>
      <c r="W1" t="s">
        <v>83</v>
      </c>
      <c r="X1" t="s">
        <v>84</v>
      </c>
      <c r="Y1" t="s">
        <v>85</v>
      </c>
    </row>
    <row r="2" spans="1:25" x14ac:dyDescent="0.3">
      <c r="A2">
        <v>1052</v>
      </c>
      <c r="B2" s="1">
        <v>44960</v>
      </c>
      <c r="C2" t="s">
        <v>13</v>
      </c>
      <c r="D2" t="s">
        <v>14</v>
      </c>
      <c r="E2">
        <v>18</v>
      </c>
      <c r="F2" t="s">
        <v>15</v>
      </c>
      <c r="G2">
        <v>152.75</v>
      </c>
      <c r="H2">
        <v>267.22000000000003</v>
      </c>
      <c r="I2" t="s">
        <v>16</v>
      </c>
      <c r="J2" s="2">
        <v>0.09</v>
      </c>
      <c r="K2" t="s">
        <v>17</v>
      </c>
      <c r="L2" t="s">
        <v>18</v>
      </c>
      <c r="M2" t="s">
        <v>19</v>
      </c>
      <c r="N2">
        <f>SalesData[[#This Row],[Quantity_Sold]]*SalesData[[#This Row],[Unit_Cost]]</f>
        <v>2749.5</v>
      </c>
      <c r="O2">
        <f>SalesData[[#This Row],[Quantity_Sold]]*SalesData[[#This Row],[Unit_Price]]</f>
        <v>4809.9600000000009</v>
      </c>
      <c r="P2">
        <f>SalesData[[#This Row],[Gross_sales]]*(1-SalesData[[#This Row],[Discount]])</f>
        <v>4377.0636000000013</v>
      </c>
      <c r="Q2" s="2">
        <f>SalesData[[#This Row],[Sales_amount]]-SalesData[[#This Row],[Total_Cost]]</f>
        <v>1627.5636000000013</v>
      </c>
      <c r="R2" s="2">
        <f>SalesData[[#This Row],[Profit]]/SalesData[[#This Row],[Sales_amount]]</f>
        <v>0.37183914805350343</v>
      </c>
      <c r="S2" s="2">
        <f>SalesData[[#This Row],[Unit_Price]]-SalesData[[#This Row],[Unit_Cost]]</f>
        <v>114.47000000000003</v>
      </c>
      <c r="T2" s="10">
        <f>SalesData[[#This Row],[Unit_Margin]]/SalesData[[#This Row],[Unit_Price]]</f>
        <v>0.42837362472868801</v>
      </c>
      <c r="U2" s="2" t="str">
        <f>IF(SalesData[[#This Row],[Unit_Margin]]&lt;0, "Negative margin", "Positive margin")</f>
        <v>Positive margin</v>
      </c>
      <c r="V2" s="2" t="str">
        <f>IF(SalesData[[#This Row],[Profit]]&lt;0, "Loss", "Profit")</f>
        <v>Profit</v>
      </c>
      <c r="W2" s="2">
        <f>SalesData[[#This Row],[Unit_Price]]*(1-SalesData[[#This Row],[Discount]])</f>
        <v>243.17020000000002</v>
      </c>
      <c r="X2" s="2">
        <f>SalesData[[#This Row],[Effective_Unit_Price]]-SalesData[[#This Row],[Unit_Cost]]</f>
        <v>90.420200000000023</v>
      </c>
      <c r="Y2" s="2" t="str">
        <f>IF(SalesData[[#This Row],[Effective_Unit_Margin]]&lt;0,"Loss per Unit","Positive per Unit")</f>
        <v>Positive per Unit</v>
      </c>
    </row>
    <row r="3" spans="1:25" x14ac:dyDescent="0.3">
      <c r="A3">
        <v>1093</v>
      </c>
      <c r="B3" s="1">
        <v>45037</v>
      </c>
      <c r="C3" t="s">
        <v>13</v>
      </c>
      <c r="D3" t="s">
        <v>20</v>
      </c>
      <c r="E3">
        <v>17</v>
      </c>
      <c r="F3" t="s">
        <v>15</v>
      </c>
      <c r="G3">
        <v>3816.39</v>
      </c>
      <c r="H3">
        <v>4209.4399999999996</v>
      </c>
      <c r="I3" t="s">
        <v>16</v>
      </c>
      <c r="J3" s="2">
        <v>0.11</v>
      </c>
      <c r="K3" t="s">
        <v>17</v>
      </c>
      <c r="L3" t="s">
        <v>21</v>
      </c>
      <c r="M3" t="s">
        <v>22</v>
      </c>
      <c r="N3">
        <f>SalesData[[#This Row],[Quantity_Sold]]*SalesData[[#This Row],[Unit_Cost]]</f>
        <v>64878.63</v>
      </c>
      <c r="O3">
        <f>SalesData[[#This Row],[Quantity_Sold]]*SalesData[[#This Row],[Unit_Price]]</f>
        <v>71560.479999999996</v>
      </c>
      <c r="P3">
        <f>SalesData[[#This Row],[Gross_sales]]*(1-SalesData[[#This Row],[Discount]])</f>
        <v>63688.8272</v>
      </c>
      <c r="Q3" s="2">
        <f>SalesData[[#This Row],[Sales_amount]]-SalesData[[#This Row],[Total_Cost]]</f>
        <v>-1189.8027999999977</v>
      </c>
      <c r="R3" s="2">
        <f>SalesData[[#This Row],[Profit]]/SalesData[[#This Row],[Sales_amount]]</f>
        <v>-1.8681499602178225E-2</v>
      </c>
      <c r="S3" s="2">
        <f>SalesData[[#This Row],[Unit_Price]]-SalesData[[#This Row],[Unit_Cost]]</f>
        <v>393.04999999999973</v>
      </c>
      <c r="T3" s="10">
        <f>SalesData[[#This Row],[Unit_Margin]]/SalesData[[#This Row],[Unit_Price]]</f>
        <v>9.3373465354061297E-2</v>
      </c>
      <c r="U3" s="2" t="str">
        <f>IF(SalesData[[#This Row],[Unit_Margin]]&lt;0, "Negative margin", "Positive margin")</f>
        <v>Positive margin</v>
      </c>
      <c r="V3" s="2" t="str">
        <f>IF(SalesData[[#This Row],[Profit]]&lt;0, "Loss", "Profit")</f>
        <v>Loss</v>
      </c>
      <c r="W3" s="2">
        <f>SalesData[[#This Row],[Unit_Price]]*(1-SalesData[[#This Row],[Discount]])</f>
        <v>3746.4015999999997</v>
      </c>
      <c r="X3" s="2">
        <f>SalesData[[#This Row],[Effective_Unit_Price]]-SalesData[[#This Row],[Unit_Cost]]</f>
        <v>-69.988400000000183</v>
      </c>
      <c r="Y3" s="2" t="str">
        <f>IF(SalesData[[#This Row],[Effective_Unit_Margin]]&lt;0,"Loss per Unit","Positive per Unit")</f>
        <v>Loss per Unit</v>
      </c>
    </row>
    <row r="4" spans="1:25" x14ac:dyDescent="0.3">
      <c r="A4">
        <v>1015</v>
      </c>
      <c r="B4" s="1">
        <v>45190</v>
      </c>
      <c r="C4" t="s">
        <v>23</v>
      </c>
      <c r="D4" t="s">
        <v>24</v>
      </c>
      <c r="E4">
        <v>30</v>
      </c>
      <c r="F4" t="s">
        <v>25</v>
      </c>
      <c r="G4">
        <v>261.56</v>
      </c>
      <c r="H4">
        <v>371.4</v>
      </c>
      <c r="I4" t="s">
        <v>16</v>
      </c>
      <c r="J4" s="2">
        <v>0.2</v>
      </c>
      <c r="K4" t="s">
        <v>26</v>
      </c>
      <c r="L4" t="s">
        <v>21</v>
      </c>
      <c r="M4" t="s">
        <v>27</v>
      </c>
      <c r="N4">
        <f>SalesData[[#This Row],[Quantity_Sold]]*SalesData[[#This Row],[Unit_Cost]]</f>
        <v>7846.8</v>
      </c>
      <c r="O4">
        <f>SalesData[[#This Row],[Quantity_Sold]]*SalesData[[#This Row],[Unit_Price]]</f>
        <v>11142</v>
      </c>
      <c r="P4">
        <f>SalesData[[#This Row],[Gross_sales]]*(1-SalesData[[#This Row],[Discount]])</f>
        <v>8913.6</v>
      </c>
      <c r="Q4" s="2">
        <f>SalesData[[#This Row],[Sales_amount]]-SalesData[[#This Row],[Total_Cost]]</f>
        <v>1066.8000000000002</v>
      </c>
      <c r="R4" s="2">
        <f>SalesData[[#This Row],[Profit]]/SalesData[[#This Row],[Sales_amount]]</f>
        <v>0.11968228325255791</v>
      </c>
      <c r="S4" s="2">
        <f>SalesData[[#This Row],[Unit_Price]]-SalesData[[#This Row],[Unit_Cost]]</f>
        <v>109.83999999999997</v>
      </c>
      <c r="T4" s="10">
        <f>SalesData[[#This Row],[Unit_Margin]]/SalesData[[#This Row],[Unit_Price]]</f>
        <v>0.29574582660204624</v>
      </c>
      <c r="U4" s="2" t="str">
        <f>IF(SalesData[[#This Row],[Unit_Margin]]&lt;0, "Negative margin", "Positive margin")</f>
        <v>Positive margin</v>
      </c>
      <c r="V4" s="2" t="str">
        <f>IF(SalesData[[#This Row],[Profit]]&lt;0, "Loss", "Profit")</f>
        <v>Profit</v>
      </c>
      <c r="W4" s="2">
        <f>SalesData[[#This Row],[Unit_Price]]*(1-SalesData[[#This Row],[Discount]])</f>
        <v>297.12</v>
      </c>
      <c r="X4" s="2">
        <f>SalesData[[#This Row],[Effective_Unit_Price]]-SalesData[[#This Row],[Unit_Cost]]</f>
        <v>35.56</v>
      </c>
      <c r="Y4" s="2" t="str">
        <f>IF(SalesData[[#This Row],[Effective_Unit_Margin]]&lt;0,"Loss per Unit","Positive per Unit")</f>
        <v>Positive per Unit</v>
      </c>
    </row>
    <row r="5" spans="1:25" x14ac:dyDescent="0.3">
      <c r="A5">
        <v>1072</v>
      </c>
      <c r="B5" s="1">
        <v>45162</v>
      </c>
      <c r="C5" t="s">
        <v>13</v>
      </c>
      <c r="D5" t="s">
        <v>24</v>
      </c>
      <c r="E5">
        <v>39</v>
      </c>
      <c r="F5" t="s">
        <v>28</v>
      </c>
      <c r="G5">
        <v>4330.03</v>
      </c>
      <c r="H5">
        <v>4467.75</v>
      </c>
      <c r="I5" t="s">
        <v>29</v>
      </c>
      <c r="J5" s="2">
        <v>0.02</v>
      </c>
      <c r="K5" t="s">
        <v>30</v>
      </c>
      <c r="L5" t="s">
        <v>21</v>
      </c>
      <c r="M5" t="s">
        <v>31</v>
      </c>
      <c r="N5">
        <f>SalesData[[#This Row],[Quantity_Sold]]*SalesData[[#This Row],[Unit_Cost]]</f>
        <v>168871.16999999998</v>
      </c>
      <c r="O5">
        <f>SalesData[[#This Row],[Quantity_Sold]]*SalesData[[#This Row],[Unit_Price]]</f>
        <v>174242.25</v>
      </c>
      <c r="P5">
        <f>SalesData[[#This Row],[Gross_sales]]*(1-SalesData[[#This Row],[Discount]])</f>
        <v>170757.405</v>
      </c>
      <c r="Q5" s="2">
        <f>SalesData[[#This Row],[Sales_amount]]-SalesData[[#This Row],[Total_Cost]]</f>
        <v>1886.2350000000151</v>
      </c>
      <c r="R5" s="2">
        <f>SalesData[[#This Row],[Profit]]/SalesData[[#This Row],[Sales_amount]]</f>
        <v>1.1046285225522227E-2</v>
      </c>
      <c r="S5" s="2">
        <f>SalesData[[#This Row],[Unit_Price]]-SalesData[[#This Row],[Unit_Cost]]</f>
        <v>137.72000000000025</v>
      </c>
      <c r="T5" s="10">
        <f>SalesData[[#This Row],[Unit_Margin]]/SalesData[[#This Row],[Unit_Price]]</f>
        <v>3.0825359521011751E-2</v>
      </c>
      <c r="U5" s="2" t="str">
        <f>IF(SalesData[[#This Row],[Unit_Margin]]&lt;0, "Negative margin", "Positive margin")</f>
        <v>Positive margin</v>
      </c>
      <c r="V5" s="2" t="str">
        <f>IF(SalesData[[#This Row],[Profit]]&lt;0, "Loss", "Profit")</f>
        <v>Profit</v>
      </c>
      <c r="W5" s="2">
        <f>SalesData[[#This Row],[Unit_Price]]*(1-SalesData[[#This Row],[Discount]])</f>
        <v>4378.3949999999995</v>
      </c>
      <c r="X5" s="2">
        <f>SalesData[[#This Row],[Effective_Unit_Price]]-SalesData[[#This Row],[Unit_Cost]]</f>
        <v>48.364999999999782</v>
      </c>
      <c r="Y5" s="2" t="str">
        <f>IF(SalesData[[#This Row],[Effective_Unit_Margin]]&lt;0,"Loss per Unit","Positive per Unit")</f>
        <v>Positive per Unit</v>
      </c>
    </row>
    <row r="6" spans="1:25" x14ac:dyDescent="0.3">
      <c r="A6">
        <v>1061</v>
      </c>
      <c r="B6" s="1">
        <v>45009</v>
      </c>
      <c r="C6" t="s">
        <v>32</v>
      </c>
      <c r="D6" t="s">
        <v>33</v>
      </c>
      <c r="E6">
        <v>13</v>
      </c>
      <c r="F6" t="s">
        <v>34</v>
      </c>
      <c r="G6">
        <v>637.37</v>
      </c>
      <c r="H6">
        <v>692.71</v>
      </c>
      <c r="I6" t="s">
        <v>29</v>
      </c>
      <c r="J6" s="2">
        <v>0.08</v>
      </c>
      <c r="K6" t="s">
        <v>30</v>
      </c>
      <c r="L6" t="s">
        <v>18</v>
      </c>
      <c r="M6" t="s">
        <v>35</v>
      </c>
      <c r="N6">
        <f>SalesData[[#This Row],[Quantity_Sold]]*SalesData[[#This Row],[Unit_Cost]]</f>
        <v>8285.81</v>
      </c>
      <c r="O6">
        <f>SalesData[[#This Row],[Quantity_Sold]]*SalesData[[#This Row],[Unit_Price]]</f>
        <v>9005.23</v>
      </c>
      <c r="P6">
        <f>SalesData[[#This Row],[Gross_sales]]*(1-SalesData[[#This Row],[Discount]])</f>
        <v>8284.8115999999991</v>
      </c>
      <c r="Q6" s="2">
        <f>SalesData[[#This Row],[Sales_amount]]-SalesData[[#This Row],[Total_Cost]]</f>
        <v>-0.99840000000040163</v>
      </c>
      <c r="R6" s="2">
        <f>SalesData[[#This Row],[Profit]]/SalesData[[#This Row],[Sales_amount]]</f>
        <v>-1.2050968063056518E-4</v>
      </c>
      <c r="S6" s="2">
        <f>SalesData[[#This Row],[Unit_Price]]-SalesData[[#This Row],[Unit_Cost]]</f>
        <v>55.340000000000032</v>
      </c>
      <c r="T6" s="10">
        <f>SalesData[[#This Row],[Unit_Margin]]/SalesData[[#This Row],[Unit_Price]]</f>
        <v>7.9889131093819968E-2</v>
      </c>
      <c r="U6" s="2" t="str">
        <f>IF(SalesData[[#This Row],[Unit_Margin]]&lt;0, "Negative margin", "Positive margin")</f>
        <v>Positive margin</v>
      </c>
      <c r="V6" s="2" t="str">
        <f>IF(SalesData[[#This Row],[Profit]]&lt;0, "Loss", "Profit")</f>
        <v>Loss</v>
      </c>
      <c r="W6" s="2">
        <f>SalesData[[#This Row],[Unit_Price]]*(1-SalesData[[#This Row],[Discount]])</f>
        <v>637.29320000000007</v>
      </c>
      <c r="X6" s="2">
        <f>SalesData[[#This Row],[Effective_Unit_Price]]-SalesData[[#This Row],[Unit_Cost]]</f>
        <v>-7.6799999999934698E-2</v>
      </c>
      <c r="Y6" s="2" t="str">
        <f>IF(SalesData[[#This Row],[Effective_Unit_Margin]]&lt;0,"Loss per Unit","Positive per Unit")</f>
        <v>Loss per Unit</v>
      </c>
    </row>
    <row r="7" spans="1:25" x14ac:dyDescent="0.3">
      <c r="A7">
        <v>1021</v>
      </c>
      <c r="B7" s="1">
        <v>44968</v>
      </c>
      <c r="C7" t="s">
        <v>32</v>
      </c>
      <c r="D7" t="s">
        <v>20</v>
      </c>
      <c r="E7">
        <v>32</v>
      </c>
      <c r="F7" t="s">
        <v>25</v>
      </c>
      <c r="G7">
        <v>900.79</v>
      </c>
      <c r="H7">
        <v>1106.51</v>
      </c>
      <c r="I7" t="s">
        <v>29</v>
      </c>
      <c r="J7" s="2">
        <v>0.21</v>
      </c>
      <c r="K7" t="s">
        <v>17</v>
      </c>
      <c r="L7" t="s">
        <v>18</v>
      </c>
      <c r="M7" t="s">
        <v>36</v>
      </c>
      <c r="N7">
        <f>SalesData[[#This Row],[Quantity_Sold]]*SalesData[[#This Row],[Unit_Cost]]</f>
        <v>28825.279999999999</v>
      </c>
      <c r="O7">
        <f>SalesData[[#This Row],[Quantity_Sold]]*SalesData[[#This Row],[Unit_Price]]</f>
        <v>35408.32</v>
      </c>
      <c r="P7">
        <f>SalesData[[#This Row],[Gross_sales]]*(1-SalesData[[#This Row],[Discount]])</f>
        <v>27972.572800000002</v>
      </c>
      <c r="Q7" s="2">
        <f>SalesData[[#This Row],[Sales_amount]]-SalesData[[#This Row],[Total_Cost]]</f>
        <v>-852.7071999999971</v>
      </c>
      <c r="R7" s="2">
        <f>SalesData[[#This Row],[Profit]]/SalesData[[#This Row],[Sales_amount]]</f>
        <v>-3.0483688650905828E-2</v>
      </c>
      <c r="S7" s="2">
        <f>SalesData[[#This Row],[Unit_Price]]-SalesData[[#This Row],[Unit_Cost]]</f>
        <v>205.72000000000003</v>
      </c>
      <c r="T7" s="10">
        <f>SalesData[[#This Row],[Unit_Margin]]/SalesData[[#This Row],[Unit_Price]]</f>
        <v>0.18591788596578435</v>
      </c>
      <c r="U7" s="2" t="str">
        <f>IF(SalesData[[#This Row],[Unit_Margin]]&lt;0, "Negative margin", "Positive margin")</f>
        <v>Positive margin</v>
      </c>
      <c r="V7" s="2" t="str">
        <f>IF(SalesData[[#This Row],[Profit]]&lt;0, "Loss", "Profit")</f>
        <v>Loss</v>
      </c>
      <c r="W7" s="2">
        <f>SalesData[[#This Row],[Unit_Price]]*(1-SalesData[[#This Row],[Discount]])</f>
        <v>874.14290000000005</v>
      </c>
      <c r="X7" s="2">
        <f>SalesData[[#This Row],[Effective_Unit_Price]]-SalesData[[#This Row],[Unit_Cost]]</f>
        <v>-26.647099999999909</v>
      </c>
      <c r="Y7" s="2" t="str">
        <f>IF(SalesData[[#This Row],[Effective_Unit_Margin]]&lt;0,"Loss per Unit","Positive per Unit")</f>
        <v>Loss per Unit</v>
      </c>
    </row>
    <row r="8" spans="1:25" x14ac:dyDescent="0.3">
      <c r="A8">
        <v>1083</v>
      </c>
      <c r="B8" s="1">
        <v>45027</v>
      </c>
      <c r="C8" t="s">
        <v>13</v>
      </c>
      <c r="D8" t="s">
        <v>20</v>
      </c>
      <c r="E8">
        <v>29</v>
      </c>
      <c r="F8" t="s">
        <v>15</v>
      </c>
      <c r="G8">
        <v>2408.81</v>
      </c>
      <c r="H8">
        <v>2624.09</v>
      </c>
      <c r="I8" t="s">
        <v>16</v>
      </c>
      <c r="J8" s="2">
        <v>0.14000000000000001</v>
      </c>
      <c r="K8" t="s">
        <v>17</v>
      </c>
      <c r="L8" t="s">
        <v>18</v>
      </c>
      <c r="M8" t="s">
        <v>22</v>
      </c>
      <c r="N8">
        <f>SalesData[[#This Row],[Quantity_Sold]]*SalesData[[#This Row],[Unit_Cost]]</f>
        <v>69855.490000000005</v>
      </c>
      <c r="O8">
        <f>SalesData[[#This Row],[Quantity_Sold]]*SalesData[[#This Row],[Unit_Price]]</f>
        <v>76098.61</v>
      </c>
      <c r="P8">
        <f>SalesData[[#This Row],[Gross_sales]]*(1-SalesData[[#This Row],[Discount]])</f>
        <v>65444.804600000003</v>
      </c>
      <c r="Q8" s="2">
        <f>SalesData[[#This Row],[Sales_amount]]-SalesData[[#This Row],[Total_Cost]]</f>
        <v>-4410.6854000000021</v>
      </c>
      <c r="R8" s="2">
        <f>SalesData[[#This Row],[Profit]]/SalesData[[#This Row],[Sales_amount]]</f>
        <v>-6.7395501093756832E-2</v>
      </c>
      <c r="S8" s="2">
        <f>SalesData[[#This Row],[Unit_Price]]-SalesData[[#This Row],[Unit_Cost]]</f>
        <v>215.2800000000002</v>
      </c>
      <c r="T8" s="10">
        <f>SalesData[[#This Row],[Unit_Margin]]/SalesData[[#This Row],[Unit_Price]]</f>
        <v>8.2039869059369219E-2</v>
      </c>
      <c r="U8" s="2" t="str">
        <f>IF(SalesData[[#This Row],[Unit_Margin]]&lt;0, "Negative margin", "Positive margin")</f>
        <v>Positive margin</v>
      </c>
      <c r="V8" s="2" t="str">
        <f>IF(SalesData[[#This Row],[Profit]]&lt;0, "Loss", "Profit")</f>
        <v>Loss</v>
      </c>
      <c r="W8" s="2">
        <f>SalesData[[#This Row],[Unit_Price]]*(1-SalesData[[#This Row],[Discount]])</f>
        <v>2256.7174</v>
      </c>
      <c r="X8" s="2">
        <f>SalesData[[#This Row],[Effective_Unit_Price]]-SalesData[[#This Row],[Unit_Cost]]</f>
        <v>-152.09259999999995</v>
      </c>
      <c r="Y8" s="2" t="str">
        <f>IF(SalesData[[#This Row],[Effective_Unit_Margin]]&lt;0,"Loss per Unit","Positive per Unit")</f>
        <v>Loss per Unit</v>
      </c>
    </row>
    <row r="9" spans="1:25" x14ac:dyDescent="0.3">
      <c r="A9">
        <v>1087</v>
      </c>
      <c r="B9" s="1">
        <v>44932</v>
      </c>
      <c r="C9" t="s">
        <v>37</v>
      </c>
      <c r="D9" t="s">
        <v>24</v>
      </c>
      <c r="E9">
        <v>46</v>
      </c>
      <c r="F9" t="s">
        <v>15</v>
      </c>
      <c r="G9">
        <v>3702.51</v>
      </c>
      <c r="H9">
        <v>3964.65</v>
      </c>
      <c r="I9" t="s">
        <v>29</v>
      </c>
      <c r="J9" s="2">
        <v>0.12</v>
      </c>
      <c r="K9" t="s">
        <v>26</v>
      </c>
      <c r="L9" t="s">
        <v>18</v>
      </c>
      <c r="M9" t="s">
        <v>38</v>
      </c>
      <c r="N9">
        <f>SalesData[[#This Row],[Quantity_Sold]]*SalesData[[#This Row],[Unit_Cost]]</f>
        <v>170315.46000000002</v>
      </c>
      <c r="O9">
        <f>SalesData[[#This Row],[Quantity_Sold]]*SalesData[[#This Row],[Unit_Price]]</f>
        <v>182373.9</v>
      </c>
      <c r="P9">
        <f>SalesData[[#This Row],[Gross_sales]]*(1-SalesData[[#This Row],[Discount]])</f>
        <v>160489.03200000001</v>
      </c>
      <c r="Q9" s="2">
        <f>SalesData[[#This Row],[Sales_amount]]-SalesData[[#This Row],[Total_Cost]]</f>
        <v>-9826.4280000000144</v>
      </c>
      <c r="R9" s="2">
        <f>SalesData[[#This Row],[Profit]]/SalesData[[#This Row],[Sales_amount]]</f>
        <v>-6.1228034573727219E-2</v>
      </c>
      <c r="S9" s="2">
        <f>SalesData[[#This Row],[Unit_Price]]-SalesData[[#This Row],[Unit_Cost]]</f>
        <v>262.13999999999987</v>
      </c>
      <c r="T9" s="10">
        <f>SalesData[[#This Row],[Unit_Margin]]/SalesData[[#This Row],[Unit_Price]]</f>
        <v>6.6119329575120095E-2</v>
      </c>
      <c r="U9" s="2" t="str">
        <f>IF(SalesData[[#This Row],[Unit_Margin]]&lt;0, "Negative margin", "Positive margin")</f>
        <v>Positive margin</v>
      </c>
      <c r="V9" s="2" t="str">
        <f>IF(SalesData[[#This Row],[Profit]]&lt;0, "Loss", "Profit")</f>
        <v>Loss</v>
      </c>
      <c r="W9" s="2">
        <f>SalesData[[#This Row],[Unit_Price]]*(1-SalesData[[#This Row],[Discount]])</f>
        <v>3488.8920000000003</v>
      </c>
      <c r="X9" s="2">
        <f>SalesData[[#This Row],[Effective_Unit_Price]]-SalesData[[#This Row],[Unit_Cost]]</f>
        <v>-213.61799999999994</v>
      </c>
      <c r="Y9" s="2" t="str">
        <f>IF(SalesData[[#This Row],[Effective_Unit_Margin]]&lt;0,"Loss per Unit","Positive per Unit")</f>
        <v>Loss per Unit</v>
      </c>
    </row>
    <row r="10" spans="1:25" x14ac:dyDescent="0.3">
      <c r="A10">
        <v>1075</v>
      </c>
      <c r="B10" s="1">
        <v>45106</v>
      </c>
      <c r="C10" t="s">
        <v>23</v>
      </c>
      <c r="D10" t="s">
        <v>24</v>
      </c>
      <c r="E10">
        <v>30</v>
      </c>
      <c r="F10" t="s">
        <v>15</v>
      </c>
      <c r="G10">
        <v>738.06</v>
      </c>
      <c r="H10">
        <v>1095.44999999999</v>
      </c>
      <c r="I10" t="s">
        <v>29</v>
      </c>
      <c r="J10" s="2">
        <v>0.05</v>
      </c>
      <c r="K10" t="s">
        <v>26</v>
      </c>
      <c r="L10" t="s">
        <v>18</v>
      </c>
      <c r="M10" t="s">
        <v>27</v>
      </c>
      <c r="N10">
        <f>SalesData[[#This Row],[Quantity_Sold]]*SalesData[[#This Row],[Unit_Cost]]</f>
        <v>22141.8</v>
      </c>
      <c r="O10">
        <f>SalesData[[#This Row],[Quantity_Sold]]*SalesData[[#This Row],[Unit_Price]]</f>
        <v>32863.499999999702</v>
      </c>
      <c r="P10">
        <f>SalesData[[#This Row],[Gross_sales]]*(1-SalesData[[#This Row],[Discount]])</f>
        <v>31220.324999999713</v>
      </c>
      <c r="Q10" s="2">
        <f>SalesData[[#This Row],[Sales_amount]]-SalesData[[#This Row],[Total_Cost]]</f>
        <v>9078.5249999997141</v>
      </c>
      <c r="R10" s="2">
        <f>SalesData[[#This Row],[Profit]]/SalesData[[#This Row],[Sales_amount]]</f>
        <v>0.29078893317093263</v>
      </c>
      <c r="S10" s="2">
        <f>SalesData[[#This Row],[Unit_Price]]-SalesData[[#This Row],[Unit_Cost]]</f>
        <v>357.3899999999901</v>
      </c>
      <c r="T10" s="10">
        <f>SalesData[[#This Row],[Unit_Margin]]/SalesData[[#This Row],[Unit_Price]]</f>
        <v>0.32624948651238611</v>
      </c>
      <c r="U10" s="2" t="str">
        <f>IF(SalesData[[#This Row],[Unit_Margin]]&lt;0, "Negative margin", "Positive margin")</f>
        <v>Positive margin</v>
      </c>
      <c r="V10" s="2" t="str">
        <f>IF(SalesData[[#This Row],[Profit]]&lt;0, "Loss", "Profit")</f>
        <v>Profit</v>
      </c>
      <c r="W10" s="2">
        <f>SalesData[[#This Row],[Unit_Price]]*(1-SalesData[[#This Row],[Discount]])</f>
        <v>1040.6774999999905</v>
      </c>
      <c r="X10" s="2">
        <f>SalesData[[#This Row],[Effective_Unit_Price]]-SalesData[[#This Row],[Unit_Cost]]</f>
        <v>302.61749999999051</v>
      </c>
      <c r="Y10" s="2" t="str">
        <f>IF(SalesData[[#This Row],[Effective_Unit_Margin]]&lt;0,"Loss per Unit","Positive per Unit")</f>
        <v>Positive per Unit</v>
      </c>
    </row>
    <row r="11" spans="1:25" x14ac:dyDescent="0.3">
      <c r="A11">
        <v>1075</v>
      </c>
      <c r="B11" s="1">
        <v>45208</v>
      </c>
      <c r="C11" t="s">
        <v>32</v>
      </c>
      <c r="D11" t="s">
        <v>20</v>
      </c>
      <c r="E11">
        <v>18</v>
      </c>
      <c r="F11" t="s">
        <v>28</v>
      </c>
      <c r="G11">
        <v>2228.35</v>
      </c>
      <c r="H11">
        <v>2682.34</v>
      </c>
      <c r="I11" t="s">
        <v>29</v>
      </c>
      <c r="J11" s="2">
        <v>0.13</v>
      </c>
      <c r="K11" t="s">
        <v>26</v>
      </c>
      <c r="L11" t="s">
        <v>18</v>
      </c>
      <c r="M11" t="s">
        <v>36</v>
      </c>
      <c r="N11">
        <f>SalesData[[#This Row],[Quantity_Sold]]*SalesData[[#This Row],[Unit_Cost]]</f>
        <v>40110.299999999996</v>
      </c>
      <c r="O11">
        <f>SalesData[[#This Row],[Quantity_Sold]]*SalesData[[#This Row],[Unit_Price]]</f>
        <v>48282.12</v>
      </c>
      <c r="P11">
        <f>SalesData[[#This Row],[Gross_sales]]*(1-SalesData[[#This Row],[Discount]])</f>
        <v>42005.4444</v>
      </c>
      <c r="Q11" s="2">
        <f>SalesData[[#This Row],[Sales_amount]]-SalesData[[#This Row],[Total_Cost]]</f>
        <v>1895.1444000000047</v>
      </c>
      <c r="R11" s="2">
        <f>SalesData[[#This Row],[Profit]]/SalesData[[#This Row],[Sales_amount]]</f>
        <v>4.5116637309043792E-2</v>
      </c>
      <c r="S11" s="2">
        <f>SalesData[[#This Row],[Unit_Price]]-SalesData[[#This Row],[Unit_Cost]]</f>
        <v>453.99000000000024</v>
      </c>
      <c r="T11" s="10">
        <f>SalesData[[#This Row],[Unit_Margin]]/SalesData[[#This Row],[Unit_Price]]</f>
        <v>0.1692514744588681</v>
      </c>
      <c r="U11" s="2" t="str">
        <f>IF(SalesData[[#This Row],[Unit_Margin]]&lt;0, "Negative margin", "Positive margin")</f>
        <v>Positive margin</v>
      </c>
      <c r="V11" s="2" t="str">
        <f>IF(SalesData[[#This Row],[Profit]]&lt;0, "Loss", "Profit")</f>
        <v>Profit</v>
      </c>
      <c r="W11" s="2">
        <f>SalesData[[#This Row],[Unit_Price]]*(1-SalesData[[#This Row],[Discount]])</f>
        <v>2333.6358</v>
      </c>
      <c r="X11" s="2">
        <f>SalesData[[#This Row],[Effective_Unit_Price]]-SalesData[[#This Row],[Unit_Cost]]</f>
        <v>105.28580000000011</v>
      </c>
      <c r="Y11" s="2" t="str">
        <f>IF(SalesData[[#This Row],[Effective_Unit_Margin]]&lt;0,"Loss per Unit","Positive per Unit")</f>
        <v>Positive per Unit</v>
      </c>
    </row>
    <row r="12" spans="1:25" x14ac:dyDescent="0.3">
      <c r="A12">
        <v>1088</v>
      </c>
      <c r="B12" s="1">
        <v>45246</v>
      </c>
      <c r="C12" t="s">
        <v>37</v>
      </c>
      <c r="D12" t="s">
        <v>14</v>
      </c>
      <c r="E12">
        <v>13</v>
      </c>
      <c r="F12" t="s">
        <v>15</v>
      </c>
      <c r="G12">
        <v>2440.11</v>
      </c>
      <c r="H12">
        <v>2517.6</v>
      </c>
      <c r="I12" t="s">
        <v>29</v>
      </c>
      <c r="J12" s="2">
        <v>0.23</v>
      </c>
      <c r="K12" t="s">
        <v>26</v>
      </c>
      <c r="L12" t="s">
        <v>21</v>
      </c>
      <c r="M12" t="s">
        <v>39</v>
      </c>
      <c r="N12">
        <f>SalesData[[#This Row],[Quantity_Sold]]*SalesData[[#This Row],[Unit_Cost]]</f>
        <v>31721.43</v>
      </c>
      <c r="O12">
        <f>SalesData[[#This Row],[Quantity_Sold]]*SalesData[[#This Row],[Unit_Price]]</f>
        <v>32728.799999999999</v>
      </c>
      <c r="P12">
        <f>SalesData[[#This Row],[Gross_sales]]*(1-SalesData[[#This Row],[Discount]])</f>
        <v>25201.175999999999</v>
      </c>
      <c r="Q12" s="2">
        <f>SalesData[[#This Row],[Sales_amount]]-SalesData[[#This Row],[Total_Cost]]</f>
        <v>-6520.2540000000008</v>
      </c>
      <c r="R12" s="2">
        <f>SalesData[[#This Row],[Profit]]/SalesData[[#This Row],[Sales_amount]]</f>
        <v>-0.25872816411424615</v>
      </c>
      <c r="S12" s="2">
        <f>SalesData[[#This Row],[Unit_Price]]-SalesData[[#This Row],[Unit_Cost]]</f>
        <v>77.489999999999782</v>
      </c>
      <c r="T12" s="10">
        <f>SalesData[[#This Row],[Unit_Margin]]/SalesData[[#This Row],[Unit_Price]]</f>
        <v>3.077931363203042E-2</v>
      </c>
      <c r="U12" s="2" t="str">
        <f>IF(SalesData[[#This Row],[Unit_Margin]]&lt;0, "Negative margin", "Positive margin")</f>
        <v>Positive margin</v>
      </c>
      <c r="V12" s="2" t="str">
        <f>IF(SalesData[[#This Row],[Profit]]&lt;0, "Loss", "Profit")</f>
        <v>Loss</v>
      </c>
      <c r="W12" s="2">
        <f>SalesData[[#This Row],[Unit_Price]]*(1-SalesData[[#This Row],[Discount]])</f>
        <v>1938.5519999999999</v>
      </c>
      <c r="X12" s="2">
        <f>SalesData[[#This Row],[Effective_Unit_Price]]-SalesData[[#This Row],[Unit_Cost]]</f>
        <v>-501.55800000000022</v>
      </c>
      <c r="Y12" s="2" t="str">
        <f>IF(SalesData[[#This Row],[Effective_Unit_Margin]]&lt;0,"Loss per Unit","Positive per Unit")</f>
        <v>Loss per Unit</v>
      </c>
    </row>
    <row r="13" spans="1:25" x14ac:dyDescent="0.3">
      <c r="A13">
        <v>1100</v>
      </c>
      <c r="B13" s="1">
        <v>45152</v>
      </c>
      <c r="C13" t="s">
        <v>13</v>
      </c>
      <c r="D13" t="s">
        <v>20</v>
      </c>
      <c r="E13">
        <v>43</v>
      </c>
      <c r="F13" t="s">
        <v>25</v>
      </c>
      <c r="G13">
        <v>1100.81</v>
      </c>
      <c r="H13">
        <v>1137.44</v>
      </c>
      <c r="I13" t="s">
        <v>16</v>
      </c>
      <c r="J13" s="2">
        <v>0.08</v>
      </c>
      <c r="K13" t="s">
        <v>26</v>
      </c>
      <c r="L13" t="s">
        <v>18</v>
      </c>
      <c r="M13" t="s">
        <v>22</v>
      </c>
      <c r="N13">
        <f>SalesData[[#This Row],[Quantity_Sold]]*SalesData[[#This Row],[Unit_Cost]]</f>
        <v>47334.829999999994</v>
      </c>
      <c r="O13">
        <f>SalesData[[#This Row],[Quantity_Sold]]*SalesData[[#This Row],[Unit_Price]]</f>
        <v>48909.920000000006</v>
      </c>
      <c r="P13">
        <f>SalesData[[#This Row],[Gross_sales]]*(1-SalesData[[#This Row],[Discount]])</f>
        <v>44997.126400000008</v>
      </c>
      <c r="Q13" s="2">
        <f>SalesData[[#This Row],[Sales_amount]]-SalesData[[#This Row],[Total_Cost]]</f>
        <v>-2337.7035999999862</v>
      </c>
      <c r="R13" s="2">
        <f>SalesData[[#This Row],[Profit]]/SalesData[[#This Row],[Sales_amount]]</f>
        <v>-5.1952286446451515E-2</v>
      </c>
      <c r="S13" s="2">
        <f>SalesData[[#This Row],[Unit_Price]]-SalesData[[#This Row],[Unit_Cost]]</f>
        <v>36.630000000000109</v>
      </c>
      <c r="T13" s="10">
        <f>SalesData[[#This Row],[Unit_Margin]]/SalesData[[#This Row],[Unit_Price]]</f>
        <v>3.2203896469264408E-2</v>
      </c>
      <c r="U13" s="2" t="str">
        <f>IF(SalesData[[#This Row],[Unit_Margin]]&lt;0, "Negative margin", "Positive margin")</f>
        <v>Positive margin</v>
      </c>
      <c r="V13" s="2" t="str">
        <f>IF(SalesData[[#This Row],[Profit]]&lt;0, "Loss", "Profit")</f>
        <v>Loss</v>
      </c>
      <c r="W13" s="2">
        <f>SalesData[[#This Row],[Unit_Price]]*(1-SalesData[[#This Row],[Discount]])</f>
        <v>1046.4448</v>
      </c>
      <c r="X13" s="2">
        <f>SalesData[[#This Row],[Effective_Unit_Price]]-SalesData[[#This Row],[Unit_Cost]]</f>
        <v>-54.365199999999959</v>
      </c>
      <c r="Y13" s="2" t="str">
        <f>IF(SalesData[[#This Row],[Effective_Unit_Margin]]&lt;0,"Loss per Unit","Positive per Unit")</f>
        <v>Loss per Unit</v>
      </c>
    </row>
    <row r="14" spans="1:25" x14ac:dyDescent="0.3">
      <c r="A14">
        <v>1024</v>
      </c>
      <c r="B14" s="1">
        <v>45241</v>
      </c>
      <c r="C14" t="s">
        <v>37</v>
      </c>
      <c r="D14" t="s">
        <v>20</v>
      </c>
      <c r="E14">
        <v>21</v>
      </c>
      <c r="F14" t="s">
        <v>25</v>
      </c>
      <c r="G14">
        <v>622.01</v>
      </c>
      <c r="H14">
        <v>641.09</v>
      </c>
      <c r="I14" t="s">
        <v>16</v>
      </c>
      <c r="J14" s="2">
        <v>0</v>
      </c>
      <c r="K14" t="s">
        <v>26</v>
      </c>
      <c r="L14" t="s">
        <v>21</v>
      </c>
      <c r="M14" t="s">
        <v>40</v>
      </c>
      <c r="N14">
        <f>SalesData[[#This Row],[Quantity_Sold]]*SalesData[[#This Row],[Unit_Cost]]</f>
        <v>13062.21</v>
      </c>
      <c r="O14">
        <f>SalesData[[#This Row],[Quantity_Sold]]*SalesData[[#This Row],[Unit_Price]]</f>
        <v>13462.890000000001</v>
      </c>
      <c r="P14">
        <f>SalesData[[#This Row],[Gross_sales]]*(1-SalesData[[#This Row],[Discount]])</f>
        <v>13462.890000000001</v>
      </c>
      <c r="Q14" s="2">
        <f>SalesData[[#This Row],[Sales_amount]]-SalesData[[#This Row],[Total_Cost]]</f>
        <v>400.68000000000211</v>
      </c>
      <c r="R14" s="2">
        <f>SalesData[[#This Row],[Profit]]/SalesData[[#This Row],[Sales_amount]]</f>
        <v>2.9761811914083981E-2</v>
      </c>
      <c r="S14" s="2">
        <f>SalesData[[#This Row],[Unit_Price]]-SalesData[[#This Row],[Unit_Cost]]</f>
        <v>19.080000000000041</v>
      </c>
      <c r="T14" s="10">
        <f>SalesData[[#This Row],[Unit_Margin]]/SalesData[[#This Row],[Unit_Price]]</f>
        <v>2.9761811914083888E-2</v>
      </c>
      <c r="U14" s="2" t="str">
        <f>IF(SalesData[[#This Row],[Unit_Margin]]&lt;0, "Negative margin", "Positive margin")</f>
        <v>Positive margin</v>
      </c>
      <c r="V14" s="2" t="str">
        <f>IF(SalesData[[#This Row],[Profit]]&lt;0, "Loss", "Profit")</f>
        <v>Profit</v>
      </c>
      <c r="W14" s="2">
        <f>SalesData[[#This Row],[Unit_Price]]*(1-SalesData[[#This Row],[Discount]])</f>
        <v>641.09</v>
      </c>
      <c r="X14" s="2">
        <f>SalesData[[#This Row],[Effective_Unit_Price]]-SalesData[[#This Row],[Unit_Cost]]</f>
        <v>19.080000000000041</v>
      </c>
      <c r="Y14" s="2" t="str">
        <f>IF(SalesData[[#This Row],[Effective_Unit_Margin]]&lt;0,"Loss per Unit","Positive per Unit")</f>
        <v>Positive per Unit</v>
      </c>
    </row>
    <row r="15" spans="1:25" x14ac:dyDescent="0.3">
      <c r="A15">
        <v>1003</v>
      </c>
      <c r="B15" s="1">
        <v>45291</v>
      </c>
      <c r="C15" t="s">
        <v>41</v>
      </c>
      <c r="D15" t="s">
        <v>24</v>
      </c>
      <c r="E15">
        <v>30</v>
      </c>
      <c r="F15" t="s">
        <v>15</v>
      </c>
      <c r="G15">
        <v>4190.28</v>
      </c>
      <c r="H15">
        <v>4270.6499999999996</v>
      </c>
      <c r="I15" t="s">
        <v>29</v>
      </c>
      <c r="J15" s="2">
        <v>0.2</v>
      </c>
      <c r="K15" t="s">
        <v>17</v>
      </c>
      <c r="L15" t="s">
        <v>18</v>
      </c>
      <c r="M15" t="s">
        <v>42</v>
      </c>
      <c r="N15">
        <f>SalesData[[#This Row],[Quantity_Sold]]*SalesData[[#This Row],[Unit_Cost]]</f>
        <v>125708.4</v>
      </c>
      <c r="O15">
        <f>SalesData[[#This Row],[Quantity_Sold]]*SalesData[[#This Row],[Unit_Price]]</f>
        <v>128119.49999999999</v>
      </c>
      <c r="P15">
        <f>SalesData[[#This Row],[Gross_sales]]*(1-SalesData[[#This Row],[Discount]])</f>
        <v>102495.59999999999</v>
      </c>
      <c r="Q15" s="2">
        <f>SalesData[[#This Row],[Sales_amount]]-SalesData[[#This Row],[Total_Cost]]</f>
        <v>-23212.800000000003</v>
      </c>
      <c r="R15" s="2">
        <f>SalesData[[#This Row],[Profit]]/SalesData[[#This Row],[Sales_amount]]</f>
        <v>-0.22647606336272</v>
      </c>
      <c r="S15" s="2">
        <f>SalesData[[#This Row],[Unit_Price]]-SalesData[[#This Row],[Unit_Cost]]</f>
        <v>80.369999999999891</v>
      </c>
      <c r="T15" s="10">
        <f>SalesData[[#This Row],[Unit_Margin]]/SalesData[[#This Row],[Unit_Price]]</f>
        <v>1.8819149309824007E-2</v>
      </c>
      <c r="U15" s="2" t="str">
        <f>IF(SalesData[[#This Row],[Unit_Margin]]&lt;0, "Negative margin", "Positive margin")</f>
        <v>Positive margin</v>
      </c>
      <c r="V15" s="2" t="str">
        <f>IF(SalesData[[#This Row],[Profit]]&lt;0, "Loss", "Profit")</f>
        <v>Loss</v>
      </c>
      <c r="W15" s="2">
        <f>SalesData[[#This Row],[Unit_Price]]*(1-SalesData[[#This Row],[Discount]])</f>
        <v>3416.52</v>
      </c>
      <c r="X15" s="2">
        <f>SalesData[[#This Row],[Effective_Unit_Price]]-SalesData[[#This Row],[Unit_Cost]]</f>
        <v>-773.75999999999976</v>
      </c>
      <c r="Y15" s="2" t="str">
        <f>IF(SalesData[[#This Row],[Effective_Unit_Margin]]&lt;0,"Loss per Unit","Positive per Unit")</f>
        <v>Loss per Unit</v>
      </c>
    </row>
    <row r="16" spans="1:25" x14ac:dyDescent="0.3">
      <c r="A16">
        <v>1022</v>
      </c>
      <c r="B16" s="1">
        <v>45155</v>
      </c>
      <c r="C16" t="s">
        <v>32</v>
      </c>
      <c r="D16" t="s">
        <v>24</v>
      </c>
      <c r="E16">
        <v>21</v>
      </c>
      <c r="F16" t="s">
        <v>25</v>
      </c>
      <c r="G16">
        <v>2537.1999999999998</v>
      </c>
      <c r="H16">
        <v>2869.6</v>
      </c>
      <c r="I16" t="s">
        <v>29</v>
      </c>
      <c r="J16" s="2">
        <v>0.28999999999999998</v>
      </c>
      <c r="K16" t="s">
        <v>26</v>
      </c>
      <c r="L16" t="s">
        <v>21</v>
      </c>
      <c r="M16" t="s">
        <v>43</v>
      </c>
      <c r="N16">
        <f>SalesData[[#This Row],[Quantity_Sold]]*SalesData[[#This Row],[Unit_Cost]]</f>
        <v>53281.2</v>
      </c>
      <c r="O16">
        <f>SalesData[[#This Row],[Quantity_Sold]]*SalesData[[#This Row],[Unit_Price]]</f>
        <v>60261.599999999999</v>
      </c>
      <c r="P16">
        <f>SalesData[[#This Row],[Gross_sales]]*(1-SalesData[[#This Row],[Discount]])</f>
        <v>42785.735999999997</v>
      </c>
      <c r="Q16" s="2">
        <f>SalesData[[#This Row],[Sales_amount]]-SalesData[[#This Row],[Total_Cost]]</f>
        <v>-10495.464</v>
      </c>
      <c r="R16" s="2">
        <f>SalesData[[#This Row],[Profit]]/SalesData[[#This Row],[Sales_amount]]</f>
        <v>-0.24530287383627106</v>
      </c>
      <c r="S16" s="2">
        <f>SalesData[[#This Row],[Unit_Price]]-SalesData[[#This Row],[Unit_Cost]]</f>
        <v>332.40000000000009</v>
      </c>
      <c r="T16" s="10">
        <f>SalesData[[#This Row],[Unit_Margin]]/SalesData[[#This Row],[Unit_Price]]</f>
        <v>0.11583495957624759</v>
      </c>
      <c r="U16" s="2" t="str">
        <f>IF(SalesData[[#This Row],[Unit_Margin]]&lt;0, "Negative margin", "Positive margin")</f>
        <v>Positive margin</v>
      </c>
      <c r="V16" s="2" t="str">
        <f>IF(SalesData[[#This Row],[Profit]]&lt;0, "Loss", "Profit")</f>
        <v>Loss</v>
      </c>
      <c r="W16" s="2">
        <f>SalesData[[#This Row],[Unit_Price]]*(1-SalesData[[#This Row],[Discount]])</f>
        <v>2037.4159999999999</v>
      </c>
      <c r="X16" s="2">
        <f>SalesData[[#This Row],[Effective_Unit_Price]]-SalesData[[#This Row],[Unit_Cost]]</f>
        <v>-499.78399999999988</v>
      </c>
      <c r="Y16" s="2" t="str">
        <f>IF(SalesData[[#This Row],[Effective_Unit_Margin]]&lt;0,"Loss per Unit","Positive per Unit")</f>
        <v>Loss per Unit</v>
      </c>
    </row>
    <row r="17" spans="1:25" x14ac:dyDescent="0.3">
      <c r="A17">
        <v>1053</v>
      </c>
      <c r="B17" s="1">
        <v>45215</v>
      </c>
      <c r="C17" t="s">
        <v>13</v>
      </c>
      <c r="D17" t="s">
        <v>14</v>
      </c>
      <c r="E17">
        <v>48</v>
      </c>
      <c r="F17" t="s">
        <v>15</v>
      </c>
      <c r="G17">
        <v>121.19</v>
      </c>
      <c r="H17">
        <v>487.65</v>
      </c>
      <c r="I17" t="s">
        <v>29</v>
      </c>
      <c r="J17" s="2">
        <v>0.18</v>
      </c>
      <c r="K17" t="s">
        <v>17</v>
      </c>
      <c r="L17" t="s">
        <v>21</v>
      </c>
      <c r="M17" t="s">
        <v>19</v>
      </c>
      <c r="N17">
        <f>SalesData[[#This Row],[Quantity_Sold]]*SalesData[[#This Row],[Unit_Cost]]</f>
        <v>5817.12</v>
      </c>
      <c r="O17">
        <f>SalesData[[#This Row],[Quantity_Sold]]*SalesData[[#This Row],[Unit_Price]]</f>
        <v>23407.199999999997</v>
      </c>
      <c r="P17">
        <f>SalesData[[#This Row],[Gross_sales]]*(1-SalesData[[#This Row],[Discount]])</f>
        <v>19193.903999999999</v>
      </c>
      <c r="Q17" s="2">
        <f>SalesData[[#This Row],[Sales_amount]]-SalesData[[#This Row],[Total_Cost]]</f>
        <v>13376.784</v>
      </c>
      <c r="R17" s="2">
        <f>SalesData[[#This Row],[Profit]]/SalesData[[#This Row],[Sales_amount]]</f>
        <v>0.69692877488602634</v>
      </c>
      <c r="S17" s="2">
        <f>SalesData[[#This Row],[Unit_Price]]-SalesData[[#This Row],[Unit_Cost]]</f>
        <v>366.46</v>
      </c>
      <c r="T17" s="10">
        <f>SalesData[[#This Row],[Unit_Margin]]/SalesData[[#This Row],[Unit_Price]]</f>
        <v>0.75148159540654158</v>
      </c>
      <c r="U17" s="2" t="str">
        <f>IF(SalesData[[#This Row],[Unit_Margin]]&lt;0, "Negative margin", "Positive margin")</f>
        <v>Positive margin</v>
      </c>
      <c r="V17" s="2" t="str">
        <f>IF(SalesData[[#This Row],[Profit]]&lt;0, "Loss", "Profit")</f>
        <v>Profit</v>
      </c>
      <c r="W17" s="2">
        <f>SalesData[[#This Row],[Unit_Price]]*(1-SalesData[[#This Row],[Discount]])</f>
        <v>399.87299999999999</v>
      </c>
      <c r="X17" s="2">
        <f>SalesData[[#This Row],[Effective_Unit_Price]]-SalesData[[#This Row],[Unit_Cost]]</f>
        <v>278.68299999999999</v>
      </c>
      <c r="Y17" s="2" t="str">
        <f>IF(SalesData[[#This Row],[Effective_Unit_Margin]]&lt;0,"Loss per Unit","Positive per Unit")</f>
        <v>Positive per Unit</v>
      </c>
    </row>
    <row r="18" spans="1:25" x14ac:dyDescent="0.3">
      <c r="A18">
        <v>1002</v>
      </c>
      <c r="B18" s="1">
        <v>45076</v>
      </c>
      <c r="C18" t="s">
        <v>23</v>
      </c>
      <c r="D18" t="s">
        <v>14</v>
      </c>
      <c r="E18">
        <v>17</v>
      </c>
      <c r="F18" t="s">
        <v>15</v>
      </c>
      <c r="G18">
        <v>4024.76</v>
      </c>
      <c r="H18">
        <v>4420.1499999999996</v>
      </c>
      <c r="I18" t="s">
        <v>16</v>
      </c>
      <c r="J18" s="2">
        <v>0.04</v>
      </c>
      <c r="K18" t="s">
        <v>17</v>
      </c>
      <c r="L18" t="s">
        <v>18</v>
      </c>
      <c r="M18" t="s">
        <v>44</v>
      </c>
      <c r="N18">
        <f>SalesData[[#This Row],[Quantity_Sold]]*SalesData[[#This Row],[Unit_Cost]]</f>
        <v>68420.92</v>
      </c>
      <c r="O18">
        <f>SalesData[[#This Row],[Quantity_Sold]]*SalesData[[#This Row],[Unit_Price]]</f>
        <v>75142.549999999988</v>
      </c>
      <c r="P18">
        <f>SalesData[[#This Row],[Gross_sales]]*(1-SalesData[[#This Row],[Discount]])</f>
        <v>72136.847999999984</v>
      </c>
      <c r="Q18" s="2">
        <f>SalesData[[#This Row],[Sales_amount]]-SalesData[[#This Row],[Total_Cost]]</f>
        <v>3715.9279999999853</v>
      </c>
      <c r="R18" s="2">
        <f>SalesData[[#This Row],[Profit]]/SalesData[[#This Row],[Sales_amount]]</f>
        <v>5.1512203582834482E-2</v>
      </c>
      <c r="S18" s="2">
        <f>SalesData[[#This Row],[Unit_Price]]-SalesData[[#This Row],[Unit_Cost]]</f>
        <v>395.38999999999942</v>
      </c>
      <c r="T18" s="10">
        <f>SalesData[[#This Row],[Unit_Margin]]/SalesData[[#This Row],[Unit_Price]]</f>
        <v>8.9451715439521157E-2</v>
      </c>
      <c r="U18" s="2" t="str">
        <f>IF(SalesData[[#This Row],[Unit_Margin]]&lt;0, "Negative margin", "Positive margin")</f>
        <v>Positive margin</v>
      </c>
      <c r="V18" s="2" t="str">
        <f>IF(SalesData[[#This Row],[Profit]]&lt;0, "Loss", "Profit")</f>
        <v>Profit</v>
      </c>
      <c r="W18" s="2">
        <f>SalesData[[#This Row],[Unit_Price]]*(1-SalesData[[#This Row],[Discount]])</f>
        <v>4243.3439999999991</v>
      </c>
      <c r="X18" s="2">
        <f>SalesData[[#This Row],[Effective_Unit_Price]]-SalesData[[#This Row],[Unit_Cost]]</f>
        <v>218.58399999999892</v>
      </c>
      <c r="Y18" s="2" t="str">
        <f>IF(SalesData[[#This Row],[Effective_Unit_Margin]]&lt;0,"Loss per Unit","Positive per Unit")</f>
        <v>Positive per Unit</v>
      </c>
    </row>
    <row r="19" spans="1:25" x14ac:dyDescent="0.3">
      <c r="A19">
        <v>1088</v>
      </c>
      <c r="B19" s="1">
        <v>45203</v>
      </c>
      <c r="C19" t="s">
        <v>13</v>
      </c>
      <c r="D19" t="s">
        <v>33</v>
      </c>
      <c r="E19">
        <v>40</v>
      </c>
      <c r="F19" t="s">
        <v>34</v>
      </c>
      <c r="G19">
        <v>4904.93</v>
      </c>
      <c r="H19">
        <v>5034.3500000000004</v>
      </c>
      <c r="I19" t="s">
        <v>29</v>
      </c>
      <c r="J19" s="2">
        <v>0.1</v>
      </c>
      <c r="K19" t="s">
        <v>30</v>
      </c>
      <c r="L19" t="s">
        <v>21</v>
      </c>
      <c r="M19" t="s">
        <v>45</v>
      </c>
      <c r="N19">
        <f>SalesData[[#This Row],[Quantity_Sold]]*SalesData[[#This Row],[Unit_Cost]]</f>
        <v>196197.2</v>
      </c>
      <c r="O19">
        <f>SalesData[[#This Row],[Quantity_Sold]]*SalesData[[#This Row],[Unit_Price]]</f>
        <v>201374</v>
      </c>
      <c r="P19">
        <f>SalesData[[#This Row],[Gross_sales]]*(1-SalesData[[#This Row],[Discount]])</f>
        <v>181236.6</v>
      </c>
      <c r="Q19" s="2">
        <f>SalesData[[#This Row],[Sales_amount]]-SalesData[[#This Row],[Total_Cost]]</f>
        <v>-14960.600000000006</v>
      </c>
      <c r="R19" s="2">
        <f>SalesData[[#This Row],[Profit]]/SalesData[[#This Row],[Sales_amount]]</f>
        <v>-8.2547344189860136E-2</v>
      </c>
      <c r="S19" s="2">
        <f>SalesData[[#This Row],[Unit_Price]]-SalesData[[#This Row],[Unit_Cost]]</f>
        <v>129.42000000000007</v>
      </c>
      <c r="T19" s="10">
        <f>SalesData[[#This Row],[Unit_Margin]]/SalesData[[#This Row],[Unit_Price]]</f>
        <v>2.5707390229125916E-2</v>
      </c>
      <c r="U19" s="2" t="str">
        <f>IF(SalesData[[#This Row],[Unit_Margin]]&lt;0, "Negative margin", "Positive margin")</f>
        <v>Positive margin</v>
      </c>
      <c r="V19" s="2" t="str">
        <f>IF(SalesData[[#This Row],[Profit]]&lt;0, "Loss", "Profit")</f>
        <v>Loss</v>
      </c>
      <c r="W19" s="2">
        <f>SalesData[[#This Row],[Unit_Price]]*(1-SalesData[[#This Row],[Discount]])</f>
        <v>4530.9150000000009</v>
      </c>
      <c r="X19" s="2">
        <f>SalesData[[#This Row],[Effective_Unit_Price]]-SalesData[[#This Row],[Unit_Cost]]</f>
        <v>-374.01499999999942</v>
      </c>
      <c r="Y19" s="2" t="str">
        <f>IF(SalesData[[#This Row],[Effective_Unit_Margin]]&lt;0,"Loss per Unit","Positive per Unit")</f>
        <v>Loss per Unit</v>
      </c>
    </row>
    <row r="20" spans="1:25" x14ac:dyDescent="0.3">
      <c r="A20">
        <v>1030</v>
      </c>
      <c r="B20" s="1">
        <v>45124</v>
      </c>
      <c r="C20" t="s">
        <v>23</v>
      </c>
      <c r="D20" t="s">
        <v>20</v>
      </c>
      <c r="E20">
        <v>19</v>
      </c>
      <c r="F20" t="s">
        <v>28</v>
      </c>
      <c r="G20">
        <v>3049.33</v>
      </c>
      <c r="H20">
        <v>3209.22</v>
      </c>
      <c r="I20" t="s">
        <v>16</v>
      </c>
      <c r="J20" s="2">
        <v>0.26</v>
      </c>
      <c r="K20" t="s">
        <v>17</v>
      </c>
      <c r="L20" t="s">
        <v>18</v>
      </c>
      <c r="M20" t="s">
        <v>46</v>
      </c>
      <c r="N20">
        <f>SalesData[[#This Row],[Quantity_Sold]]*SalesData[[#This Row],[Unit_Cost]]</f>
        <v>57937.27</v>
      </c>
      <c r="O20">
        <f>SalesData[[#This Row],[Quantity_Sold]]*SalesData[[#This Row],[Unit_Price]]</f>
        <v>60975.179999999993</v>
      </c>
      <c r="P20">
        <f>SalesData[[#This Row],[Gross_sales]]*(1-SalesData[[#This Row],[Discount]])</f>
        <v>45121.633199999997</v>
      </c>
      <c r="Q20" s="2">
        <f>SalesData[[#This Row],[Sales_amount]]-SalesData[[#This Row],[Total_Cost]]</f>
        <v>-12815.6368</v>
      </c>
      <c r="R20" s="2">
        <f>SalesData[[#This Row],[Profit]]/SalesData[[#This Row],[Sales_amount]]</f>
        <v>-0.28402422277569511</v>
      </c>
      <c r="S20" s="2">
        <f>SalesData[[#This Row],[Unit_Price]]-SalesData[[#This Row],[Unit_Cost]]</f>
        <v>159.88999999999987</v>
      </c>
      <c r="T20" s="10">
        <f>SalesData[[#This Row],[Unit_Margin]]/SalesData[[#This Row],[Unit_Price]]</f>
        <v>4.9822075145985592E-2</v>
      </c>
      <c r="U20" s="2" t="str">
        <f>IF(SalesData[[#This Row],[Unit_Margin]]&lt;0, "Negative margin", "Positive margin")</f>
        <v>Positive margin</v>
      </c>
      <c r="V20" s="2" t="str">
        <f>IF(SalesData[[#This Row],[Profit]]&lt;0, "Loss", "Profit")</f>
        <v>Loss</v>
      </c>
      <c r="W20" s="2">
        <f>SalesData[[#This Row],[Unit_Price]]*(1-SalesData[[#This Row],[Discount]])</f>
        <v>2374.8227999999999</v>
      </c>
      <c r="X20" s="2">
        <f>SalesData[[#This Row],[Effective_Unit_Price]]-SalesData[[#This Row],[Unit_Cost]]</f>
        <v>-674.50720000000001</v>
      </c>
      <c r="Y20" s="2" t="str">
        <f>IF(SalesData[[#This Row],[Effective_Unit_Margin]]&lt;0,"Loss per Unit","Positive per Unit")</f>
        <v>Loss per Unit</v>
      </c>
    </row>
    <row r="21" spans="1:25" x14ac:dyDescent="0.3">
      <c r="A21">
        <v>1038</v>
      </c>
      <c r="B21" s="1">
        <v>44996</v>
      </c>
      <c r="C21" t="s">
        <v>13</v>
      </c>
      <c r="D21" t="s">
        <v>24</v>
      </c>
      <c r="E21">
        <v>15</v>
      </c>
      <c r="F21" t="s">
        <v>28</v>
      </c>
      <c r="G21">
        <v>2543.36</v>
      </c>
      <c r="H21">
        <v>2790.1</v>
      </c>
      <c r="I21" t="s">
        <v>16</v>
      </c>
      <c r="J21" s="2">
        <v>7.0000000000000007E-2</v>
      </c>
      <c r="K21" t="s">
        <v>17</v>
      </c>
      <c r="L21" t="s">
        <v>18</v>
      </c>
      <c r="M21" t="s">
        <v>31</v>
      </c>
      <c r="N21">
        <f>SalesData[[#This Row],[Quantity_Sold]]*SalesData[[#This Row],[Unit_Cost]]</f>
        <v>38150.400000000001</v>
      </c>
      <c r="O21">
        <f>SalesData[[#This Row],[Quantity_Sold]]*SalesData[[#This Row],[Unit_Price]]</f>
        <v>41851.5</v>
      </c>
      <c r="P21">
        <f>SalesData[[#This Row],[Gross_sales]]*(1-SalesData[[#This Row],[Discount]])</f>
        <v>38921.894999999997</v>
      </c>
      <c r="Q21" s="2">
        <f>SalesData[[#This Row],[Sales_amount]]-SalesData[[#This Row],[Total_Cost]]</f>
        <v>771.49499999999534</v>
      </c>
      <c r="R21" s="2">
        <f>SalesData[[#This Row],[Profit]]/SalesData[[#This Row],[Sales_amount]]</f>
        <v>1.9821619682186476E-2</v>
      </c>
      <c r="S21" s="2">
        <f>SalesData[[#This Row],[Unit_Price]]-SalesData[[#This Row],[Unit_Cost]]</f>
        <v>246.73999999999978</v>
      </c>
      <c r="T21" s="10">
        <f>SalesData[[#This Row],[Unit_Margin]]/SalesData[[#This Row],[Unit_Price]]</f>
        <v>8.8434106304433463E-2</v>
      </c>
      <c r="U21" s="2" t="str">
        <f>IF(SalesData[[#This Row],[Unit_Margin]]&lt;0, "Negative margin", "Positive margin")</f>
        <v>Positive margin</v>
      </c>
      <c r="V21" s="2" t="str">
        <f>IF(SalesData[[#This Row],[Profit]]&lt;0, "Loss", "Profit")</f>
        <v>Profit</v>
      </c>
      <c r="W21" s="2">
        <f>SalesData[[#This Row],[Unit_Price]]*(1-SalesData[[#This Row],[Discount]])</f>
        <v>2594.7929999999997</v>
      </c>
      <c r="X21" s="2">
        <f>SalesData[[#This Row],[Effective_Unit_Price]]-SalesData[[#This Row],[Unit_Cost]]</f>
        <v>51.432999999999538</v>
      </c>
      <c r="Y21" s="2" t="str">
        <f>IF(SalesData[[#This Row],[Effective_Unit_Margin]]&lt;0,"Loss per Unit","Positive per Unit")</f>
        <v>Positive per Unit</v>
      </c>
    </row>
    <row r="22" spans="1:25" x14ac:dyDescent="0.3">
      <c r="A22">
        <v>1002</v>
      </c>
      <c r="B22" s="1">
        <v>45038</v>
      </c>
      <c r="C22" t="s">
        <v>37</v>
      </c>
      <c r="D22" t="s">
        <v>14</v>
      </c>
      <c r="E22">
        <v>9</v>
      </c>
      <c r="F22" t="s">
        <v>34</v>
      </c>
      <c r="G22">
        <v>4398.16</v>
      </c>
      <c r="H22">
        <v>4439.12</v>
      </c>
      <c r="I22" t="s">
        <v>29</v>
      </c>
      <c r="J22" s="2">
        <v>0.18</v>
      </c>
      <c r="K22" t="s">
        <v>26</v>
      </c>
      <c r="L22" t="s">
        <v>18</v>
      </c>
      <c r="M22" t="s">
        <v>39</v>
      </c>
      <c r="N22">
        <f>SalesData[[#This Row],[Quantity_Sold]]*SalesData[[#This Row],[Unit_Cost]]</f>
        <v>39583.440000000002</v>
      </c>
      <c r="O22">
        <f>SalesData[[#This Row],[Quantity_Sold]]*SalesData[[#This Row],[Unit_Price]]</f>
        <v>39952.080000000002</v>
      </c>
      <c r="P22">
        <f>SalesData[[#This Row],[Gross_sales]]*(1-SalesData[[#This Row],[Discount]])</f>
        <v>32760.705600000005</v>
      </c>
      <c r="Q22" s="2">
        <f>SalesData[[#This Row],[Sales_amount]]-SalesData[[#This Row],[Total_Cost]]</f>
        <v>-6822.7343999999975</v>
      </c>
      <c r="R22" s="2">
        <f>SalesData[[#This Row],[Profit]]/SalesData[[#This Row],[Sales_amount]]</f>
        <v>-0.20825969023084767</v>
      </c>
      <c r="S22" s="2">
        <f>SalesData[[#This Row],[Unit_Price]]-SalesData[[#This Row],[Unit_Cost]]</f>
        <v>40.960000000000036</v>
      </c>
      <c r="T22" s="10">
        <f>SalesData[[#This Row],[Unit_Margin]]/SalesData[[#This Row],[Unit_Price]]</f>
        <v>9.227054010704833E-3</v>
      </c>
      <c r="U22" s="2" t="str">
        <f>IF(SalesData[[#This Row],[Unit_Margin]]&lt;0, "Negative margin", "Positive margin")</f>
        <v>Positive margin</v>
      </c>
      <c r="V22" s="2" t="str">
        <f>IF(SalesData[[#This Row],[Profit]]&lt;0, "Loss", "Profit")</f>
        <v>Loss</v>
      </c>
      <c r="W22" s="2">
        <f>SalesData[[#This Row],[Unit_Price]]*(1-SalesData[[#This Row],[Discount]])</f>
        <v>3640.0784000000003</v>
      </c>
      <c r="X22" s="2">
        <f>SalesData[[#This Row],[Effective_Unit_Price]]-SalesData[[#This Row],[Unit_Cost]]</f>
        <v>-758.08159999999953</v>
      </c>
      <c r="Y22" s="2" t="str">
        <f>IF(SalesData[[#This Row],[Effective_Unit_Margin]]&lt;0,"Loss per Unit","Positive per Unit")</f>
        <v>Loss per Unit</v>
      </c>
    </row>
    <row r="23" spans="1:25" x14ac:dyDescent="0.3">
      <c r="A23">
        <v>1064</v>
      </c>
      <c r="B23" s="1">
        <v>44930</v>
      </c>
      <c r="C23" t="s">
        <v>37</v>
      </c>
      <c r="D23" t="s">
        <v>33</v>
      </c>
      <c r="E23">
        <v>10</v>
      </c>
      <c r="F23" t="s">
        <v>34</v>
      </c>
      <c r="G23">
        <v>4764.96</v>
      </c>
      <c r="H23">
        <v>5074.42</v>
      </c>
      <c r="I23" t="s">
        <v>29</v>
      </c>
      <c r="J23" s="2">
        <v>0.12</v>
      </c>
      <c r="K23" t="s">
        <v>17</v>
      </c>
      <c r="L23" t="s">
        <v>18</v>
      </c>
      <c r="M23" t="s">
        <v>47</v>
      </c>
      <c r="N23">
        <f>SalesData[[#This Row],[Quantity_Sold]]*SalesData[[#This Row],[Unit_Cost]]</f>
        <v>47649.599999999999</v>
      </c>
      <c r="O23">
        <f>SalesData[[#This Row],[Quantity_Sold]]*SalesData[[#This Row],[Unit_Price]]</f>
        <v>50744.2</v>
      </c>
      <c r="P23">
        <f>SalesData[[#This Row],[Gross_sales]]*(1-SalesData[[#This Row],[Discount]])</f>
        <v>44654.896000000001</v>
      </c>
      <c r="Q23" s="2">
        <f>SalesData[[#This Row],[Sales_amount]]-SalesData[[#This Row],[Total_Cost]]</f>
        <v>-2994.7039999999979</v>
      </c>
      <c r="R23" s="2">
        <f>SalesData[[#This Row],[Profit]]/SalesData[[#This Row],[Sales_amount]]</f>
        <v>-6.7063284617211921E-2</v>
      </c>
      <c r="S23" s="2">
        <f>SalesData[[#This Row],[Unit_Price]]-SalesData[[#This Row],[Unit_Cost]]</f>
        <v>309.46000000000004</v>
      </c>
      <c r="T23" s="10">
        <f>SalesData[[#This Row],[Unit_Margin]]/SalesData[[#This Row],[Unit_Price]]</f>
        <v>6.0984309536853479E-2</v>
      </c>
      <c r="U23" s="2" t="str">
        <f>IF(SalesData[[#This Row],[Unit_Margin]]&lt;0, "Negative margin", "Positive margin")</f>
        <v>Positive margin</v>
      </c>
      <c r="V23" s="2" t="str">
        <f>IF(SalesData[[#This Row],[Profit]]&lt;0, "Loss", "Profit")</f>
        <v>Loss</v>
      </c>
      <c r="W23" s="2">
        <f>SalesData[[#This Row],[Unit_Price]]*(1-SalesData[[#This Row],[Discount]])</f>
        <v>4465.4895999999999</v>
      </c>
      <c r="X23" s="2">
        <f>SalesData[[#This Row],[Effective_Unit_Price]]-SalesData[[#This Row],[Unit_Cost]]</f>
        <v>-299.47040000000015</v>
      </c>
      <c r="Y23" s="2" t="str">
        <f>IF(SalesData[[#This Row],[Effective_Unit_Margin]]&lt;0,"Loss per Unit","Positive per Unit")</f>
        <v>Loss per Unit</v>
      </c>
    </row>
    <row r="24" spans="1:25" x14ac:dyDescent="0.3">
      <c r="A24">
        <v>1060</v>
      </c>
      <c r="B24" s="1">
        <v>45276</v>
      </c>
      <c r="C24" t="s">
        <v>37</v>
      </c>
      <c r="D24" t="s">
        <v>33</v>
      </c>
      <c r="E24">
        <v>44</v>
      </c>
      <c r="F24" t="s">
        <v>28</v>
      </c>
      <c r="G24">
        <v>3784.96</v>
      </c>
      <c r="H24">
        <v>4276.99</v>
      </c>
      <c r="I24" t="s">
        <v>29</v>
      </c>
      <c r="J24" s="2">
        <v>0.06</v>
      </c>
      <c r="K24" t="s">
        <v>26</v>
      </c>
      <c r="L24" t="s">
        <v>21</v>
      </c>
      <c r="M24" t="s">
        <v>47</v>
      </c>
      <c r="N24">
        <f>SalesData[[#This Row],[Quantity_Sold]]*SalesData[[#This Row],[Unit_Cost]]</f>
        <v>166538.23999999999</v>
      </c>
      <c r="O24">
        <f>SalesData[[#This Row],[Quantity_Sold]]*SalesData[[#This Row],[Unit_Price]]</f>
        <v>188187.56</v>
      </c>
      <c r="P24">
        <f>SalesData[[#This Row],[Gross_sales]]*(1-SalesData[[#This Row],[Discount]])</f>
        <v>176896.3064</v>
      </c>
      <c r="Q24" s="2">
        <f>SalesData[[#This Row],[Sales_amount]]-SalesData[[#This Row],[Total_Cost]]</f>
        <v>10358.066400000011</v>
      </c>
      <c r="R24" s="2">
        <f>SalesData[[#This Row],[Profit]]/SalesData[[#This Row],[Sales_amount]]</f>
        <v>5.8554452666627357E-2</v>
      </c>
      <c r="S24" s="2">
        <f>SalesData[[#This Row],[Unit_Price]]-SalesData[[#This Row],[Unit_Cost]]</f>
        <v>492.02999999999975</v>
      </c>
      <c r="T24" s="10">
        <f>SalesData[[#This Row],[Unit_Margin]]/SalesData[[#This Row],[Unit_Price]]</f>
        <v>0.1150411855066296</v>
      </c>
      <c r="U24" s="2" t="str">
        <f>IF(SalesData[[#This Row],[Unit_Margin]]&lt;0, "Negative margin", "Positive margin")</f>
        <v>Positive margin</v>
      </c>
      <c r="V24" s="2" t="str">
        <f>IF(SalesData[[#This Row],[Profit]]&lt;0, "Loss", "Profit")</f>
        <v>Profit</v>
      </c>
      <c r="W24" s="2">
        <f>SalesData[[#This Row],[Unit_Price]]*(1-SalesData[[#This Row],[Discount]])</f>
        <v>4020.3705999999997</v>
      </c>
      <c r="X24" s="2">
        <f>SalesData[[#This Row],[Effective_Unit_Price]]-SalesData[[#This Row],[Unit_Cost]]</f>
        <v>235.4105999999997</v>
      </c>
      <c r="Y24" s="2" t="str">
        <f>IF(SalesData[[#This Row],[Effective_Unit_Margin]]&lt;0,"Loss per Unit","Positive per Unit")</f>
        <v>Positive per Unit</v>
      </c>
    </row>
    <row r="25" spans="1:25" x14ac:dyDescent="0.3">
      <c r="A25">
        <v>1021</v>
      </c>
      <c r="B25" s="1">
        <v>45257</v>
      </c>
      <c r="C25" t="s">
        <v>41</v>
      </c>
      <c r="D25" t="s">
        <v>24</v>
      </c>
      <c r="E25">
        <v>31</v>
      </c>
      <c r="F25" t="s">
        <v>15</v>
      </c>
      <c r="G25">
        <v>2254.9899999999998</v>
      </c>
      <c r="H25">
        <v>2441.79</v>
      </c>
      <c r="I25" t="s">
        <v>16</v>
      </c>
      <c r="J25" s="2">
        <v>0.24</v>
      </c>
      <c r="K25" t="s">
        <v>26</v>
      </c>
      <c r="L25" t="s">
        <v>18</v>
      </c>
      <c r="M25" t="s">
        <v>42</v>
      </c>
      <c r="N25">
        <f>SalesData[[#This Row],[Quantity_Sold]]*SalesData[[#This Row],[Unit_Cost]]</f>
        <v>69904.689999999988</v>
      </c>
      <c r="O25">
        <f>SalesData[[#This Row],[Quantity_Sold]]*SalesData[[#This Row],[Unit_Price]]</f>
        <v>75695.490000000005</v>
      </c>
      <c r="P25">
        <f>SalesData[[#This Row],[Gross_sales]]*(1-SalesData[[#This Row],[Discount]])</f>
        <v>57528.572400000005</v>
      </c>
      <c r="Q25" s="2">
        <f>SalesData[[#This Row],[Sales_amount]]-SalesData[[#This Row],[Total_Cost]]</f>
        <v>-12376.117599999983</v>
      </c>
      <c r="R25" s="2">
        <f>SalesData[[#This Row],[Profit]]/SalesData[[#This Row],[Sales_amount]]</f>
        <v>-0.2151299273332912</v>
      </c>
      <c r="S25" s="2">
        <f>SalesData[[#This Row],[Unit_Price]]-SalesData[[#This Row],[Unit_Cost]]</f>
        <v>186.80000000000018</v>
      </c>
      <c r="T25" s="10">
        <f>SalesData[[#This Row],[Unit_Margin]]/SalesData[[#This Row],[Unit_Price]]</f>
        <v>7.6501255226698525E-2</v>
      </c>
      <c r="U25" s="2" t="str">
        <f>IF(SalesData[[#This Row],[Unit_Margin]]&lt;0, "Negative margin", "Positive margin")</f>
        <v>Positive margin</v>
      </c>
      <c r="V25" s="2" t="str">
        <f>IF(SalesData[[#This Row],[Profit]]&lt;0, "Loss", "Profit")</f>
        <v>Loss</v>
      </c>
      <c r="W25" s="2">
        <f>SalesData[[#This Row],[Unit_Price]]*(1-SalesData[[#This Row],[Discount]])</f>
        <v>1855.7603999999999</v>
      </c>
      <c r="X25" s="2">
        <f>SalesData[[#This Row],[Effective_Unit_Price]]-SalesData[[#This Row],[Unit_Cost]]</f>
        <v>-399.22959999999989</v>
      </c>
      <c r="Y25" s="2" t="str">
        <f>IF(SalesData[[#This Row],[Effective_Unit_Margin]]&lt;0,"Loss per Unit","Positive per Unit")</f>
        <v>Loss per Unit</v>
      </c>
    </row>
    <row r="26" spans="1:25" x14ac:dyDescent="0.3">
      <c r="A26">
        <v>1033</v>
      </c>
      <c r="B26" s="1">
        <v>45244</v>
      </c>
      <c r="C26" t="s">
        <v>23</v>
      </c>
      <c r="D26" t="s">
        <v>24</v>
      </c>
      <c r="E26">
        <v>23</v>
      </c>
      <c r="F26" t="s">
        <v>15</v>
      </c>
      <c r="G26">
        <v>2981.5</v>
      </c>
      <c r="H26">
        <v>3360.4</v>
      </c>
      <c r="I26" t="s">
        <v>16</v>
      </c>
      <c r="J26" s="2">
        <v>0.22</v>
      </c>
      <c r="K26" t="s">
        <v>26</v>
      </c>
      <c r="L26" t="s">
        <v>21</v>
      </c>
      <c r="M26" t="s">
        <v>27</v>
      </c>
      <c r="N26">
        <f>SalesData[[#This Row],[Quantity_Sold]]*SalesData[[#This Row],[Unit_Cost]]</f>
        <v>68574.5</v>
      </c>
      <c r="O26">
        <f>SalesData[[#This Row],[Quantity_Sold]]*SalesData[[#This Row],[Unit_Price]]</f>
        <v>77289.2</v>
      </c>
      <c r="P26">
        <f>SalesData[[#This Row],[Gross_sales]]*(1-SalesData[[#This Row],[Discount]])</f>
        <v>60285.576000000001</v>
      </c>
      <c r="Q26" s="2">
        <f>SalesData[[#This Row],[Sales_amount]]-SalesData[[#This Row],[Total_Cost]]</f>
        <v>-8288.9239999999991</v>
      </c>
      <c r="R26" s="2">
        <f>SalesData[[#This Row],[Profit]]/SalesData[[#This Row],[Sales_amount]]</f>
        <v>-0.137494315389804</v>
      </c>
      <c r="S26" s="2">
        <f>SalesData[[#This Row],[Unit_Price]]-SalesData[[#This Row],[Unit_Cost]]</f>
        <v>378.90000000000009</v>
      </c>
      <c r="T26" s="10">
        <f>SalesData[[#This Row],[Unit_Margin]]/SalesData[[#This Row],[Unit_Price]]</f>
        <v>0.11275443399595289</v>
      </c>
      <c r="U26" s="2" t="str">
        <f>IF(SalesData[[#This Row],[Unit_Margin]]&lt;0, "Negative margin", "Positive margin")</f>
        <v>Positive margin</v>
      </c>
      <c r="V26" s="2" t="str">
        <f>IF(SalesData[[#This Row],[Profit]]&lt;0, "Loss", "Profit")</f>
        <v>Loss</v>
      </c>
      <c r="W26" s="2">
        <f>SalesData[[#This Row],[Unit_Price]]*(1-SalesData[[#This Row],[Discount]])</f>
        <v>2621.1120000000001</v>
      </c>
      <c r="X26" s="2">
        <f>SalesData[[#This Row],[Effective_Unit_Price]]-SalesData[[#This Row],[Unit_Cost]]</f>
        <v>-360.38799999999992</v>
      </c>
      <c r="Y26" s="2" t="str">
        <f>IF(SalesData[[#This Row],[Effective_Unit_Margin]]&lt;0,"Loss per Unit","Positive per Unit")</f>
        <v>Loss per Unit</v>
      </c>
    </row>
    <row r="27" spans="1:25" x14ac:dyDescent="0.3">
      <c r="A27">
        <v>1076</v>
      </c>
      <c r="B27" s="1">
        <v>45276</v>
      </c>
      <c r="C27" t="s">
        <v>37</v>
      </c>
      <c r="D27" t="s">
        <v>33</v>
      </c>
      <c r="E27">
        <v>30</v>
      </c>
      <c r="F27" t="s">
        <v>28</v>
      </c>
      <c r="G27">
        <v>3519.63</v>
      </c>
      <c r="H27">
        <v>3774.65</v>
      </c>
      <c r="I27" t="s">
        <v>29</v>
      </c>
      <c r="J27" s="2">
        <v>0.2</v>
      </c>
      <c r="K27" t="s">
        <v>30</v>
      </c>
      <c r="L27" t="s">
        <v>21</v>
      </c>
      <c r="M27" t="s">
        <v>47</v>
      </c>
      <c r="N27">
        <f>SalesData[[#This Row],[Quantity_Sold]]*SalesData[[#This Row],[Unit_Cost]]</f>
        <v>105588.90000000001</v>
      </c>
      <c r="O27">
        <f>SalesData[[#This Row],[Quantity_Sold]]*SalesData[[#This Row],[Unit_Price]]</f>
        <v>113239.5</v>
      </c>
      <c r="P27">
        <f>SalesData[[#This Row],[Gross_sales]]*(1-SalesData[[#This Row],[Discount]])</f>
        <v>90591.6</v>
      </c>
      <c r="Q27" s="2">
        <f>SalesData[[#This Row],[Sales_amount]]-SalesData[[#This Row],[Total_Cost]]</f>
        <v>-14997.300000000003</v>
      </c>
      <c r="R27" s="2">
        <f>SalesData[[#This Row],[Profit]]/SalesData[[#This Row],[Sales_amount]]</f>
        <v>-0.16554846144675667</v>
      </c>
      <c r="S27" s="2">
        <f>SalesData[[#This Row],[Unit_Price]]-SalesData[[#This Row],[Unit_Cost]]</f>
        <v>255.01999999999998</v>
      </c>
      <c r="T27" s="10">
        <f>SalesData[[#This Row],[Unit_Margin]]/SalesData[[#This Row],[Unit_Price]]</f>
        <v>6.7561230842594674E-2</v>
      </c>
      <c r="U27" s="2" t="str">
        <f>IF(SalesData[[#This Row],[Unit_Margin]]&lt;0, "Negative margin", "Positive margin")</f>
        <v>Positive margin</v>
      </c>
      <c r="V27" s="2" t="str">
        <f>IF(SalesData[[#This Row],[Profit]]&lt;0, "Loss", "Profit")</f>
        <v>Loss</v>
      </c>
      <c r="W27" s="2">
        <f>SalesData[[#This Row],[Unit_Price]]*(1-SalesData[[#This Row],[Discount]])</f>
        <v>3019.7200000000003</v>
      </c>
      <c r="X27" s="2">
        <f>SalesData[[#This Row],[Effective_Unit_Price]]-SalesData[[#This Row],[Unit_Cost]]</f>
        <v>-499.90999999999985</v>
      </c>
      <c r="Y27" s="2" t="str">
        <f>IF(SalesData[[#This Row],[Effective_Unit_Margin]]&lt;0,"Loss per Unit","Positive per Unit")</f>
        <v>Loss per Unit</v>
      </c>
    </row>
    <row r="28" spans="1:25" x14ac:dyDescent="0.3">
      <c r="A28">
        <v>1058</v>
      </c>
      <c r="B28" s="1">
        <v>45021</v>
      </c>
      <c r="C28" t="s">
        <v>41</v>
      </c>
      <c r="D28" t="s">
        <v>14</v>
      </c>
      <c r="E28">
        <v>33</v>
      </c>
      <c r="F28" t="s">
        <v>15</v>
      </c>
      <c r="G28">
        <v>1011.65</v>
      </c>
      <c r="H28">
        <v>1084.28</v>
      </c>
      <c r="I28" t="s">
        <v>16</v>
      </c>
      <c r="J28" s="2">
        <v>7.0000000000000007E-2</v>
      </c>
      <c r="K28" t="s">
        <v>26</v>
      </c>
      <c r="L28" t="s">
        <v>21</v>
      </c>
      <c r="M28" t="s">
        <v>48</v>
      </c>
      <c r="N28">
        <f>SalesData[[#This Row],[Quantity_Sold]]*SalesData[[#This Row],[Unit_Cost]]</f>
        <v>33384.449999999997</v>
      </c>
      <c r="O28">
        <f>SalesData[[#This Row],[Quantity_Sold]]*SalesData[[#This Row],[Unit_Price]]</f>
        <v>35781.24</v>
      </c>
      <c r="P28">
        <f>SalesData[[#This Row],[Gross_sales]]*(1-SalesData[[#This Row],[Discount]])</f>
        <v>33276.553199999995</v>
      </c>
      <c r="Q28" s="2">
        <f>SalesData[[#This Row],[Sales_amount]]-SalesData[[#This Row],[Total_Cost]]</f>
        <v>-107.89680000000226</v>
      </c>
      <c r="R28" s="2">
        <f>SalesData[[#This Row],[Profit]]/SalesData[[#This Row],[Sales_amount]]</f>
        <v>-3.2424271633999125E-3</v>
      </c>
      <c r="S28" s="2">
        <f>SalesData[[#This Row],[Unit_Price]]-SalesData[[#This Row],[Unit_Cost]]</f>
        <v>72.63</v>
      </c>
      <c r="T28" s="10">
        <f>SalesData[[#This Row],[Unit_Margin]]/SalesData[[#This Row],[Unit_Price]]</f>
        <v>6.6984542738038139E-2</v>
      </c>
      <c r="U28" s="2" t="str">
        <f>IF(SalesData[[#This Row],[Unit_Margin]]&lt;0, "Negative margin", "Positive margin")</f>
        <v>Positive margin</v>
      </c>
      <c r="V28" s="2" t="str">
        <f>IF(SalesData[[#This Row],[Profit]]&lt;0, "Loss", "Profit")</f>
        <v>Loss</v>
      </c>
      <c r="W28" s="2">
        <f>SalesData[[#This Row],[Unit_Price]]*(1-SalesData[[#This Row],[Discount]])</f>
        <v>1008.3803999999999</v>
      </c>
      <c r="X28" s="2">
        <f>SalesData[[#This Row],[Effective_Unit_Price]]-SalesData[[#This Row],[Unit_Cost]]</f>
        <v>-3.2696000000000822</v>
      </c>
      <c r="Y28" s="2" t="str">
        <f>IF(SalesData[[#This Row],[Effective_Unit_Margin]]&lt;0,"Loss per Unit","Positive per Unit")</f>
        <v>Loss per Unit</v>
      </c>
    </row>
    <row r="29" spans="1:25" x14ac:dyDescent="0.3">
      <c r="A29">
        <v>1022</v>
      </c>
      <c r="B29" s="1">
        <v>45078</v>
      </c>
      <c r="C29" t="s">
        <v>23</v>
      </c>
      <c r="D29" t="s">
        <v>33</v>
      </c>
      <c r="E29">
        <v>9</v>
      </c>
      <c r="F29" t="s">
        <v>34</v>
      </c>
      <c r="G29">
        <v>2263.65</v>
      </c>
      <c r="H29">
        <v>2558.9499999999998</v>
      </c>
      <c r="I29" t="s">
        <v>29</v>
      </c>
      <c r="J29" s="2">
        <v>0.03</v>
      </c>
      <c r="K29" t="s">
        <v>17</v>
      </c>
      <c r="L29" t="s">
        <v>18</v>
      </c>
      <c r="M29" t="s">
        <v>49</v>
      </c>
      <c r="N29">
        <f>SalesData[[#This Row],[Quantity_Sold]]*SalesData[[#This Row],[Unit_Cost]]</f>
        <v>20372.850000000002</v>
      </c>
      <c r="O29">
        <f>SalesData[[#This Row],[Quantity_Sold]]*SalesData[[#This Row],[Unit_Price]]</f>
        <v>23030.55</v>
      </c>
      <c r="P29">
        <f>SalesData[[#This Row],[Gross_sales]]*(1-SalesData[[#This Row],[Discount]])</f>
        <v>22339.6335</v>
      </c>
      <c r="Q29" s="2">
        <f>SalesData[[#This Row],[Sales_amount]]-SalesData[[#This Row],[Total_Cost]]</f>
        <v>1966.7834999999977</v>
      </c>
      <c r="R29" s="2">
        <f>SalesData[[#This Row],[Profit]]/SalesData[[#This Row],[Sales_amount]]</f>
        <v>8.8040096987266947E-2</v>
      </c>
      <c r="S29" s="2">
        <f>SalesData[[#This Row],[Unit_Price]]-SalesData[[#This Row],[Unit_Cost]]</f>
        <v>295.29999999999973</v>
      </c>
      <c r="T29" s="10">
        <f>SalesData[[#This Row],[Unit_Margin]]/SalesData[[#This Row],[Unit_Price]]</f>
        <v>0.11539889407764893</v>
      </c>
      <c r="U29" s="2" t="str">
        <f>IF(SalesData[[#This Row],[Unit_Margin]]&lt;0, "Negative margin", "Positive margin")</f>
        <v>Positive margin</v>
      </c>
      <c r="V29" s="2" t="str">
        <f>IF(SalesData[[#This Row],[Profit]]&lt;0, "Loss", "Profit")</f>
        <v>Profit</v>
      </c>
      <c r="W29" s="2">
        <f>SalesData[[#This Row],[Unit_Price]]*(1-SalesData[[#This Row],[Discount]])</f>
        <v>2482.1814999999997</v>
      </c>
      <c r="X29" s="2">
        <f>SalesData[[#This Row],[Effective_Unit_Price]]-SalesData[[#This Row],[Unit_Cost]]</f>
        <v>218.5314999999996</v>
      </c>
      <c r="Y29" s="2" t="str">
        <f>IF(SalesData[[#This Row],[Effective_Unit_Margin]]&lt;0,"Loss per Unit","Positive per Unit")</f>
        <v>Positive per Unit</v>
      </c>
    </row>
    <row r="30" spans="1:25" x14ac:dyDescent="0.3">
      <c r="A30">
        <v>1089</v>
      </c>
      <c r="B30" s="1">
        <v>45237</v>
      </c>
      <c r="C30" t="s">
        <v>13</v>
      </c>
      <c r="D30" t="s">
        <v>20</v>
      </c>
      <c r="E30">
        <v>47</v>
      </c>
      <c r="F30" t="s">
        <v>15</v>
      </c>
      <c r="G30">
        <v>4157.62</v>
      </c>
      <c r="H30">
        <v>4314.5599999999904</v>
      </c>
      <c r="I30" t="s">
        <v>29</v>
      </c>
      <c r="J30" s="2">
        <v>0.17</v>
      </c>
      <c r="K30" t="s">
        <v>26</v>
      </c>
      <c r="L30" t="s">
        <v>21</v>
      </c>
      <c r="M30" t="s">
        <v>22</v>
      </c>
      <c r="N30">
        <f>SalesData[[#This Row],[Quantity_Sold]]*SalesData[[#This Row],[Unit_Cost]]</f>
        <v>195408.13999999998</v>
      </c>
      <c r="O30">
        <f>SalesData[[#This Row],[Quantity_Sold]]*SalesData[[#This Row],[Unit_Price]]</f>
        <v>202784.31999999954</v>
      </c>
      <c r="P30">
        <f>SalesData[[#This Row],[Gross_sales]]*(1-SalesData[[#This Row],[Discount]])</f>
        <v>168310.98559999961</v>
      </c>
      <c r="Q30" s="2">
        <f>SalesData[[#This Row],[Sales_amount]]-SalesData[[#This Row],[Total_Cost]]</f>
        <v>-27097.154400000378</v>
      </c>
      <c r="R30" s="2">
        <f>SalesData[[#This Row],[Profit]]/SalesData[[#This Row],[Sales_amount]]</f>
        <v>-0.16099456790300229</v>
      </c>
      <c r="S30" s="2">
        <f>SalesData[[#This Row],[Unit_Price]]-SalesData[[#This Row],[Unit_Cost]]</f>
        <v>156.9399999999905</v>
      </c>
      <c r="T30" s="10">
        <f>SalesData[[#This Row],[Unit_Margin]]/SalesData[[#This Row],[Unit_Price]]</f>
        <v>3.6374508640508153E-2</v>
      </c>
      <c r="U30" s="2" t="str">
        <f>IF(SalesData[[#This Row],[Unit_Margin]]&lt;0, "Negative margin", "Positive margin")</f>
        <v>Positive margin</v>
      </c>
      <c r="V30" s="2" t="str">
        <f>IF(SalesData[[#This Row],[Profit]]&lt;0, "Loss", "Profit")</f>
        <v>Loss</v>
      </c>
      <c r="W30" s="2">
        <f>SalesData[[#This Row],[Unit_Price]]*(1-SalesData[[#This Row],[Discount]])</f>
        <v>3581.0847999999919</v>
      </c>
      <c r="X30" s="2">
        <f>SalesData[[#This Row],[Effective_Unit_Price]]-SalesData[[#This Row],[Unit_Cost]]</f>
        <v>-576.53520000000799</v>
      </c>
      <c r="Y30" s="2" t="str">
        <f>IF(SalesData[[#This Row],[Effective_Unit_Margin]]&lt;0,"Loss per Unit","Positive per Unit")</f>
        <v>Loss per Unit</v>
      </c>
    </row>
    <row r="31" spans="1:25" x14ac:dyDescent="0.3">
      <c r="A31">
        <v>1049</v>
      </c>
      <c r="B31" s="1">
        <v>45063</v>
      </c>
      <c r="C31" t="s">
        <v>41</v>
      </c>
      <c r="D31" t="s">
        <v>20</v>
      </c>
      <c r="E31">
        <v>1</v>
      </c>
      <c r="F31" t="s">
        <v>15</v>
      </c>
      <c r="G31">
        <v>3290.89</v>
      </c>
      <c r="H31">
        <v>3317.75</v>
      </c>
      <c r="I31" t="s">
        <v>16</v>
      </c>
      <c r="J31" s="2">
        <v>0.17</v>
      </c>
      <c r="K31" t="s">
        <v>26</v>
      </c>
      <c r="L31" t="s">
        <v>18</v>
      </c>
      <c r="M31" t="s">
        <v>50</v>
      </c>
      <c r="N31">
        <f>SalesData[[#This Row],[Quantity_Sold]]*SalesData[[#This Row],[Unit_Cost]]</f>
        <v>3290.89</v>
      </c>
      <c r="O31">
        <f>SalesData[[#This Row],[Quantity_Sold]]*SalesData[[#This Row],[Unit_Price]]</f>
        <v>3317.75</v>
      </c>
      <c r="P31">
        <f>SalesData[[#This Row],[Gross_sales]]*(1-SalesData[[#This Row],[Discount]])</f>
        <v>2753.7325000000001</v>
      </c>
      <c r="Q31" s="2">
        <f>SalesData[[#This Row],[Sales_amount]]-SalesData[[#This Row],[Total_Cost]]</f>
        <v>-537.1574999999998</v>
      </c>
      <c r="R31" s="2">
        <f>SalesData[[#This Row],[Profit]]/SalesData[[#This Row],[Sales_amount]]</f>
        <v>-0.19506524326527713</v>
      </c>
      <c r="S31" s="2">
        <f>SalesData[[#This Row],[Unit_Price]]-SalesData[[#This Row],[Unit_Cost]]</f>
        <v>26.860000000000127</v>
      </c>
      <c r="T31" s="10">
        <f>SalesData[[#This Row],[Unit_Margin]]/SalesData[[#This Row],[Unit_Price]]</f>
        <v>8.0958480898199459E-3</v>
      </c>
      <c r="U31" s="2" t="str">
        <f>IF(SalesData[[#This Row],[Unit_Margin]]&lt;0, "Negative margin", "Positive margin")</f>
        <v>Positive margin</v>
      </c>
      <c r="V31" s="2" t="str">
        <f>IF(SalesData[[#This Row],[Profit]]&lt;0, "Loss", "Profit")</f>
        <v>Loss</v>
      </c>
      <c r="W31" s="2">
        <f>SalesData[[#This Row],[Unit_Price]]*(1-SalesData[[#This Row],[Discount]])</f>
        <v>2753.7325000000001</v>
      </c>
      <c r="X31" s="2">
        <f>SalesData[[#This Row],[Effective_Unit_Price]]-SalesData[[#This Row],[Unit_Cost]]</f>
        <v>-537.1574999999998</v>
      </c>
      <c r="Y31" s="2" t="str">
        <f>IF(SalesData[[#This Row],[Effective_Unit_Margin]]&lt;0,"Loss per Unit","Positive per Unit")</f>
        <v>Loss per Unit</v>
      </c>
    </row>
    <row r="32" spans="1:25" x14ac:dyDescent="0.3">
      <c r="A32">
        <v>1091</v>
      </c>
      <c r="B32" s="1">
        <v>45173</v>
      </c>
      <c r="C32" t="s">
        <v>32</v>
      </c>
      <c r="D32" t="s">
        <v>24</v>
      </c>
      <c r="E32">
        <v>44</v>
      </c>
      <c r="F32" t="s">
        <v>25</v>
      </c>
      <c r="G32">
        <v>2085.46</v>
      </c>
      <c r="H32">
        <v>2406.58</v>
      </c>
      <c r="I32" t="s">
        <v>16</v>
      </c>
      <c r="J32" s="2">
        <v>0.06</v>
      </c>
      <c r="K32" t="s">
        <v>26</v>
      </c>
      <c r="L32" t="s">
        <v>21</v>
      </c>
      <c r="M32" t="s">
        <v>43</v>
      </c>
      <c r="N32">
        <f>SalesData[[#This Row],[Quantity_Sold]]*SalesData[[#This Row],[Unit_Cost]]</f>
        <v>91760.24</v>
      </c>
      <c r="O32">
        <f>SalesData[[#This Row],[Quantity_Sold]]*SalesData[[#This Row],[Unit_Price]]</f>
        <v>105889.51999999999</v>
      </c>
      <c r="P32">
        <f>SalesData[[#This Row],[Gross_sales]]*(1-SalesData[[#This Row],[Discount]])</f>
        <v>99536.148799999981</v>
      </c>
      <c r="Q32" s="2">
        <f>SalesData[[#This Row],[Sales_amount]]-SalesData[[#This Row],[Total_Cost]]</f>
        <v>7775.9087999999756</v>
      </c>
      <c r="R32" s="2">
        <f>SalesData[[#This Row],[Profit]]/SalesData[[#This Row],[Sales_amount]]</f>
        <v>7.8121455307902946E-2</v>
      </c>
      <c r="S32" s="2">
        <f>SalesData[[#This Row],[Unit_Price]]-SalesData[[#This Row],[Unit_Cost]]</f>
        <v>321.11999999999989</v>
      </c>
      <c r="T32" s="10">
        <f>SalesData[[#This Row],[Unit_Margin]]/SalesData[[#This Row],[Unit_Price]]</f>
        <v>0.13343416798942895</v>
      </c>
      <c r="U32" s="2" t="str">
        <f>IF(SalesData[[#This Row],[Unit_Margin]]&lt;0, "Negative margin", "Positive margin")</f>
        <v>Positive margin</v>
      </c>
      <c r="V32" s="2" t="str">
        <f>IF(SalesData[[#This Row],[Profit]]&lt;0, "Loss", "Profit")</f>
        <v>Profit</v>
      </c>
      <c r="W32" s="2">
        <f>SalesData[[#This Row],[Unit_Price]]*(1-SalesData[[#This Row],[Discount]])</f>
        <v>2262.1851999999999</v>
      </c>
      <c r="X32" s="2">
        <f>SalesData[[#This Row],[Effective_Unit_Price]]-SalesData[[#This Row],[Unit_Cost]]</f>
        <v>176.72519999999986</v>
      </c>
      <c r="Y32" s="2" t="str">
        <f>IF(SalesData[[#This Row],[Effective_Unit_Margin]]&lt;0,"Loss per Unit","Positive per Unit")</f>
        <v>Positive per Unit</v>
      </c>
    </row>
    <row r="33" spans="1:25" x14ac:dyDescent="0.3">
      <c r="A33">
        <v>1059</v>
      </c>
      <c r="B33" s="1">
        <v>45169</v>
      </c>
      <c r="C33" t="s">
        <v>41</v>
      </c>
      <c r="D33" t="s">
        <v>14</v>
      </c>
      <c r="E33">
        <v>35</v>
      </c>
      <c r="F33" t="s">
        <v>25</v>
      </c>
      <c r="G33">
        <v>3333.64</v>
      </c>
      <c r="H33">
        <v>3764.52</v>
      </c>
      <c r="I33" t="s">
        <v>16</v>
      </c>
      <c r="J33" s="2">
        <v>0.02</v>
      </c>
      <c r="K33" t="s">
        <v>30</v>
      </c>
      <c r="L33" t="s">
        <v>18</v>
      </c>
      <c r="M33" t="s">
        <v>48</v>
      </c>
      <c r="N33">
        <f>SalesData[[#This Row],[Quantity_Sold]]*SalesData[[#This Row],[Unit_Cost]]</f>
        <v>116677.4</v>
      </c>
      <c r="O33">
        <f>SalesData[[#This Row],[Quantity_Sold]]*SalesData[[#This Row],[Unit_Price]]</f>
        <v>131758.20000000001</v>
      </c>
      <c r="P33">
        <f>SalesData[[#This Row],[Gross_sales]]*(1-SalesData[[#This Row],[Discount]])</f>
        <v>129123.03600000001</v>
      </c>
      <c r="Q33" s="2">
        <f>SalesData[[#This Row],[Sales_amount]]-SalesData[[#This Row],[Total_Cost]]</f>
        <v>12445.636000000013</v>
      </c>
      <c r="R33" s="2">
        <f>SalesData[[#This Row],[Profit]]/SalesData[[#This Row],[Sales_amount]]</f>
        <v>9.6385868746146991E-2</v>
      </c>
      <c r="S33" s="2">
        <f>SalesData[[#This Row],[Unit_Price]]-SalesData[[#This Row],[Unit_Cost]]</f>
        <v>430.88000000000011</v>
      </c>
      <c r="T33" s="10">
        <f>SalesData[[#This Row],[Unit_Margin]]/SalesData[[#This Row],[Unit_Price]]</f>
        <v>0.11445815137122399</v>
      </c>
      <c r="U33" s="2" t="str">
        <f>IF(SalesData[[#This Row],[Unit_Margin]]&lt;0, "Negative margin", "Positive margin")</f>
        <v>Positive margin</v>
      </c>
      <c r="V33" s="2" t="str">
        <f>IF(SalesData[[#This Row],[Profit]]&lt;0, "Loss", "Profit")</f>
        <v>Profit</v>
      </c>
      <c r="W33" s="2">
        <f>SalesData[[#This Row],[Unit_Price]]*(1-SalesData[[#This Row],[Discount]])</f>
        <v>3689.2296000000001</v>
      </c>
      <c r="X33" s="2">
        <f>SalesData[[#This Row],[Effective_Unit_Price]]-SalesData[[#This Row],[Unit_Cost]]</f>
        <v>355.58960000000025</v>
      </c>
      <c r="Y33" s="2" t="str">
        <f>IF(SalesData[[#This Row],[Effective_Unit_Margin]]&lt;0,"Loss per Unit","Positive per Unit")</f>
        <v>Positive per Unit</v>
      </c>
    </row>
    <row r="34" spans="1:25" x14ac:dyDescent="0.3">
      <c r="A34">
        <v>1042</v>
      </c>
      <c r="B34" s="1">
        <v>44957</v>
      </c>
      <c r="C34" t="s">
        <v>41</v>
      </c>
      <c r="D34" t="s">
        <v>14</v>
      </c>
      <c r="E34">
        <v>11</v>
      </c>
      <c r="F34" t="s">
        <v>25</v>
      </c>
      <c r="G34">
        <v>635.20000000000005</v>
      </c>
      <c r="H34">
        <v>814.14</v>
      </c>
      <c r="I34" t="s">
        <v>16</v>
      </c>
      <c r="J34" s="2">
        <v>0.02</v>
      </c>
      <c r="K34" t="s">
        <v>17</v>
      </c>
      <c r="L34" t="s">
        <v>18</v>
      </c>
      <c r="M34" t="s">
        <v>48</v>
      </c>
      <c r="N34">
        <f>SalesData[[#This Row],[Quantity_Sold]]*SalesData[[#This Row],[Unit_Cost]]</f>
        <v>6987.2000000000007</v>
      </c>
      <c r="O34">
        <f>SalesData[[#This Row],[Quantity_Sold]]*SalesData[[#This Row],[Unit_Price]]</f>
        <v>8955.5399999999991</v>
      </c>
      <c r="P34">
        <f>SalesData[[#This Row],[Gross_sales]]*(1-SalesData[[#This Row],[Discount]])</f>
        <v>8776.4291999999987</v>
      </c>
      <c r="Q34" s="2">
        <f>SalesData[[#This Row],[Sales_amount]]-SalesData[[#This Row],[Total_Cost]]</f>
        <v>1789.2291999999979</v>
      </c>
      <c r="R34" s="2">
        <f>SalesData[[#This Row],[Profit]]/SalesData[[#This Row],[Sales_amount]]</f>
        <v>0.20386755925747094</v>
      </c>
      <c r="S34" s="2">
        <f>SalesData[[#This Row],[Unit_Price]]-SalesData[[#This Row],[Unit_Cost]]</f>
        <v>178.93999999999994</v>
      </c>
      <c r="T34" s="10">
        <f>SalesData[[#This Row],[Unit_Margin]]/SalesData[[#This Row],[Unit_Price]]</f>
        <v>0.21979020807232164</v>
      </c>
      <c r="U34" s="2" t="str">
        <f>IF(SalesData[[#This Row],[Unit_Margin]]&lt;0, "Negative margin", "Positive margin")</f>
        <v>Positive margin</v>
      </c>
      <c r="V34" s="2" t="str">
        <f>IF(SalesData[[#This Row],[Profit]]&lt;0, "Loss", "Profit")</f>
        <v>Profit</v>
      </c>
      <c r="W34" s="2">
        <f>SalesData[[#This Row],[Unit_Price]]*(1-SalesData[[#This Row],[Discount]])</f>
        <v>797.85719999999992</v>
      </c>
      <c r="X34" s="2">
        <f>SalesData[[#This Row],[Effective_Unit_Price]]-SalesData[[#This Row],[Unit_Cost]]</f>
        <v>162.65719999999988</v>
      </c>
      <c r="Y34" s="2" t="str">
        <f>IF(SalesData[[#This Row],[Effective_Unit_Margin]]&lt;0,"Loss per Unit","Positive per Unit")</f>
        <v>Positive per Unit</v>
      </c>
    </row>
    <row r="35" spans="1:25" x14ac:dyDescent="0.3">
      <c r="A35">
        <v>1092</v>
      </c>
      <c r="B35" s="1">
        <v>44966</v>
      </c>
      <c r="C35" t="s">
        <v>23</v>
      </c>
      <c r="D35" t="s">
        <v>20</v>
      </c>
      <c r="E35">
        <v>34</v>
      </c>
      <c r="F35" t="s">
        <v>15</v>
      </c>
      <c r="G35">
        <v>2037.41</v>
      </c>
      <c r="H35">
        <v>2238.65</v>
      </c>
      <c r="I35" t="s">
        <v>29</v>
      </c>
      <c r="J35" s="2">
        <v>0.3</v>
      </c>
      <c r="K35" t="s">
        <v>30</v>
      </c>
      <c r="L35" t="s">
        <v>18</v>
      </c>
      <c r="M35" t="s">
        <v>46</v>
      </c>
      <c r="N35">
        <f>SalesData[[#This Row],[Quantity_Sold]]*SalesData[[#This Row],[Unit_Cost]]</f>
        <v>69271.94</v>
      </c>
      <c r="O35">
        <f>SalesData[[#This Row],[Quantity_Sold]]*SalesData[[#This Row],[Unit_Price]]</f>
        <v>76114.100000000006</v>
      </c>
      <c r="P35">
        <f>SalesData[[#This Row],[Gross_sales]]*(1-SalesData[[#This Row],[Discount]])</f>
        <v>53279.87</v>
      </c>
      <c r="Q35" s="2">
        <f>SalesData[[#This Row],[Sales_amount]]-SalesData[[#This Row],[Total_Cost]]</f>
        <v>-15992.07</v>
      </c>
      <c r="R35" s="2">
        <f>SalesData[[#This Row],[Profit]]/SalesData[[#This Row],[Sales_amount]]</f>
        <v>-0.30015219631729578</v>
      </c>
      <c r="S35" s="2">
        <f>SalesData[[#This Row],[Unit_Price]]-SalesData[[#This Row],[Unit_Cost]]</f>
        <v>201.24</v>
      </c>
      <c r="T35" s="10">
        <f>SalesData[[#This Row],[Unit_Margin]]/SalesData[[#This Row],[Unit_Price]]</f>
        <v>8.9893462577892921E-2</v>
      </c>
      <c r="U35" s="2" t="str">
        <f>IF(SalesData[[#This Row],[Unit_Margin]]&lt;0, "Negative margin", "Positive margin")</f>
        <v>Positive margin</v>
      </c>
      <c r="V35" s="2" t="str">
        <f>IF(SalesData[[#This Row],[Profit]]&lt;0, "Loss", "Profit")</f>
        <v>Loss</v>
      </c>
      <c r="W35" s="2">
        <f>SalesData[[#This Row],[Unit_Price]]*(1-SalesData[[#This Row],[Discount]])</f>
        <v>1567.0550000000001</v>
      </c>
      <c r="X35" s="2">
        <f>SalesData[[#This Row],[Effective_Unit_Price]]-SalesData[[#This Row],[Unit_Cost]]</f>
        <v>-470.35500000000002</v>
      </c>
      <c r="Y35" s="2" t="str">
        <f>IF(SalesData[[#This Row],[Effective_Unit_Margin]]&lt;0,"Loss per Unit","Positive per Unit")</f>
        <v>Loss per Unit</v>
      </c>
    </row>
    <row r="36" spans="1:25" x14ac:dyDescent="0.3">
      <c r="A36">
        <v>1060</v>
      </c>
      <c r="B36" s="1">
        <v>45155</v>
      </c>
      <c r="C36" t="s">
        <v>13</v>
      </c>
      <c r="D36" t="s">
        <v>33</v>
      </c>
      <c r="E36">
        <v>16</v>
      </c>
      <c r="F36" t="s">
        <v>28</v>
      </c>
      <c r="G36">
        <v>3975.99</v>
      </c>
      <c r="H36">
        <v>4422.59</v>
      </c>
      <c r="I36" t="s">
        <v>29</v>
      </c>
      <c r="J36" s="2">
        <v>0.24</v>
      </c>
      <c r="K36" t="s">
        <v>17</v>
      </c>
      <c r="L36" t="s">
        <v>18</v>
      </c>
      <c r="M36" t="s">
        <v>45</v>
      </c>
      <c r="N36">
        <f>SalesData[[#This Row],[Quantity_Sold]]*SalesData[[#This Row],[Unit_Cost]]</f>
        <v>63615.839999999997</v>
      </c>
      <c r="O36">
        <f>SalesData[[#This Row],[Quantity_Sold]]*SalesData[[#This Row],[Unit_Price]]</f>
        <v>70761.440000000002</v>
      </c>
      <c r="P36">
        <f>SalesData[[#This Row],[Gross_sales]]*(1-SalesData[[#This Row],[Discount]])</f>
        <v>53778.6944</v>
      </c>
      <c r="Q36" s="2">
        <f>SalesData[[#This Row],[Sales_amount]]-SalesData[[#This Row],[Total_Cost]]</f>
        <v>-9837.1455999999962</v>
      </c>
      <c r="R36" s="2">
        <f>SalesData[[#This Row],[Profit]]/SalesData[[#This Row],[Sales_amount]]</f>
        <v>-0.18291901113910264</v>
      </c>
      <c r="S36" s="2">
        <f>SalesData[[#This Row],[Unit_Price]]-SalesData[[#This Row],[Unit_Cost]]</f>
        <v>446.60000000000036</v>
      </c>
      <c r="T36" s="10">
        <f>SalesData[[#This Row],[Unit_Margin]]/SalesData[[#This Row],[Unit_Price]]</f>
        <v>0.10098155153428202</v>
      </c>
      <c r="U36" s="2" t="str">
        <f>IF(SalesData[[#This Row],[Unit_Margin]]&lt;0, "Negative margin", "Positive margin")</f>
        <v>Positive margin</v>
      </c>
      <c r="V36" s="2" t="str">
        <f>IF(SalesData[[#This Row],[Profit]]&lt;0, "Loss", "Profit")</f>
        <v>Loss</v>
      </c>
      <c r="W36" s="2">
        <f>SalesData[[#This Row],[Unit_Price]]*(1-SalesData[[#This Row],[Discount]])</f>
        <v>3361.1684</v>
      </c>
      <c r="X36" s="2">
        <f>SalesData[[#This Row],[Effective_Unit_Price]]-SalesData[[#This Row],[Unit_Cost]]</f>
        <v>-614.82159999999976</v>
      </c>
      <c r="Y36" s="2" t="str">
        <f>IF(SalesData[[#This Row],[Effective_Unit_Margin]]&lt;0,"Loss per Unit","Positive per Unit")</f>
        <v>Loss per Unit</v>
      </c>
    </row>
    <row r="37" spans="1:25" x14ac:dyDescent="0.3">
      <c r="A37">
        <v>1080</v>
      </c>
      <c r="B37" s="1">
        <v>44962</v>
      </c>
      <c r="C37" t="s">
        <v>32</v>
      </c>
      <c r="D37" t="s">
        <v>24</v>
      </c>
      <c r="E37">
        <v>9</v>
      </c>
      <c r="F37" t="s">
        <v>34</v>
      </c>
      <c r="G37">
        <v>1141.52</v>
      </c>
      <c r="H37">
        <v>1550.19</v>
      </c>
      <c r="I37" t="s">
        <v>29</v>
      </c>
      <c r="J37" s="2">
        <v>0.28000000000000003</v>
      </c>
      <c r="K37" t="s">
        <v>30</v>
      </c>
      <c r="L37" t="s">
        <v>21</v>
      </c>
      <c r="M37" t="s">
        <v>43</v>
      </c>
      <c r="N37">
        <f>SalesData[[#This Row],[Quantity_Sold]]*SalesData[[#This Row],[Unit_Cost]]</f>
        <v>10273.68</v>
      </c>
      <c r="O37">
        <f>SalesData[[#This Row],[Quantity_Sold]]*SalesData[[#This Row],[Unit_Price]]</f>
        <v>13951.710000000001</v>
      </c>
      <c r="P37">
        <f>SalesData[[#This Row],[Gross_sales]]*(1-SalesData[[#This Row],[Discount]])</f>
        <v>10045.2312</v>
      </c>
      <c r="Q37" s="2">
        <f>SalesData[[#This Row],[Sales_amount]]-SalesData[[#This Row],[Total_Cost]]</f>
        <v>-228.44880000000012</v>
      </c>
      <c r="R37" s="2">
        <f>SalesData[[#This Row],[Profit]]/SalesData[[#This Row],[Sales_amount]]</f>
        <v>-2.2742015136495826E-2</v>
      </c>
      <c r="S37" s="2">
        <f>SalesData[[#This Row],[Unit_Price]]-SalesData[[#This Row],[Unit_Cost]]</f>
        <v>408.67000000000007</v>
      </c>
      <c r="T37" s="10">
        <f>SalesData[[#This Row],[Unit_Margin]]/SalesData[[#This Row],[Unit_Price]]</f>
        <v>0.26362574910172304</v>
      </c>
      <c r="U37" s="2" t="str">
        <f>IF(SalesData[[#This Row],[Unit_Margin]]&lt;0, "Negative margin", "Positive margin")</f>
        <v>Positive margin</v>
      </c>
      <c r="V37" s="2" t="str">
        <f>IF(SalesData[[#This Row],[Profit]]&lt;0, "Loss", "Profit")</f>
        <v>Loss</v>
      </c>
      <c r="W37" s="2">
        <f>SalesData[[#This Row],[Unit_Price]]*(1-SalesData[[#This Row],[Discount]])</f>
        <v>1116.1368</v>
      </c>
      <c r="X37" s="2">
        <f>SalesData[[#This Row],[Effective_Unit_Price]]-SalesData[[#This Row],[Unit_Cost]]</f>
        <v>-25.383199999999988</v>
      </c>
      <c r="Y37" s="2" t="str">
        <f>IF(SalesData[[#This Row],[Effective_Unit_Margin]]&lt;0,"Loss per Unit","Positive per Unit")</f>
        <v>Loss per Unit</v>
      </c>
    </row>
    <row r="38" spans="1:25" x14ac:dyDescent="0.3">
      <c r="A38">
        <v>1015</v>
      </c>
      <c r="B38" s="1">
        <v>45149</v>
      </c>
      <c r="C38" t="s">
        <v>37</v>
      </c>
      <c r="D38" t="s">
        <v>33</v>
      </c>
      <c r="E38">
        <v>32</v>
      </c>
      <c r="F38" t="s">
        <v>15</v>
      </c>
      <c r="G38">
        <v>970.51</v>
      </c>
      <c r="H38">
        <v>1330.84</v>
      </c>
      <c r="I38" t="s">
        <v>16</v>
      </c>
      <c r="J38" s="2">
        <v>0.06</v>
      </c>
      <c r="K38" t="s">
        <v>17</v>
      </c>
      <c r="L38" t="s">
        <v>21</v>
      </c>
      <c r="M38" t="s">
        <v>47</v>
      </c>
      <c r="N38">
        <f>SalesData[[#This Row],[Quantity_Sold]]*SalesData[[#This Row],[Unit_Cost]]</f>
        <v>31056.32</v>
      </c>
      <c r="O38">
        <f>SalesData[[#This Row],[Quantity_Sold]]*SalesData[[#This Row],[Unit_Price]]</f>
        <v>42586.879999999997</v>
      </c>
      <c r="P38">
        <f>SalesData[[#This Row],[Gross_sales]]*(1-SalesData[[#This Row],[Discount]])</f>
        <v>40031.667199999996</v>
      </c>
      <c r="Q38" s="2">
        <f>SalesData[[#This Row],[Sales_amount]]-SalesData[[#This Row],[Total_Cost]]</f>
        <v>8975.3471999999965</v>
      </c>
      <c r="R38" s="2">
        <f>SalesData[[#This Row],[Profit]]/SalesData[[#This Row],[Sales_amount]]</f>
        <v>0.22420618045106044</v>
      </c>
      <c r="S38" s="2">
        <f>SalesData[[#This Row],[Unit_Price]]-SalesData[[#This Row],[Unit_Cost]]</f>
        <v>360.32999999999993</v>
      </c>
      <c r="T38" s="10">
        <f>SalesData[[#This Row],[Unit_Margin]]/SalesData[[#This Row],[Unit_Price]]</f>
        <v>0.27075380962399681</v>
      </c>
      <c r="U38" s="2" t="str">
        <f>IF(SalesData[[#This Row],[Unit_Margin]]&lt;0, "Negative margin", "Positive margin")</f>
        <v>Positive margin</v>
      </c>
      <c r="V38" s="2" t="str">
        <f>IF(SalesData[[#This Row],[Profit]]&lt;0, "Loss", "Profit")</f>
        <v>Profit</v>
      </c>
      <c r="W38" s="2">
        <f>SalesData[[#This Row],[Unit_Price]]*(1-SalesData[[#This Row],[Discount]])</f>
        <v>1250.9895999999999</v>
      </c>
      <c r="X38" s="2">
        <f>SalesData[[#This Row],[Effective_Unit_Price]]-SalesData[[#This Row],[Unit_Cost]]</f>
        <v>280.47959999999989</v>
      </c>
      <c r="Y38" s="2" t="str">
        <f>IF(SalesData[[#This Row],[Effective_Unit_Margin]]&lt;0,"Loss per Unit","Positive per Unit")</f>
        <v>Positive per Unit</v>
      </c>
    </row>
    <row r="39" spans="1:25" x14ac:dyDescent="0.3">
      <c r="A39">
        <v>1062</v>
      </c>
      <c r="B39" s="1">
        <v>44932</v>
      </c>
      <c r="C39" t="s">
        <v>37</v>
      </c>
      <c r="D39" t="s">
        <v>33</v>
      </c>
      <c r="E39">
        <v>15</v>
      </c>
      <c r="F39" t="s">
        <v>28</v>
      </c>
      <c r="G39">
        <v>4756.55</v>
      </c>
      <c r="H39">
        <v>4888.46</v>
      </c>
      <c r="I39" t="s">
        <v>29</v>
      </c>
      <c r="J39" s="2">
        <v>0.28999999999999998</v>
      </c>
      <c r="K39" t="s">
        <v>30</v>
      </c>
      <c r="L39" t="s">
        <v>18</v>
      </c>
      <c r="M39" t="s">
        <v>47</v>
      </c>
      <c r="N39">
        <f>SalesData[[#This Row],[Quantity_Sold]]*SalesData[[#This Row],[Unit_Cost]]</f>
        <v>71348.25</v>
      </c>
      <c r="O39">
        <f>SalesData[[#This Row],[Quantity_Sold]]*SalesData[[#This Row],[Unit_Price]]</f>
        <v>73326.899999999994</v>
      </c>
      <c r="P39">
        <f>SalesData[[#This Row],[Gross_sales]]*(1-SalesData[[#This Row],[Discount]])</f>
        <v>52062.098999999995</v>
      </c>
      <c r="Q39" s="2">
        <f>SalesData[[#This Row],[Sales_amount]]-SalesData[[#This Row],[Total_Cost]]</f>
        <v>-19286.151000000005</v>
      </c>
      <c r="R39" s="2">
        <f>SalesData[[#This Row],[Profit]]/SalesData[[#This Row],[Sales_amount]]</f>
        <v>-0.37044512938289342</v>
      </c>
      <c r="S39" s="2">
        <f>SalesData[[#This Row],[Unit_Price]]-SalesData[[#This Row],[Unit_Cost]]</f>
        <v>131.90999999999985</v>
      </c>
      <c r="T39" s="10">
        <f>SalesData[[#This Row],[Unit_Margin]]/SalesData[[#This Row],[Unit_Price]]</f>
        <v>2.6983958138145726E-2</v>
      </c>
      <c r="U39" s="2" t="str">
        <f>IF(SalesData[[#This Row],[Unit_Margin]]&lt;0, "Negative margin", "Positive margin")</f>
        <v>Positive margin</v>
      </c>
      <c r="V39" s="2" t="str">
        <f>IF(SalesData[[#This Row],[Profit]]&lt;0, "Loss", "Profit")</f>
        <v>Loss</v>
      </c>
      <c r="W39" s="2">
        <f>SalesData[[#This Row],[Unit_Price]]*(1-SalesData[[#This Row],[Discount]])</f>
        <v>3470.8065999999999</v>
      </c>
      <c r="X39" s="2">
        <f>SalesData[[#This Row],[Effective_Unit_Price]]-SalesData[[#This Row],[Unit_Cost]]</f>
        <v>-1285.7434000000003</v>
      </c>
      <c r="Y39" s="2" t="str">
        <f>IF(SalesData[[#This Row],[Effective_Unit_Margin]]&lt;0,"Loss per Unit","Positive per Unit")</f>
        <v>Loss per Unit</v>
      </c>
    </row>
    <row r="40" spans="1:25" x14ac:dyDescent="0.3">
      <c r="A40">
        <v>1062</v>
      </c>
      <c r="B40" s="1">
        <v>45248</v>
      </c>
      <c r="C40" t="s">
        <v>41</v>
      </c>
      <c r="D40" t="s">
        <v>33</v>
      </c>
      <c r="E40">
        <v>12</v>
      </c>
      <c r="F40" t="s">
        <v>15</v>
      </c>
      <c r="G40">
        <v>1088.99</v>
      </c>
      <c r="H40">
        <v>1545</v>
      </c>
      <c r="I40" t="s">
        <v>16</v>
      </c>
      <c r="J40" s="2">
        <v>0.04</v>
      </c>
      <c r="K40" t="s">
        <v>26</v>
      </c>
      <c r="L40" t="s">
        <v>21</v>
      </c>
      <c r="M40" t="s">
        <v>51</v>
      </c>
      <c r="N40">
        <f>SalesData[[#This Row],[Quantity_Sold]]*SalesData[[#This Row],[Unit_Cost]]</f>
        <v>13067.880000000001</v>
      </c>
      <c r="O40">
        <f>SalesData[[#This Row],[Quantity_Sold]]*SalesData[[#This Row],[Unit_Price]]</f>
        <v>18540</v>
      </c>
      <c r="P40">
        <f>SalesData[[#This Row],[Gross_sales]]*(1-SalesData[[#This Row],[Discount]])</f>
        <v>17798.399999999998</v>
      </c>
      <c r="Q40" s="2">
        <f>SalesData[[#This Row],[Sales_amount]]-SalesData[[#This Row],[Total_Cost]]</f>
        <v>4730.5199999999968</v>
      </c>
      <c r="R40" s="2">
        <f>SalesData[[#This Row],[Profit]]/SalesData[[#This Row],[Sales_amount]]</f>
        <v>0.26578344120819836</v>
      </c>
      <c r="S40" s="2">
        <f>SalesData[[#This Row],[Unit_Price]]-SalesData[[#This Row],[Unit_Cost]]</f>
        <v>456.01</v>
      </c>
      <c r="T40" s="10">
        <f>SalesData[[#This Row],[Unit_Margin]]/SalesData[[#This Row],[Unit_Price]]</f>
        <v>0.29515210355987054</v>
      </c>
      <c r="U40" s="2" t="str">
        <f>IF(SalesData[[#This Row],[Unit_Margin]]&lt;0, "Negative margin", "Positive margin")</f>
        <v>Positive margin</v>
      </c>
      <c r="V40" s="2" t="str">
        <f>IF(SalesData[[#This Row],[Profit]]&lt;0, "Loss", "Profit")</f>
        <v>Profit</v>
      </c>
      <c r="W40" s="2">
        <f>SalesData[[#This Row],[Unit_Price]]*(1-SalesData[[#This Row],[Discount]])</f>
        <v>1483.2</v>
      </c>
      <c r="X40" s="2">
        <f>SalesData[[#This Row],[Effective_Unit_Price]]-SalesData[[#This Row],[Unit_Cost]]</f>
        <v>394.21000000000004</v>
      </c>
      <c r="Y40" s="2" t="str">
        <f>IF(SalesData[[#This Row],[Effective_Unit_Margin]]&lt;0,"Loss per Unit","Positive per Unit")</f>
        <v>Positive per Unit</v>
      </c>
    </row>
    <row r="41" spans="1:25" x14ac:dyDescent="0.3">
      <c r="A41">
        <v>1047</v>
      </c>
      <c r="B41" s="1">
        <v>45146</v>
      </c>
      <c r="C41" t="s">
        <v>23</v>
      </c>
      <c r="D41" t="s">
        <v>14</v>
      </c>
      <c r="E41">
        <v>33</v>
      </c>
      <c r="F41" t="s">
        <v>34</v>
      </c>
      <c r="G41">
        <v>1341.55</v>
      </c>
      <c r="H41">
        <v>1427.21</v>
      </c>
      <c r="I41" t="s">
        <v>16</v>
      </c>
      <c r="J41" s="2">
        <v>0.15</v>
      </c>
      <c r="K41" t="s">
        <v>30</v>
      </c>
      <c r="L41" t="s">
        <v>18</v>
      </c>
      <c r="M41" t="s">
        <v>44</v>
      </c>
      <c r="N41">
        <f>SalesData[[#This Row],[Quantity_Sold]]*SalesData[[#This Row],[Unit_Cost]]</f>
        <v>44271.15</v>
      </c>
      <c r="O41">
        <f>SalesData[[#This Row],[Quantity_Sold]]*SalesData[[#This Row],[Unit_Price]]</f>
        <v>47097.93</v>
      </c>
      <c r="P41">
        <f>SalesData[[#This Row],[Gross_sales]]*(1-SalesData[[#This Row],[Discount]])</f>
        <v>40033.2405</v>
      </c>
      <c r="Q41" s="2">
        <f>SalesData[[#This Row],[Sales_amount]]-SalesData[[#This Row],[Total_Cost]]</f>
        <v>-4237.9095000000016</v>
      </c>
      <c r="R41" s="2">
        <f>SalesData[[#This Row],[Profit]]/SalesData[[#This Row],[Sales_amount]]</f>
        <v>-0.10585976671061643</v>
      </c>
      <c r="S41" s="2">
        <f>SalesData[[#This Row],[Unit_Price]]-SalesData[[#This Row],[Unit_Cost]]</f>
        <v>85.660000000000082</v>
      </c>
      <c r="T41" s="10">
        <f>SalesData[[#This Row],[Unit_Margin]]/SalesData[[#This Row],[Unit_Price]]</f>
        <v>6.0019198295976121E-2</v>
      </c>
      <c r="U41" s="2" t="str">
        <f>IF(SalesData[[#This Row],[Unit_Margin]]&lt;0, "Negative margin", "Positive margin")</f>
        <v>Positive margin</v>
      </c>
      <c r="V41" s="2" t="str">
        <f>IF(SalesData[[#This Row],[Profit]]&lt;0, "Loss", "Profit")</f>
        <v>Loss</v>
      </c>
      <c r="W41" s="2">
        <f>SalesData[[#This Row],[Unit_Price]]*(1-SalesData[[#This Row],[Discount]])</f>
        <v>1213.1285</v>
      </c>
      <c r="X41" s="2">
        <f>SalesData[[#This Row],[Effective_Unit_Price]]-SalesData[[#This Row],[Unit_Cost]]</f>
        <v>-128.42149999999992</v>
      </c>
      <c r="Y41" s="2" t="str">
        <f>IF(SalesData[[#This Row],[Effective_Unit_Margin]]&lt;0,"Loss per Unit","Positive per Unit")</f>
        <v>Loss per Unit</v>
      </c>
    </row>
    <row r="42" spans="1:25" x14ac:dyDescent="0.3">
      <c r="A42">
        <v>1062</v>
      </c>
      <c r="B42" s="1">
        <v>45001</v>
      </c>
      <c r="C42" t="s">
        <v>23</v>
      </c>
      <c r="D42" t="s">
        <v>20</v>
      </c>
      <c r="E42">
        <v>45</v>
      </c>
      <c r="F42" t="s">
        <v>15</v>
      </c>
      <c r="G42">
        <v>4849.6000000000004</v>
      </c>
      <c r="H42">
        <v>5166.72</v>
      </c>
      <c r="I42" t="s">
        <v>16</v>
      </c>
      <c r="J42" s="2">
        <v>0.25</v>
      </c>
      <c r="K42" t="s">
        <v>30</v>
      </c>
      <c r="L42" t="s">
        <v>18</v>
      </c>
      <c r="M42" t="s">
        <v>46</v>
      </c>
      <c r="N42">
        <f>SalesData[[#This Row],[Quantity_Sold]]*SalesData[[#This Row],[Unit_Cost]]</f>
        <v>218232.00000000003</v>
      </c>
      <c r="O42">
        <f>SalesData[[#This Row],[Quantity_Sold]]*SalesData[[#This Row],[Unit_Price]]</f>
        <v>232502.40000000002</v>
      </c>
      <c r="P42">
        <f>SalesData[[#This Row],[Gross_sales]]*(1-SalesData[[#This Row],[Discount]])</f>
        <v>174376.80000000002</v>
      </c>
      <c r="Q42" s="2">
        <f>SalesData[[#This Row],[Sales_amount]]-SalesData[[#This Row],[Total_Cost]]</f>
        <v>-43855.200000000012</v>
      </c>
      <c r="R42" s="2">
        <f>SalesData[[#This Row],[Profit]]/SalesData[[#This Row],[Sales_amount]]</f>
        <v>-0.2514967587431356</v>
      </c>
      <c r="S42" s="2">
        <f>SalesData[[#This Row],[Unit_Price]]-SalesData[[#This Row],[Unit_Cost]]</f>
        <v>317.11999999999989</v>
      </c>
      <c r="T42" s="10">
        <f>SalesData[[#This Row],[Unit_Margin]]/SalesData[[#This Row],[Unit_Price]]</f>
        <v>6.137743094264831E-2</v>
      </c>
      <c r="U42" s="2" t="str">
        <f>IF(SalesData[[#This Row],[Unit_Margin]]&lt;0, "Negative margin", "Positive margin")</f>
        <v>Positive margin</v>
      </c>
      <c r="V42" s="2" t="str">
        <f>IF(SalesData[[#This Row],[Profit]]&lt;0, "Loss", "Profit")</f>
        <v>Loss</v>
      </c>
      <c r="W42" s="2">
        <f>SalesData[[#This Row],[Unit_Price]]*(1-SalesData[[#This Row],[Discount]])</f>
        <v>3875.04</v>
      </c>
      <c r="X42" s="2">
        <f>SalesData[[#This Row],[Effective_Unit_Price]]-SalesData[[#This Row],[Unit_Cost]]</f>
        <v>-974.5600000000004</v>
      </c>
      <c r="Y42" s="2" t="str">
        <f>IF(SalesData[[#This Row],[Effective_Unit_Margin]]&lt;0,"Loss per Unit","Positive per Unit")</f>
        <v>Loss per Unit</v>
      </c>
    </row>
    <row r="43" spans="1:25" x14ac:dyDescent="0.3">
      <c r="A43">
        <v>1051</v>
      </c>
      <c r="B43" s="1">
        <v>44930</v>
      </c>
      <c r="C43" t="s">
        <v>37</v>
      </c>
      <c r="D43" t="s">
        <v>14</v>
      </c>
      <c r="E43">
        <v>14</v>
      </c>
      <c r="F43" t="s">
        <v>34</v>
      </c>
      <c r="G43">
        <v>3686.81</v>
      </c>
      <c r="H43">
        <v>3710.92</v>
      </c>
      <c r="I43" t="s">
        <v>29</v>
      </c>
      <c r="J43" s="2">
        <v>0.1</v>
      </c>
      <c r="K43" t="s">
        <v>26</v>
      </c>
      <c r="L43" t="s">
        <v>21</v>
      </c>
      <c r="M43" t="s">
        <v>39</v>
      </c>
      <c r="N43">
        <f>SalesData[[#This Row],[Quantity_Sold]]*SalesData[[#This Row],[Unit_Cost]]</f>
        <v>51615.34</v>
      </c>
      <c r="O43">
        <f>SalesData[[#This Row],[Quantity_Sold]]*SalesData[[#This Row],[Unit_Price]]</f>
        <v>51952.880000000005</v>
      </c>
      <c r="P43">
        <f>SalesData[[#This Row],[Gross_sales]]*(1-SalesData[[#This Row],[Discount]])</f>
        <v>46757.592000000004</v>
      </c>
      <c r="Q43" s="2">
        <f>SalesData[[#This Row],[Sales_amount]]-SalesData[[#This Row],[Total_Cost]]</f>
        <v>-4857.7479999999923</v>
      </c>
      <c r="R43" s="2">
        <f>SalesData[[#This Row],[Profit]]/SalesData[[#This Row],[Sales_amount]]</f>
        <v>-0.10389217648333969</v>
      </c>
      <c r="S43" s="2">
        <f>SalesData[[#This Row],[Unit_Price]]-SalesData[[#This Row],[Unit_Cost]]</f>
        <v>24.110000000000127</v>
      </c>
      <c r="T43" s="10">
        <f>SalesData[[#This Row],[Unit_Margin]]/SalesData[[#This Row],[Unit_Price]]</f>
        <v>6.4970411649941592E-3</v>
      </c>
      <c r="U43" s="2" t="str">
        <f>IF(SalesData[[#This Row],[Unit_Margin]]&lt;0, "Negative margin", "Positive margin")</f>
        <v>Positive margin</v>
      </c>
      <c r="V43" s="2" t="str">
        <f>IF(SalesData[[#This Row],[Profit]]&lt;0, "Loss", "Profit")</f>
        <v>Loss</v>
      </c>
      <c r="W43" s="2">
        <f>SalesData[[#This Row],[Unit_Price]]*(1-SalesData[[#This Row],[Discount]])</f>
        <v>3339.828</v>
      </c>
      <c r="X43" s="2">
        <f>SalesData[[#This Row],[Effective_Unit_Price]]-SalesData[[#This Row],[Unit_Cost]]</f>
        <v>-346.98199999999997</v>
      </c>
      <c r="Y43" s="2" t="str">
        <f>IF(SalesData[[#This Row],[Effective_Unit_Margin]]&lt;0,"Loss per Unit","Positive per Unit")</f>
        <v>Loss per Unit</v>
      </c>
    </row>
    <row r="44" spans="1:25" x14ac:dyDescent="0.3">
      <c r="A44">
        <v>1055</v>
      </c>
      <c r="B44" s="1">
        <v>45261</v>
      </c>
      <c r="C44" t="s">
        <v>32</v>
      </c>
      <c r="D44" t="s">
        <v>20</v>
      </c>
      <c r="E44">
        <v>8</v>
      </c>
      <c r="F44" t="s">
        <v>15</v>
      </c>
      <c r="G44">
        <v>3513</v>
      </c>
      <c r="H44">
        <v>3838.42</v>
      </c>
      <c r="I44" t="s">
        <v>16</v>
      </c>
      <c r="J44" s="2">
        <v>0.13</v>
      </c>
      <c r="K44" t="s">
        <v>26</v>
      </c>
      <c r="L44" t="s">
        <v>18</v>
      </c>
      <c r="M44" t="s">
        <v>36</v>
      </c>
      <c r="N44">
        <f>SalesData[[#This Row],[Quantity_Sold]]*SalesData[[#This Row],[Unit_Cost]]</f>
        <v>28104</v>
      </c>
      <c r="O44">
        <f>SalesData[[#This Row],[Quantity_Sold]]*SalesData[[#This Row],[Unit_Price]]</f>
        <v>30707.360000000001</v>
      </c>
      <c r="P44">
        <f>SalesData[[#This Row],[Gross_sales]]*(1-SalesData[[#This Row],[Discount]])</f>
        <v>26715.403200000001</v>
      </c>
      <c r="Q44" s="2">
        <f>SalesData[[#This Row],[Sales_amount]]-SalesData[[#This Row],[Total_Cost]]</f>
        <v>-1388.5967999999993</v>
      </c>
      <c r="R44" s="2">
        <f>SalesData[[#This Row],[Profit]]/SalesData[[#This Row],[Sales_amount]]</f>
        <v>-5.1977385091459119E-2</v>
      </c>
      <c r="S44" s="2">
        <f>SalesData[[#This Row],[Unit_Price]]-SalesData[[#This Row],[Unit_Cost]]</f>
        <v>325.42000000000007</v>
      </c>
      <c r="T44" s="10">
        <f>SalesData[[#This Row],[Unit_Margin]]/SalesData[[#This Row],[Unit_Price]]</f>
        <v>8.4779674970430555E-2</v>
      </c>
      <c r="U44" s="2" t="str">
        <f>IF(SalesData[[#This Row],[Unit_Margin]]&lt;0, "Negative margin", "Positive margin")</f>
        <v>Positive margin</v>
      </c>
      <c r="V44" s="2" t="str">
        <f>IF(SalesData[[#This Row],[Profit]]&lt;0, "Loss", "Profit")</f>
        <v>Loss</v>
      </c>
      <c r="W44" s="2">
        <f>SalesData[[#This Row],[Unit_Price]]*(1-SalesData[[#This Row],[Discount]])</f>
        <v>3339.4254000000001</v>
      </c>
      <c r="X44" s="2">
        <f>SalesData[[#This Row],[Effective_Unit_Price]]-SalesData[[#This Row],[Unit_Cost]]</f>
        <v>-173.57459999999992</v>
      </c>
      <c r="Y44" s="2" t="str">
        <f>IF(SalesData[[#This Row],[Effective_Unit_Margin]]&lt;0,"Loss per Unit","Positive per Unit")</f>
        <v>Loss per Unit</v>
      </c>
    </row>
    <row r="45" spans="1:25" x14ac:dyDescent="0.3">
      <c r="A45">
        <v>1064</v>
      </c>
      <c r="B45" s="1">
        <v>45060</v>
      </c>
      <c r="C45" t="s">
        <v>13</v>
      </c>
      <c r="D45" t="s">
        <v>24</v>
      </c>
      <c r="E45">
        <v>8</v>
      </c>
      <c r="F45" t="s">
        <v>34</v>
      </c>
      <c r="G45">
        <v>4271.99</v>
      </c>
      <c r="H45">
        <v>4417.79</v>
      </c>
      <c r="I45" t="s">
        <v>16</v>
      </c>
      <c r="J45" s="2">
        <v>0.04</v>
      </c>
      <c r="K45" t="s">
        <v>17</v>
      </c>
      <c r="L45" t="s">
        <v>18</v>
      </c>
      <c r="M45" t="s">
        <v>31</v>
      </c>
      <c r="N45">
        <f>SalesData[[#This Row],[Quantity_Sold]]*SalesData[[#This Row],[Unit_Cost]]</f>
        <v>34175.919999999998</v>
      </c>
      <c r="O45">
        <f>SalesData[[#This Row],[Quantity_Sold]]*SalesData[[#This Row],[Unit_Price]]</f>
        <v>35342.32</v>
      </c>
      <c r="P45">
        <f>SalesData[[#This Row],[Gross_sales]]*(1-SalesData[[#This Row],[Discount]])</f>
        <v>33928.627199999995</v>
      </c>
      <c r="Q45" s="2">
        <f>SalesData[[#This Row],[Sales_amount]]-SalesData[[#This Row],[Total_Cost]]</f>
        <v>-247.2928000000029</v>
      </c>
      <c r="R45" s="2">
        <f>SalesData[[#This Row],[Profit]]/SalesData[[#This Row],[Sales_amount]]</f>
        <v>-7.2886179137835244E-3</v>
      </c>
      <c r="S45" s="2">
        <f>SalesData[[#This Row],[Unit_Price]]-SalesData[[#This Row],[Unit_Cost]]</f>
        <v>145.80000000000018</v>
      </c>
      <c r="T45" s="10">
        <f>SalesData[[#This Row],[Unit_Margin]]/SalesData[[#This Row],[Unit_Price]]</f>
        <v>3.3002926802767944E-2</v>
      </c>
      <c r="U45" s="2" t="str">
        <f>IF(SalesData[[#This Row],[Unit_Margin]]&lt;0, "Negative margin", "Positive margin")</f>
        <v>Positive margin</v>
      </c>
      <c r="V45" s="2" t="str">
        <f>IF(SalesData[[#This Row],[Profit]]&lt;0, "Loss", "Profit")</f>
        <v>Loss</v>
      </c>
      <c r="W45" s="2">
        <f>SalesData[[#This Row],[Unit_Price]]*(1-SalesData[[#This Row],[Discount]])</f>
        <v>4241.0783999999994</v>
      </c>
      <c r="X45" s="2">
        <f>SalesData[[#This Row],[Effective_Unit_Price]]-SalesData[[#This Row],[Unit_Cost]]</f>
        <v>-30.911600000000362</v>
      </c>
      <c r="Y45" s="2" t="str">
        <f>IF(SalesData[[#This Row],[Effective_Unit_Margin]]&lt;0,"Loss per Unit","Positive per Unit")</f>
        <v>Loss per Unit</v>
      </c>
    </row>
    <row r="46" spans="1:25" x14ac:dyDescent="0.3">
      <c r="A46">
        <v>1003</v>
      </c>
      <c r="B46" s="1">
        <v>45044</v>
      </c>
      <c r="C46" t="s">
        <v>32</v>
      </c>
      <c r="D46" t="s">
        <v>24</v>
      </c>
      <c r="E46">
        <v>27</v>
      </c>
      <c r="F46" t="s">
        <v>15</v>
      </c>
      <c r="G46">
        <v>623.32000000000005</v>
      </c>
      <c r="H46">
        <v>853.66</v>
      </c>
      <c r="I46" t="s">
        <v>16</v>
      </c>
      <c r="J46" s="2">
        <v>0.04</v>
      </c>
      <c r="K46" t="s">
        <v>17</v>
      </c>
      <c r="L46" t="s">
        <v>18</v>
      </c>
      <c r="M46" t="s">
        <v>43</v>
      </c>
      <c r="N46">
        <f>SalesData[[#This Row],[Quantity_Sold]]*SalesData[[#This Row],[Unit_Cost]]</f>
        <v>16829.640000000003</v>
      </c>
      <c r="O46">
        <f>SalesData[[#This Row],[Quantity_Sold]]*SalesData[[#This Row],[Unit_Price]]</f>
        <v>23048.82</v>
      </c>
      <c r="P46">
        <f>SalesData[[#This Row],[Gross_sales]]*(1-SalesData[[#This Row],[Discount]])</f>
        <v>22126.867200000001</v>
      </c>
      <c r="Q46" s="2">
        <f>SalesData[[#This Row],[Sales_amount]]-SalesData[[#This Row],[Total_Cost]]</f>
        <v>5297.2271999999975</v>
      </c>
      <c r="R46" s="2">
        <f>SalesData[[#This Row],[Profit]]/SalesData[[#This Row],[Sales_amount]]</f>
        <v>0.23940249435762861</v>
      </c>
      <c r="S46" s="2">
        <f>SalesData[[#This Row],[Unit_Price]]-SalesData[[#This Row],[Unit_Cost]]</f>
        <v>230.33999999999992</v>
      </c>
      <c r="T46" s="10">
        <f>SalesData[[#This Row],[Unit_Margin]]/SalesData[[#This Row],[Unit_Price]]</f>
        <v>0.26982639458332347</v>
      </c>
      <c r="U46" s="2" t="str">
        <f>IF(SalesData[[#This Row],[Unit_Margin]]&lt;0, "Negative margin", "Positive margin")</f>
        <v>Positive margin</v>
      </c>
      <c r="V46" s="2" t="str">
        <f>IF(SalesData[[#This Row],[Profit]]&lt;0, "Loss", "Profit")</f>
        <v>Profit</v>
      </c>
      <c r="W46" s="2">
        <f>SalesData[[#This Row],[Unit_Price]]*(1-SalesData[[#This Row],[Discount]])</f>
        <v>819.51359999999988</v>
      </c>
      <c r="X46" s="2">
        <f>SalesData[[#This Row],[Effective_Unit_Price]]-SalesData[[#This Row],[Unit_Cost]]</f>
        <v>196.19359999999983</v>
      </c>
      <c r="Y46" s="2" t="str">
        <f>IF(SalesData[[#This Row],[Effective_Unit_Margin]]&lt;0,"Loss per Unit","Positive per Unit")</f>
        <v>Positive per Unit</v>
      </c>
    </row>
    <row r="47" spans="1:25" x14ac:dyDescent="0.3">
      <c r="A47">
        <v>1051</v>
      </c>
      <c r="B47" s="1">
        <v>45020</v>
      </c>
      <c r="C47" t="s">
        <v>13</v>
      </c>
      <c r="D47" t="s">
        <v>33</v>
      </c>
      <c r="E47">
        <v>12</v>
      </c>
      <c r="F47" t="s">
        <v>34</v>
      </c>
      <c r="G47">
        <v>3544.48</v>
      </c>
      <c r="H47">
        <v>3723.66</v>
      </c>
      <c r="I47" t="s">
        <v>16</v>
      </c>
      <c r="J47" s="2">
        <v>0.19</v>
      </c>
      <c r="K47" t="s">
        <v>17</v>
      </c>
      <c r="L47" t="s">
        <v>18</v>
      </c>
      <c r="M47" t="s">
        <v>45</v>
      </c>
      <c r="N47">
        <f>SalesData[[#This Row],[Quantity_Sold]]*SalesData[[#This Row],[Unit_Cost]]</f>
        <v>42533.760000000002</v>
      </c>
      <c r="O47">
        <f>SalesData[[#This Row],[Quantity_Sold]]*SalesData[[#This Row],[Unit_Price]]</f>
        <v>44683.92</v>
      </c>
      <c r="P47">
        <f>SalesData[[#This Row],[Gross_sales]]*(1-SalesData[[#This Row],[Discount]])</f>
        <v>36193.975200000001</v>
      </c>
      <c r="Q47" s="2">
        <f>SalesData[[#This Row],[Sales_amount]]-SalesData[[#This Row],[Total_Cost]]</f>
        <v>-6339.7848000000013</v>
      </c>
      <c r="R47" s="2">
        <f>SalesData[[#This Row],[Profit]]/SalesData[[#This Row],[Sales_amount]]</f>
        <v>-0.17516132906009177</v>
      </c>
      <c r="S47" s="2">
        <f>SalesData[[#This Row],[Unit_Price]]-SalesData[[#This Row],[Unit_Cost]]</f>
        <v>179.17999999999984</v>
      </c>
      <c r="T47" s="10">
        <f>SalesData[[#This Row],[Unit_Margin]]/SalesData[[#This Row],[Unit_Price]]</f>
        <v>4.8119323461325643E-2</v>
      </c>
      <c r="U47" s="2" t="str">
        <f>IF(SalesData[[#This Row],[Unit_Margin]]&lt;0, "Negative margin", "Positive margin")</f>
        <v>Positive margin</v>
      </c>
      <c r="V47" s="2" t="str">
        <f>IF(SalesData[[#This Row],[Profit]]&lt;0, "Loss", "Profit")</f>
        <v>Loss</v>
      </c>
      <c r="W47" s="2">
        <f>SalesData[[#This Row],[Unit_Price]]*(1-SalesData[[#This Row],[Discount]])</f>
        <v>3016.1646000000001</v>
      </c>
      <c r="X47" s="2">
        <f>SalesData[[#This Row],[Effective_Unit_Price]]-SalesData[[#This Row],[Unit_Cost]]</f>
        <v>-528.31539999999995</v>
      </c>
      <c r="Y47" s="2" t="str">
        <f>IF(SalesData[[#This Row],[Effective_Unit_Margin]]&lt;0,"Loss per Unit","Positive per Unit")</f>
        <v>Loss per Unit</v>
      </c>
    </row>
    <row r="48" spans="1:25" x14ac:dyDescent="0.3">
      <c r="A48">
        <v>1007</v>
      </c>
      <c r="B48" s="1">
        <v>44988</v>
      </c>
      <c r="C48" t="s">
        <v>37</v>
      </c>
      <c r="D48" t="s">
        <v>20</v>
      </c>
      <c r="E48">
        <v>1</v>
      </c>
      <c r="F48" t="s">
        <v>25</v>
      </c>
      <c r="G48">
        <v>2543.2600000000002</v>
      </c>
      <c r="H48">
        <v>2637.91</v>
      </c>
      <c r="I48" t="s">
        <v>16</v>
      </c>
      <c r="J48" s="2">
        <v>0.2</v>
      </c>
      <c r="K48" t="s">
        <v>30</v>
      </c>
      <c r="L48" t="s">
        <v>18</v>
      </c>
      <c r="M48" t="s">
        <v>40</v>
      </c>
      <c r="N48">
        <f>SalesData[[#This Row],[Quantity_Sold]]*SalesData[[#This Row],[Unit_Cost]]</f>
        <v>2543.2600000000002</v>
      </c>
      <c r="O48">
        <f>SalesData[[#This Row],[Quantity_Sold]]*SalesData[[#This Row],[Unit_Price]]</f>
        <v>2637.91</v>
      </c>
      <c r="P48">
        <f>SalesData[[#This Row],[Gross_sales]]*(1-SalesData[[#This Row],[Discount]])</f>
        <v>2110.328</v>
      </c>
      <c r="Q48" s="2">
        <f>SalesData[[#This Row],[Sales_amount]]-SalesData[[#This Row],[Total_Cost]]</f>
        <v>-432.93200000000024</v>
      </c>
      <c r="R48" s="2">
        <f>SalesData[[#This Row],[Profit]]/SalesData[[#This Row],[Sales_amount]]</f>
        <v>-0.20514915216971022</v>
      </c>
      <c r="S48" s="2">
        <f>SalesData[[#This Row],[Unit_Price]]-SalesData[[#This Row],[Unit_Cost]]</f>
        <v>94.649999999999636</v>
      </c>
      <c r="T48" s="10">
        <f>SalesData[[#This Row],[Unit_Margin]]/SalesData[[#This Row],[Unit_Price]]</f>
        <v>3.5880678264231775E-2</v>
      </c>
      <c r="U48" s="2" t="str">
        <f>IF(SalesData[[#This Row],[Unit_Margin]]&lt;0, "Negative margin", "Positive margin")</f>
        <v>Positive margin</v>
      </c>
      <c r="V48" s="2" t="str">
        <f>IF(SalesData[[#This Row],[Profit]]&lt;0, "Loss", "Profit")</f>
        <v>Loss</v>
      </c>
      <c r="W48" s="2">
        <f>SalesData[[#This Row],[Unit_Price]]*(1-SalesData[[#This Row],[Discount]])</f>
        <v>2110.328</v>
      </c>
      <c r="X48" s="2">
        <f>SalesData[[#This Row],[Effective_Unit_Price]]-SalesData[[#This Row],[Unit_Cost]]</f>
        <v>-432.93200000000024</v>
      </c>
      <c r="Y48" s="2" t="str">
        <f>IF(SalesData[[#This Row],[Effective_Unit_Margin]]&lt;0,"Loss per Unit","Positive per Unit")</f>
        <v>Loss per Unit</v>
      </c>
    </row>
    <row r="49" spans="1:25" x14ac:dyDescent="0.3">
      <c r="A49">
        <v>1021</v>
      </c>
      <c r="B49" s="1">
        <v>45120</v>
      </c>
      <c r="C49" t="s">
        <v>13</v>
      </c>
      <c r="D49" t="s">
        <v>20</v>
      </c>
      <c r="E49">
        <v>43</v>
      </c>
      <c r="F49" t="s">
        <v>15</v>
      </c>
      <c r="G49">
        <v>4154.3</v>
      </c>
      <c r="H49">
        <v>4469.07</v>
      </c>
      <c r="I49" t="s">
        <v>16</v>
      </c>
      <c r="J49" s="2">
        <v>0.23</v>
      </c>
      <c r="K49" t="s">
        <v>17</v>
      </c>
      <c r="L49" t="s">
        <v>21</v>
      </c>
      <c r="M49" t="s">
        <v>22</v>
      </c>
      <c r="N49">
        <f>SalesData[[#This Row],[Quantity_Sold]]*SalesData[[#This Row],[Unit_Cost]]</f>
        <v>178634.9</v>
      </c>
      <c r="O49">
        <f>SalesData[[#This Row],[Quantity_Sold]]*SalesData[[#This Row],[Unit_Price]]</f>
        <v>192170.00999999998</v>
      </c>
      <c r="P49">
        <f>SalesData[[#This Row],[Gross_sales]]*(1-SalesData[[#This Row],[Discount]])</f>
        <v>147970.90769999998</v>
      </c>
      <c r="Q49" s="2">
        <f>SalesData[[#This Row],[Sales_amount]]-SalesData[[#This Row],[Total_Cost]]</f>
        <v>-30663.992300000013</v>
      </c>
      <c r="R49" s="2">
        <f>SalesData[[#This Row],[Profit]]/SalesData[[#This Row],[Sales_amount]]</f>
        <v>-0.20722987225413916</v>
      </c>
      <c r="S49" s="2">
        <f>SalesData[[#This Row],[Unit_Price]]-SalesData[[#This Row],[Unit_Cost]]</f>
        <v>314.76999999999953</v>
      </c>
      <c r="T49" s="10">
        <f>SalesData[[#This Row],[Unit_Margin]]/SalesData[[#This Row],[Unit_Price]]</f>
        <v>7.0432998364312827E-2</v>
      </c>
      <c r="U49" s="2" t="str">
        <f>IF(SalesData[[#This Row],[Unit_Margin]]&lt;0, "Negative margin", "Positive margin")</f>
        <v>Positive margin</v>
      </c>
      <c r="V49" s="2" t="str">
        <f>IF(SalesData[[#This Row],[Profit]]&lt;0, "Loss", "Profit")</f>
        <v>Loss</v>
      </c>
      <c r="W49" s="2">
        <f>SalesData[[#This Row],[Unit_Price]]*(1-SalesData[[#This Row],[Discount]])</f>
        <v>3441.1839</v>
      </c>
      <c r="X49" s="2">
        <f>SalesData[[#This Row],[Effective_Unit_Price]]-SalesData[[#This Row],[Unit_Cost]]</f>
        <v>-713.11610000000019</v>
      </c>
      <c r="Y49" s="2" t="str">
        <f>IF(SalesData[[#This Row],[Effective_Unit_Margin]]&lt;0,"Loss per Unit","Positive per Unit")</f>
        <v>Loss per Unit</v>
      </c>
    </row>
    <row r="50" spans="1:25" x14ac:dyDescent="0.3">
      <c r="A50">
        <v>1073</v>
      </c>
      <c r="B50" s="1">
        <v>45261</v>
      </c>
      <c r="C50" t="s">
        <v>23</v>
      </c>
      <c r="D50" t="s">
        <v>20</v>
      </c>
      <c r="E50">
        <v>40</v>
      </c>
      <c r="F50" t="s">
        <v>15</v>
      </c>
      <c r="G50">
        <v>2565.3000000000002</v>
      </c>
      <c r="H50">
        <v>3007.47</v>
      </c>
      <c r="I50" t="s">
        <v>16</v>
      </c>
      <c r="J50" s="2">
        <v>0.17</v>
      </c>
      <c r="K50" t="s">
        <v>30</v>
      </c>
      <c r="L50" t="s">
        <v>21</v>
      </c>
      <c r="M50" t="s">
        <v>46</v>
      </c>
      <c r="N50">
        <f>SalesData[[#This Row],[Quantity_Sold]]*SalesData[[#This Row],[Unit_Cost]]</f>
        <v>102612</v>
      </c>
      <c r="O50">
        <f>SalesData[[#This Row],[Quantity_Sold]]*SalesData[[#This Row],[Unit_Price]]</f>
        <v>120298.79999999999</v>
      </c>
      <c r="P50">
        <f>SalesData[[#This Row],[Gross_sales]]*(1-SalesData[[#This Row],[Discount]])</f>
        <v>99848.003999999986</v>
      </c>
      <c r="Q50" s="2">
        <f>SalesData[[#This Row],[Sales_amount]]-SalesData[[#This Row],[Total_Cost]]</f>
        <v>-2763.9960000000137</v>
      </c>
      <c r="R50" s="2">
        <f>SalesData[[#This Row],[Profit]]/SalesData[[#This Row],[Sales_amount]]</f>
        <v>-2.768203558681067E-2</v>
      </c>
      <c r="S50" s="2">
        <f>SalesData[[#This Row],[Unit_Price]]-SalesData[[#This Row],[Unit_Cost]]</f>
        <v>442.16999999999962</v>
      </c>
      <c r="T50" s="10">
        <f>SalesData[[#This Row],[Unit_Margin]]/SalesData[[#This Row],[Unit_Price]]</f>
        <v>0.14702391046294713</v>
      </c>
      <c r="U50" s="2" t="str">
        <f>IF(SalesData[[#This Row],[Unit_Margin]]&lt;0, "Negative margin", "Positive margin")</f>
        <v>Positive margin</v>
      </c>
      <c r="V50" s="2" t="str">
        <f>IF(SalesData[[#This Row],[Profit]]&lt;0, "Loss", "Profit")</f>
        <v>Loss</v>
      </c>
      <c r="W50" s="2">
        <f>SalesData[[#This Row],[Unit_Price]]*(1-SalesData[[#This Row],[Discount]])</f>
        <v>2496.2000999999996</v>
      </c>
      <c r="X50" s="2">
        <f>SalesData[[#This Row],[Effective_Unit_Price]]-SalesData[[#This Row],[Unit_Cost]]</f>
        <v>-69.099900000000616</v>
      </c>
      <c r="Y50" s="2" t="str">
        <f>IF(SalesData[[#This Row],[Effective_Unit_Margin]]&lt;0,"Loss per Unit","Positive per Unit")</f>
        <v>Loss per Unit</v>
      </c>
    </row>
    <row r="51" spans="1:25" x14ac:dyDescent="0.3">
      <c r="A51">
        <v>1039</v>
      </c>
      <c r="B51" s="1">
        <v>45129</v>
      </c>
      <c r="C51" t="s">
        <v>41</v>
      </c>
      <c r="D51" t="s">
        <v>33</v>
      </c>
      <c r="E51">
        <v>42</v>
      </c>
      <c r="F51" t="s">
        <v>28</v>
      </c>
      <c r="G51">
        <v>3120.19</v>
      </c>
      <c r="H51">
        <v>3600.14</v>
      </c>
      <c r="I51" t="s">
        <v>16</v>
      </c>
      <c r="J51" s="2">
        <v>0.19</v>
      </c>
      <c r="K51" t="s">
        <v>30</v>
      </c>
      <c r="L51" t="s">
        <v>21</v>
      </c>
      <c r="M51" t="s">
        <v>51</v>
      </c>
      <c r="N51">
        <f>SalesData[[#This Row],[Quantity_Sold]]*SalesData[[#This Row],[Unit_Cost]]</f>
        <v>131047.98</v>
      </c>
      <c r="O51">
        <f>SalesData[[#This Row],[Quantity_Sold]]*SalesData[[#This Row],[Unit_Price]]</f>
        <v>151205.88</v>
      </c>
      <c r="P51">
        <f>SalesData[[#This Row],[Gross_sales]]*(1-SalesData[[#This Row],[Discount]])</f>
        <v>122476.76280000001</v>
      </c>
      <c r="Q51" s="2">
        <f>SalesData[[#This Row],[Sales_amount]]-SalesData[[#This Row],[Total_Cost]]</f>
        <v>-8571.2171999999846</v>
      </c>
      <c r="R51" s="2">
        <f>SalesData[[#This Row],[Profit]]/SalesData[[#This Row],[Sales_amount]]</f>
        <v>-6.9982395060493738E-2</v>
      </c>
      <c r="S51" s="2">
        <f>SalesData[[#This Row],[Unit_Price]]-SalesData[[#This Row],[Unit_Cost]]</f>
        <v>479.94999999999982</v>
      </c>
      <c r="T51" s="10">
        <f>SalesData[[#This Row],[Unit_Margin]]/SalesData[[#This Row],[Unit_Price]]</f>
        <v>0.13331426000099991</v>
      </c>
      <c r="U51" s="2" t="str">
        <f>IF(SalesData[[#This Row],[Unit_Margin]]&lt;0, "Negative margin", "Positive margin")</f>
        <v>Positive margin</v>
      </c>
      <c r="V51" s="2" t="str">
        <f>IF(SalesData[[#This Row],[Profit]]&lt;0, "Loss", "Profit")</f>
        <v>Loss</v>
      </c>
      <c r="W51" s="2">
        <f>SalesData[[#This Row],[Unit_Price]]*(1-SalesData[[#This Row],[Discount]])</f>
        <v>2916.1134000000002</v>
      </c>
      <c r="X51" s="2">
        <f>SalesData[[#This Row],[Effective_Unit_Price]]-SalesData[[#This Row],[Unit_Cost]]</f>
        <v>-204.07659999999987</v>
      </c>
      <c r="Y51" s="2" t="str">
        <f>IF(SalesData[[#This Row],[Effective_Unit_Margin]]&lt;0,"Loss per Unit","Positive per Unit")</f>
        <v>Loss per Unit</v>
      </c>
    </row>
    <row r="52" spans="1:25" x14ac:dyDescent="0.3">
      <c r="A52">
        <v>1018</v>
      </c>
      <c r="B52" s="1">
        <v>44952</v>
      </c>
      <c r="C52" t="s">
        <v>41</v>
      </c>
      <c r="D52" t="s">
        <v>33</v>
      </c>
      <c r="E52">
        <v>11</v>
      </c>
      <c r="F52" t="s">
        <v>28</v>
      </c>
      <c r="G52">
        <v>2414.8200000000002</v>
      </c>
      <c r="H52">
        <v>2519.0700000000002</v>
      </c>
      <c r="I52" t="s">
        <v>16</v>
      </c>
      <c r="J52" s="2">
        <v>0</v>
      </c>
      <c r="K52" t="s">
        <v>17</v>
      </c>
      <c r="L52" t="s">
        <v>18</v>
      </c>
      <c r="M52" t="s">
        <v>51</v>
      </c>
      <c r="N52">
        <f>SalesData[[#This Row],[Quantity_Sold]]*SalesData[[#This Row],[Unit_Cost]]</f>
        <v>26563.02</v>
      </c>
      <c r="O52">
        <f>SalesData[[#This Row],[Quantity_Sold]]*SalesData[[#This Row],[Unit_Price]]</f>
        <v>27709.77</v>
      </c>
      <c r="P52">
        <f>SalesData[[#This Row],[Gross_sales]]*(1-SalesData[[#This Row],[Discount]])</f>
        <v>27709.77</v>
      </c>
      <c r="Q52" s="2">
        <f>SalesData[[#This Row],[Sales_amount]]-SalesData[[#This Row],[Total_Cost]]</f>
        <v>1146.75</v>
      </c>
      <c r="R52" s="2">
        <f>SalesData[[#This Row],[Profit]]/SalesData[[#This Row],[Sales_amount]]</f>
        <v>4.1384320403958605E-2</v>
      </c>
      <c r="S52" s="2">
        <f>SalesData[[#This Row],[Unit_Price]]-SalesData[[#This Row],[Unit_Cost]]</f>
        <v>104.25</v>
      </c>
      <c r="T52" s="10">
        <f>SalesData[[#This Row],[Unit_Margin]]/SalesData[[#This Row],[Unit_Price]]</f>
        <v>4.1384320403958598E-2</v>
      </c>
      <c r="U52" s="2" t="str">
        <f>IF(SalesData[[#This Row],[Unit_Margin]]&lt;0, "Negative margin", "Positive margin")</f>
        <v>Positive margin</v>
      </c>
      <c r="V52" s="2" t="str">
        <f>IF(SalesData[[#This Row],[Profit]]&lt;0, "Loss", "Profit")</f>
        <v>Profit</v>
      </c>
      <c r="W52" s="2">
        <f>SalesData[[#This Row],[Unit_Price]]*(1-SalesData[[#This Row],[Discount]])</f>
        <v>2519.0700000000002</v>
      </c>
      <c r="X52" s="2">
        <f>SalesData[[#This Row],[Effective_Unit_Price]]-SalesData[[#This Row],[Unit_Cost]]</f>
        <v>104.25</v>
      </c>
      <c r="Y52" s="2" t="str">
        <f>IF(SalesData[[#This Row],[Effective_Unit_Margin]]&lt;0,"Loss per Unit","Positive per Unit")</f>
        <v>Positive per Unit</v>
      </c>
    </row>
    <row r="53" spans="1:25" x14ac:dyDescent="0.3">
      <c r="A53">
        <v>1004</v>
      </c>
      <c r="B53" s="1">
        <v>45099</v>
      </c>
      <c r="C53" t="s">
        <v>37</v>
      </c>
      <c r="D53" t="s">
        <v>24</v>
      </c>
      <c r="E53">
        <v>39</v>
      </c>
      <c r="F53" t="s">
        <v>34</v>
      </c>
      <c r="G53">
        <v>2416.89</v>
      </c>
      <c r="H53">
        <v>2778.3999999999901</v>
      </c>
      <c r="I53" t="s">
        <v>16</v>
      </c>
      <c r="J53" s="2">
        <v>0.05</v>
      </c>
      <c r="K53" t="s">
        <v>17</v>
      </c>
      <c r="L53" t="s">
        <v>18</v>
      </c>
      <c r="M53" t="s">
        <v>38</v>
      </c>
      <c r="N53">
        <f>SalesData[[#This Row],[Quantity_Sold]]*SalesData[[#This Row],[Unit_Cost]]</f>
        <v>94258.709999999992</v>
      </c>
      <c r="O53">
        <f>SalesData[[#This Row],[Quantity_Sold]]*SalesData[[#This Row],[Unit_Price]]</f>
        <v>108357.59999999961</v>
      </c>
      <c r="P53">
        <f>SalesData[[#This Row],[Gross_sales]]*(1-SalesData[[#This Row],[Discount]])</f>
        <v>102939.71999999962</v>
      </c>
      <c r="Q53" s="2">
        <f>SalesData[[#This Row],[Sales_amount]]-SalesData[[#This Row],[Total_Cost]]</f>
        <v>8681.009999999631</v>
      </c>
      <c r="R53" s="2">
        <f>SalesData[[#This Row],[Profit]]/SalesData[[#This Row],[Sales_amount]]</f>
        <v>8.4331004591810269E-2</v>
      </c>
      <c r="S53" s="2">
        <f>SalesData[[#This Row],[Unit_Price]]-SalesData[[#This Row],[Unit_Cost]]</f>
        <v>361.50999999999021</v>
      </c>
      <c r="T53" s="10">
        <f>SalesData[[#This Row],[Unit_Margin]]/SalesData[[#This Row],[Unit_Price]]</f>
        <v>0.1301144543622198</v>
      </c>
      <c r="U53" s="2" t="str">
        <f>IF(SalesData[[#This Row],[Unit_Margin]]&lt;0, "Negative margin", "Positive margin")</f>
        <v>Positive margin</v>
      </c>
      <c r="V53" s="2" t="str">
        <f>IF(SalesData[[#This Row],[Profit]]&lt;0, "Loss", "Profit")</f>
        <v>Profit</v>
      </c>
      <c r="W53" s="2">
        <f>SalesData[[#This Row],[Unit_Price]]*(1-SalesData[[#This Row],[Discount]])</f>
        <v>2639.4799999999905</v>
      </c>
      <c r="X53" s="2">
        <f>SalesData[[#This Row],[Effective_Unit_Price]]-SalesData[[#This Row],[Unit_Cost]]</f>
        <v>222.5899999999906</v>
      </c>
      <c r="Y53" s="2" t="str">
        <f>IF(SalesData[[#This Row],[Effective_Unit_Margin]]&lt;0,"Loss per Unit","Positive per Unit")</f>
        <v>Positive per Unit</v>
      </c>
    </row>
    <row r="54" spans="1:25" x14ac:dyDescent="0.3">
      <c r="A54">
        <v>1089</v>
      </c>
      <c r="B54" s="1">
        <v>45226</v>
      </c>
      <c r="C54" t="s">
        <v>23</v>
      </c>
      <c r="D54" t="s">
        <v>14</v>
      </c>
      <c r="E54">
        <v>43</v>
      </c>
      <c r="F54" t="s">
        <v>15</v>
      </c>
      <c r="G54">
        <v>3851.45</v>
      </c>
      <c r="H54">
        <v>4186.9799999999996</v>
      </c>
      <c r="I54" t="s">
        <v>16</v>
      </c>
      <c r="J54" s="2">
        <v>0.3</v>
      </c>
      <c r="K54" t="s">
        <v>30</v>
      </c>
      <c r="L54" t="s">
        <v>18</v>
      </c>
      <c r="M54" t="s">
        <v>44</v>
      </c>
      <c r="N54">
        <f>SalesData[[#This Row],[Quantity_Sold]]*SalesData[[#This Row],[Unit_Cost]]</f>
        <v>165612.35</v>
      </c>
      <c r="O54">
        <f>SalesData[[#This Row],[Quantity_Sold]]*SalesData[[#This Row],[Unit_Price]]</f>
        <v>180040.13999999998</v>
      </c>
      <c r="P54">
        <f>SalesData[[#This Row],[Gross_sales]]*(1-SalesData[[#This Row],[Discount]])</f>
        <v>126028.09799999998</v>
      </c>
      <c r="Q54" s="2">
        <f>SalesData[[#This Row],[Sales_amount]]-SalesData[[#This Row],[Total_Cost]]</f>
        <v>-39584.252000000022</v>
      </c>
      <c r="R54" s="2">
        <f>SalesData[[#This Row],[Profit]]/SalesData[[#This Row],[Sales_amount]]</f>
        <v>-0.3140906879353208</v>
      </c>
      <c r="S54" s="2">
        <f>SalesData[[#This Row],[Unit_Price]]-SalesData[[#This Row],[Unit_Cost]]</f>
        <v>335.52999999999975</v>
      </c>
      <c r="T54" s="10">
        <f>SalesData[[#This Row],[Unit_Margin]]/SalesData[[#This Row],[Unit_Price]]</f>
        <v>8.0136518445275542E-2</v>
      </c>
      <c r="U54" s="2" t="str">
        <f>IF(SalesData[[#This Row],[Unit_Margin]]&lt;0, "Negative margin", "Positive margin")</f>
        <v>Positive margin</v>
      </c>
      <c r="V54" s="2" t="str">
        <f>IF(SalesData[[#This Row],[Profit]]&lt;0, "Loss", "Profit")</f>
        <v>Loss</v>
      </c>
      <c r="W54" s="2">
        <f>SalesData[[#This Row],[Unit_Price]]*(1-SalesData[[#This Row],[Discount]])</f>
        <v>2930.8859999999995</v>
      </c>
      <c r="X54" s="2">
        <f>SalesData[[#This Row],[Effective_Unit_Price]]-SalesData[[#This Row],[Unit_Cost]]</f>
        <v>-920.56400000000031</v>
      </c>
      <c r="Y54" s="2" t="str">
        <f>IF(SalesData[[#This Row],[Effective_Unit_Margin]]&lt;0,"Loss per Unit","Positive per Unit")</f>
        <v>Loss per Unit</v>
      </c>
    </row>
    <row r="55" spans="1:25" x14ac:dyDescent="0.3">
      <c r="A55">
        <v>1060</v>
      </c>
      <c r="B55" s="1">
        <v>45059</v>
      </c>
      <c r="C55" t="s">
        <v>32</v>
      </c>
      <c r="D55" t="s">
        <v>20</v>
      </c>
      <c r="E55">
        <v>31</v>
      </c>
      <c r="F55" t="s">
        <v>34</v>
      </c>
      <c r="G55">
        <v>3161.4</v>
      </c>
      <c r="H55">
        <v>3339.66</v>
      </c>
      <c r="I55" t="s">
        <v>16</v>
      </c>
      <c r="J55" s="2">
        <v>0.02</v>
      </c>
      <c r="K55" t="s">
        <v>26</v>
      </c>
      <c r="L55" t="s">
        <v>18</v>
      </c>
      <c r="M55" t="s">
        <v>36</v>
      </c>
      <c r="N55">
        <f>SalesData[[#This Row],[Quantity_Sold]]*SalesData[[#This Row],[Unit_Cost]]</f>
        <v>98003.400000000009</v>
      </c>
      <c r="O55">
        <f>SalesData[[#This Row],[Quantity_Sold]]*SalesData[[#This Row],[Unit_Price]]</f>
        <v>103529.45999999999</v>
      </c>
      <c r="P55">
        <f>SalesData[[#This Row],[Gross_sales]]*(1-SalesData[[#This Row],[Discount]])</f>
        <v>101458.87079999999</v>
      </c>
      <c r="Q55" s="2">
        <f>SalesData[[#This Row],[Sales_amount]]-SalesData[[#This Row],[Total_Cost]]</f>
        <v>3455.470799999981</v>
      </c>
      <c r="R55" s="2">
        <f>SalesData[[#This Row],[Profit]]/SalesData[[#This Row],[Sales_amount]]</f>
        <v>3.40578480004134E-2</v>
      </c>
      <c r="S55" s="2">
        <f>SalesData[[#This Row],[Unit_Price]]-SalesData[[#This Row],[Unit_Cost]]</f>
        <v>178.25999999999976</v>
      </c>
      <c r="T55" s="10">
        <f>SalesData[[#This Row],[Unit_Margin]]/SalesData[[#This Row],[Unit_Price]]</f>
        <v>5.3376691040405246E-2</v>
      </c>
      <c r="U55" s="2" t="str">
        <f>IF(SalesData[[#This Row],[Unit_Margin]]&lt;0, "Negative margin", "Positive margin")</f>
        <v>Positive margin</v>
      </c>
      <c r="V55" s="2" t="str">
        <f>IF(SalesData[[#This Row],[Profit]]&lt;0, "Loss", "Profit")</f>
        <v>Profit</v>
      </c>
      <c r="W55" s="2">
        <f>SalesData[[#This Row],[Unit_Price]]*(1-SalesData[[#This Row],[Discount]])</f>
        <v>3272.8667999999998</v>
      </c>
      <c r="X55" s="2">
        <f>SalesData[[#This Row],[Effective_Unit_Price]]-SalesData[[#This Row],[Unit_Cost]]</f>
        <v>111.46679999999969</v>
      </c>
      <c r="Y55" s="2" t="str">
        <f>IF(SalesData[[#This Row],[Effective_Unit_Margin]]&lt;0,"Loss per Unit","Positive per Unit")</f>
        <v>Positive per Unit</v>
      </c>
    </row>
    <row r="56" spans="1:25" x14ac:dyDescent="0.3">
      <c r="A56">
        <v>1014</v>
      </c>
      <c r="B56" s="1">
        <v>45252</v>
      </c>
      <c r="C56" t="s">
        <v>23</v>
      </c>
      <c r="D56" t="s">
        <v>20</v>
      </c>
      <c r="E56">
        <v>17</v>
      </c>
      <c r="F56" t="s">
        <v>25</v>
      </c>
      <c r="G56">
        <v>3184.65</v>
      </c>
      <c r="H56">
        <v>3204.01</v>
      </c>
      <c r="I56" t="s">
        <v>29</v>
      </c>
      <c r="J56" s="2">
        <v>0.2</v>
      </c>
      <c r="K56" t="s">
        <v>26</v>
      </c>
      <c r="L56" t="s">
        <v>18</v>
      </c>
      <c r="M56" t="s">
        <v>46</v>
      </c>
      <c r="N56">
        <f>SalesData[[#This Row],[Quantity_Sold]]*SalesData[[#This Row],[Unit_Cost]]</f>
        <v>54139.05</v>
      </c>
      <c r="O56">
        <f>SalesData[[#This Row],[Quantity_Sold]]*SalesData[[#This Row],[Unit_Price]]</f>
        <v>54468.170000000006</v>
      </c>
      <c r="P56">
        <f>SalesData[[#This Row],[Gross_sales]]*(1-SalesData[[#This Row],[Discount]])</f>
        <v>43574.536000000007</v>
      </c>
      <c r="Q56" s="2">
        <f>SalesData[[#This Row],[Sales_amount]]-SalesData[[#This Row],[Total_Cost]]</f>
        <v>-10564.513999999996</v>
      </c>
      <c r="R56" s="2">
        <f>SalesData[[#This Row],[Profit]]/SalesData[[#This Row],[Sales_amount]]</f>
        <v>-0.24244696489711318</v>
      </c>
      <c r="S56" s="2">
        <f>SalesData[[#This Row],[Unit_Price]]-SalesData[[#This Row],[Unit_Cost]]</f>
        <v>19.360000000000127</v>
      </c>
      <c r="T56" s="10">
        <f>SalesData[[#This Row],[Unit_Margin]]/SalesData[[#This Row],[Unit_Price]]</f>
        <v>6.0424280823093953E-3</v>
      </c>
      <c r="U56" s="2" t="str">
        <f>IF(SalesData[[#This Row],[Unit_Margin]]&lt;0, "Negative margin", "Positive margin")</f>
        <v>Positive margin</v>
      </c>
      <c r="V56" s="2" t="str">
        <f>IF(SalesData[[#This Row],[Profit]]&lt;0, "Loss", "Profit")</f>
        <v>Loss</v>
      </c>
      <c r="W56" s="2">
        <f>SalesData[[#This Row],[Unit_Price]]*(1-SalesData[[#This Row],[Discount]])</f>
        <v>2563.2080000000005</v>
      </c>
      <c r="X56" s="2">
        <f>SalesData[[#This Row],[Effective_Unit_Price]]-SalesData[[#This Row],[Unit_Cost]]</f>
        <v>-621.44199999999955</v>
      </c>
      <c r="Y56" s="2" t="str">
        <f>IF(SalesData[[#This Row],[Effective_Unit_Margin]]&lt;0,"Loss per Unit","Positive per Unit")</f>
        <v>Loss per Unit</v>
      </c>
    </row>
    <row r="57" spans="1:25" x14ac:dyDescent="0.3">
      <c r="A57">
        <v>1009</v>
      </c>
      <c r="B57" s="1">
        <v>45044</v>
      </c>
      <c r="C57" t="s">
        <v>41</v>
      </c>
      <c r="D57" t="s">
        <v>14</v>
      </c>
      <c r="E57">
        <v>33</v>
      </c>
      <c r="F57" t="s">
        <v>28</v>
      </c>
      <c r="G57">
        <v>2278.9</v>
      </c>
      <c r="H57">
        <v>2626.9</v>
      </c>
      <c r="I57" t="s">
        <v>29</v>
      </c>
      <c r="J57" s="2">
        <v>0.05</v>
      </c>
      <c r="K57" t="s">
        <v>30</v>
      </c>
      <c r="L57" t="s">
        <v>18</v>
      </c>
      <c r="M57" t="s">
        <v>48</v>
      </c>
      <c r="N57">
        <f>SalesData[[#This Row],[Quantity_Sold]]*SalesData[[#This Row],[Unit_Cost]]</f>
        <v>75203.7</v>
      </c>
      <c r="O57">
        <f>SalesData[[#This Row],[Quantity_Sold]]*SalesData[[#This Row],[Unit_Price]]</f>
        <v>86687.7</v>
      </c>
      <c r="P57">
        <f>SalesData[[#This Row],[Gross_sales]]*(1-SalesData[[#This Row],[Discount]])</f>
        <v>82353.314999999988</v>
      </c>
      <c r="Q57" s="2">
        <f>SalesData[[#This Row],[Sales_amount]]-SalesData[[#This Row],[Total_Cost]]</f>
        <v>7149.6149999999907</v>
      </c>
      <c r="R57" s="2">
        <f>SalesData[[#This Row],[Profit]]/SalesData[[#This Row],[Sales_amount]]</f>
        <v>8.6816359487168079E-2</v>
      </c>
      <c r="S57" s="2">
        <f>SalesData[[#This Row],[Unit_Price]]-SalesData[[#This Row],[Unit_Cost]]</f>
        <v>348</v>
      </c>
      <c r="T57" s="10">
        <f>SalesData[[#This Row],[Unit_Margin]]/SalesData[[#This Row],[Unit_Price]]</f>
        <v>0.13247554151280977</v>
      </c>
      <c r="U57" s="2" t="str">
        <f>IF(SalesData[[#This Row],[Unit_Margin]]&lt;0, "Negative margin", "Positive margin")</f>
        <v>Positive margin</v>
      </c>
      <c r="V57" s="2" t="str">
        <f>IF(SalesData[[#This Row],[Profit]]&lt;0, "Loss", "Profit")</f>
        <v>Profit</v>
      </c>
      <c r="W57" s="2">
        <f>SalesData[[#This Row],[Unit_Price]]*(1-SalesData[[#This Row],[Discount]])</f>
        <v>2495.5549999999998</v>
      </c>
      <c r="X57" s="2">
        <f>SalesData[[#This Row],[Effective_Unit_Price]]-SalesData[[#This Row],[Unit_Cost]]</f>
        <v>216.65499999999975</v>
      </c>
      <c r="Y57" s="2" t="str">
        <f>IF(SalesData[[#This Row],[Effective_Unit_Margin]]&lt;0,"Loss per Unit","Positive per Unit")</f>
        <v>Positive per Unit</v>
      </c>
    </row>
    <row r="58" spans="1:25" x14ac:dyDescent="0.3">
      <c r="A58">
        <v>1090</v>
      </c>
      <c r="B58" s="1">
        <v>45250</v>
      </c>
      <c r="C58" t="s">
        <v>41</v>
      </c>
      <c r="D58" t="s">
        <v>20</v>
      </c>
      <c r="E58">
        <v>32</v>
      </c>
      <c r="F58" t="s">
        <v>34</v>
      </c>
      <c r="G58">
        <v>2678.99</v>
      </c>
      <c r="H58">
        <v>3152.2799999999902</v>
      </c>
      <c r="I58" t="s">
        <v>16</v>
      </c>
      <c r="J58" s="2">
        <v>0.22</v>
      </c>
      <c r="K58" t="s">
        <v>17</v>
      </c>
      <c r="L58" t="s">
        <v>21</v>
      </c>
      <c r="M58" t="s">
        <v>50</v>
      </c>
      <c r="N58">
        <f>SalesData[[#This Row],[Quantity_Sold]]*SalesData[[#This Row],[Unit_Cost]]</f>
        <v>85727.679999999993</v>
      </c>
      <c r="O58">
        <f>SalesData[[#This Row],[Quantity_Sold]]*SalesData[[#This Row],[Unit_Price]]</f>
        <v>100872.95999999969</v>
      </c>
      <c r="P58">
        <f>SalesData[[#This Row],[Gross_sales]]*(1-SalesData[[#This Row],[Discount]])</f>
        <v>78680.908799999757</v>
      </c>
      <c r="Q58" s="2">
        <f>SalesData[[#This Row],[Sales_amount]]-SalesData[[#This Row],[Total_Cost]]</f>
        <v>-7046.7712000002357</v>
      </c>
      <c r="R58" s="2">
        <f>SalesData[[#This Row],[Profit]]/SalesData[[#This Row],[Sales_amount]]</f>
        <v>-8.9561385442465266E-2</v>
      </c>
      <c r="S58" s="2">
        <f>SalesData[[#This Row],[Unit_Price]]-SalesData[[#This Row],[Unit_Cost]]</f>
        <v>473.28999999999041</v>
      </c>
      <c r="T58" s="10">
        <f>SalesData[[#This Row],[Unit_Margin]]/SalesData[[#This Row],[Unit_Price]]</f>
        <v>0.15014211935487706</v>
      </c>
      <c r="U58" s="2" t="str">
        <f>IF(SalesData[[#This Row],[Unit_Margin]]&lt;0, "Negative margin", "Positive margin")</f>
        <v>Positive margin</v>
      </c>
      <c r="V58" s="2" t="str">
        <f>IF(SalesData[[#This Row],[Profit]]&lt;0, "Loss", "Profit")</f>
        <v>Loss</v>
      </c>
      <c r="W58" s="2">
        <f>SalesData[[#This Row],[Unit_Price]]*(1-SalesData[[#This Row],[Discount]])</f>
        <v>2458.7783999999924</v>
      </c>
      <c r="X58" s="2">
        <f>SalesData[[#This Row],[Effective_Unit_Price]]-SalesData[[#This Row],[Unit_Cost]]</f>
        <v>-220.21160000000737</v>
      </c>
      <c r="Y58" s="2" t="str">
        <f>IF(SalesData[[#This Row],[Effective_Unit_Margin]]&lt;0,"Loss per Unit","Positive per Unit")</f>
        <v>Loss per Unit</v>
      </c>
    </row>
    <row r="59" spans="1:25" x14ac:dyDescent="0.3">
      <c r="A59">
        <v>1053</v>
      </c>
      <c r="B59" s="1">
        <v>45201</v>
      </c>
      <c r="C59" t="s">
        <v>23</v>
      </c>
      <c r="D59" t="s">
        <v>33</v>
      </c>
      <c r="E59">
        <v>29</v>
      </c>
      <c r="F59" t="s">
        <v>34</v>
      </c>
      <c r="G59">
        <v>3741.3</v>
      </c>
      <c r="H59">
        <v>4061.04</v>
      </c>
      <c r="I59" t="s">
        <v>16</v>
      </c>
      <c r="J59" s="2">
        <v>0.21</v>
      </c>
      <c r="K59" t="s">
        <v>30</v>
      </c>
      <c r="L59" t="s">
        <v>18</v>
      </c>
      <c r="M59" t="s">
        <v>49</v>
      </c>
      <c r="N59">
        <f>SalesData[[#This Row],[Quantity_Sold]]*SalesData[[#This Row],[Unit_Cost]]</f>
        <v>108497.70000000001</v>
      </c>
      <c r="O59">
        <f>SalesData[[#This Row],[Quantity_Sold]]*SalesData[[#This Row],[Unit_Price]]</f>
        <v>117770.16</v>
      </c>
      <c r="P59">
        <f>SalesData[[#This Row],[Gross_sales]]*(1-SalesData[[#This Row],[Discount]])</f>
        <v>93038.426400000011</v>
      </c>
      <c r="Q59" s="2">
        <f>SalesData[[#This Row],[Sales_amount]]-SalesData[[#This Row],[Total_Cost]]</f>
        <v>-15459.2736</v>
      </c>
      <c r="R59" s="2">
        <f>SalesData[[#This Row],[Profit]]/SalesData[[#This Row],[Sales_amount]]</f>
        <v>-0.16616009318059574</v>
      </c>
      <c r="S59" s="2">
        <f>SalesData[[#This Row],[Unit_Price]]-SalesData[[#This Row],[Unit_Cost]]</f>
        <v>319.73999999999978</v>
      </c>
      <c r="T59" s="10">
        <f>SalesData[[#This Row],[Unit_Margin]]/SalesData[[#This Row],[Unit_Price]]</f>
        <v>7.8733526387329306E-2</v>
      </c>
      <c r="U59" s="2" t="str">
        <f>IF(SalesData[[#This Row],[Unit_Margin]]&lt;0, "Negative margin", "Positive margin")</f>
        <v>Positive margin</v>
      </c>
      <c r="V59" s="2" t="str">
        <f>IF(SalesData[[#This Row],[Profit]]&lt;0, "Loss", "Profit")</f>
        <v>Loss</v>
      </c>
      <c r="W59" s="2">
        <f>SalesData[[#This Row],[Unit_Price]]*(1-SalesData[[#This Row],[Discount]])</f>
        <v>3208.2216000000003</v>
      </c>
      <c r="X59" s="2">
        <f>SalesData[[#This Row],[Effective_Unit_Price]]-SalesData[[#This Row],[Unit_Cost]]</f>
        <v>-533.07839999999987</v>
      </c>
      <c r="Y59" s="2" t="str">
        <f>IF(SalesData[[#This Row],[Effective_Unit_Margin]]&lt;0,"Loss per Unit","Positive per Unit")</f>
        <v>Loss per Unit</v>
      </c>
    </row>
    <row r="60" spans="1:25" x14ac:dyDescent="0.3">
      <c r="A60">
        <v>1002</v>
      </c>
      <c r="B60" s="1">
        <v>45138</v>
      </c>
      <c r="C60" t="s">
        <v>23</v>
      </c>
      <c r="D60" t="s">
        <v>33</v>
      </c>
      <c r="E60">
        <v>21</v>
      </c>
      <c r="F60" t="s">
        <v>28</v>
      </c>
      <c r="G60">
        <v>4138.41</v>
      </c>
      <c r="H60">
        <v>4361.7</v>
      </c>
      <c r="I60" t="s">
        <v>16</v>
      </c>
      <c r="J60" s="2">
        <v>7.0000000000000007E-2</v>
      </c>
      <c r="K60" t="s">
        <v>30</v>
      </c>
      <c r="L60" t="s">
        <v>21</v>
      </c>
      <c r="M60" t="s">
        <v>49</v>
      </c>
      <c r="N60">
        <f>SalesData[[#This Row],[Quantity_Sold]]*SalesData[[#This Row],[Unit_Cost]]</f>
        <v>86906.61</v>
      </c>
      <c r="O60">
        <f>SalesData[[#This Row],[Quantity_Sold]]*SalesData[[#This Row],[Unit_Price]]</f>
        <v>91595.7</v>
      </c>
      <c r="P60">
        <f>SalesData[[#This Row],[Gross_sales]]*(1-SalesData[[#This Row],[Discount]])</f>
        <v>85184.000999999989</v>
      </c>
      <c r="Q60" s="2">
        <f>SalesData[[#This Row],[Sales_amount]]-SalesData[[#This Row],[Total_Cost]]</f>
        <v>-1722.6090000000113</v>
      </c>
      <c r="R60" s="2">
        <f>SalesData[[#This Row],[Profit]]/SalesData[[#This Row],[Sales_amount]]</f>
        <v>-2.0222212854266043E-2</v>
      </c>
      <c r="S60" s="2">
        <f>SalesData[[#This Row],[Unit_Price]]-SalesData[[#This Row],[Unit_Cost]]</f>
        <v>223.28999999999996</v>
      </c>
      <c r="T60" s="10">
        <f>SalesData[[#This Row],[Unit_Margin]]/SalesData[[#This Row],[Unit_Price]]</f>
        <v>5.1193342045532698E-2</v>
      </c>
      <c r="U60" s="2" t="str">
        <f>IF(SalesData[[#This Row],[Unit_Margin]]&lt;0, "Negative margin", "Positive margin")</f>
        <v>Positive margin</v>
      </c>
      <c r="V60" s="2" t="str">
        <f>IF(SalesData[[#This Row],[Profit]]&lt;0, "Loss", "Profit")</f>
        <v>Loss</v>
      </c>
      <c r="W60" s="2">
        <f>SalesData[[#This Row],[Unit_Price]]*(1-SalesData[[#This Row],[Discount]])</f>
        <v>4056.3809999999994</v>
      </c>
      <c r="X60" s="2">
        <f>SalesData[[#This Row],[Effective_Unit_Price]]-SalesData[[#This Row],[Unit_Cost]]</f>
        <v>-82.029000000000451</v>
      </c>
      <c r="Y60" s="2" t="str">
        <f>IF(SalesData[[#This Row],[Effective_Unit_Margin]]&lt;0,"Loss per Unit","Positive per Unit")</f>
        <v>Loss per Unit</v>
      </c>
    </row>
    <row r="61" spans="1:25" x14ac:dyDescent="0.3">
      <c r="A61">
        <v>1084</v>
      </c>
      <c r="B61" s="1">
        <v>45151</v>
      </c>
      <c r="C61" t="s">
        <v>41</v>
      </c>
      <c r="D61" t="s">
        <v>20</v>
      </c>
      <c r="E61">
        <v>21</v>
      </c>
      <c r="F61" t="s">
        <v>15</v>
      </c>
      <c r="G61">
        <v>3497.98</v>
      </c>
      <c r="H61">
        <v>3765.31</v>
      </c>
      <c r="I61" t="s">
        <v>29</v>
      </c>
      <c r="J61" s="2">
        <v>0.08</v>
      </c>
      <c r="K61" t="s">
        <v>17</v>
      </c>
      <c r="L61" t="s">
        <v>18</v>
      </c>
      <c r="M61" t="s">
        <v>50</v>
      </c>
      <c r="N61">
        <f>SalesData[[#This Row],[Quantity_Sold]]*SalesData[[#This Row],[Unit_Cost]]</f>
        <v>73457.58</v>
      </c>
      <c r="O61">
        <f>SalesData[[#This Row],[Quantity_Sold]]*SalesData[[#This Row],[Unit_Price]]</f>
        <v>79071.509999999995</v>
      </c>
      <c r="P61">
        <f>SalesData[[#This Row],[Gross_sales]]*(1-SalesData[[#This Row],[Discount]])</f>
        <v>72745.789199999999</v>
      </c>
      <c r="Q61" s="2">
        <f>SalesData[[#This Row],[Sales_amount]]-SalesData[[#This Row],[Total_Cost]]</f>
        <v>-711.79080000000249</v>
      </c>
      <c r="R61" s="2">
        <f>SalesData[[#This Row],[Profit]]/SalesData[[#This Row],[Sales_amount]]</f>
        <v>-9.7846323179349402E-3</v>
      </c>
      <c r="S61" s="2">
        <f>SalesData[[#This Row],[Unit_Price]]-SalesData[[#This Row],[Unit_Cost]]</f>
        <v>267.32999999999993</v>
      </c>
      <c r="T61" s="10">
        <f>SalesData[[#This Row],[Unit_Margin]]/SalesData[[#This Row],[Unit_Price]]</f>
        <v>7.0998138267499872E-2</v>
      </c>
      <c r="U61" s="2" t="str">
        <f>IF(SalesData[[#This Row],[Unit_Margin]]&lt;0, "Negative margin", "Positive margin")</f>
        <v>Positive margin</v>
      </c>
      <c r="V61" s="2" t="str">
        <f>IF(SalesData[[#This Row],[Profit]]&lt;0, "Loss", "Profit")</f>
        <v>Loss</v>
      </c>
      <c r="W61" s="2">
        <f>SalesData[[#This Row],[Unit_Price]]*(1-SalesData[[#This Row],[Discount]])</f>
        <v>3464.0852</v>
      </c>
      <c r="X61" s="2">
        <f>SalesData[[#This Row],[Effective_Unit_Price]]-SalesData[[#This Row],[Unit_Cost]]</f>
        <v>-33.894800000000032</v>
      </c>
      <c r="Y61" s="2" t="str">
        <f>IF(SalesData[[#This Row],[Effective_Unit_Margin]]&lt;0,"Loss per Unit","Positive per Unit")</f>
        <v>Loss per Unit</v>
      </c>
    </row>
    <row r="62" spans="1:25" x14ac:dyDescent="0.3">
      <c r="A62">
        <v>1092</v>
      </c>
      <c r="B62" s="1">
        <v>44946</v>
      </c>
      <c r="C62" t="s">
        <v>32</v>
      </c>
      <c r="D62" t="s">
        <v>33</v>
      </c>
      <c r="E62">
        <v>40</v>
      </c>
      <c r="F62" t="s">
        <v>34</v>
      </c>
      <c r="G62">
        <v>4624.16</v>
      </c>
      <c r="H62">
        <v>4731.9799999999996</v>
      </c>
      <c r="I62" t="s">
        <v>29</v>
      </c>
      <c r="J62" s="2">
        <v>0.2</v>
      </c>
      <c r="K62" t="s">
        <v>26</v>
      </c>
      <c r="L62" t="s">
        <v>21</v>
      </c>
      <c r="M62" t="s">
        <v>35</v>
      </c>
      <c r="N62">
        <f>SalesData[[#This Row],[Quantity_Sold]]*SalesData[[#This Row],[Unit_Cost]]</f>
        <v>184966.39999999999</v>
      </c>
      <c r="O62">
        <f>SalesData[[#This Row],[Quantity_Sold]]*SalesData[[#This Row],[Unit_Price]]</f>
        <v>189279.19999999998</v>
      </c>
      <c r="P62">
        <f>SalesData[[#This Row],[Gross_sales]]*(1-SalesData[[#This Row],[Discount]])</f>
        <v>151423.35999999999</v>
      </c>
      <c r="Q62" s="2">
        <f>SalesData[[#This Row],[Sales_amount]]-SalesData[[#This Row],[Total_Cost]]</f>
        <v>-33543.040000000008</v>
      </c>
      <c r="R62" s="2">
        <f>SalesData[[#This Row],[Profit]]/SalesData[[#This Row],[Sales_amount]]</f>
        <v>-0.22151826508142478</v>
      </c>
      <c r="S62" s="2">
        <f>SalesData[[#This Row],[Unit_Price]]-SalesData[[#This Row],[Unit_Cost]]</f>
        <v>107.81999999999971</v>
      </c>
      <c r="T62" s="10">
        <f>SalesData[[#This Row],[Unit_Margin]]/SalesData[[#This Row],[Unit_Price]]</f>
        <v>2.278538793486019E-2</v>
      </c>
      <c r="U62" s="2" t="str">
        <f>IF(SalesData[[#This Row],[Unit_Margin]]&lt;0, "Negative margin", "Positive margin")</f>
        <v>Positive margin</v>
      </c>
      <c r="V62" s="2" t="str">
        <f>IF(SalesData[[#This Row],[Profit]]&lt;0, "Loss", "Profit")</f>
        <v>Loss</v>
      </c>
      <c r="W62" s="2">
        <f>SalesData[[#This Row],[Unit_Price]]*(1-SalesData[[#This Row],[Discount]])</f>
        <v>3785.5839999999998</v>
      </c>
      <c r="X62" s="2">
        <f>SalesData[[#This Row],[Effective_Unit_Price]]-SalesData[[#This Row],[Unit_Cost]]</f>
        <v>-838.57600000000002</v>
      </c>
      <c r="Y62" s="2" t="str">
        <f>IF(SalesData[[#This Row],[Effective_Unit_Margin]]&lt;0,"Loss per Unit","Positive per Unit")</f>
        <v>Loss per Unit</v>
      </c>
    </row>
    <row r="63" spans="1:25" x14ac:dyDescent="0.3">
      <c r="A63">
        <v>1060</v>
      </c>
      <c r="B63" s="1">
        <v>45039</v>
      </c>
      <c r="C63" t="s">
        <v>37</v>
      </c>
      <c r="D63" t="s">
        <v>33</v>
      </c>
      <c r="E63">
        <v>23</v>
      </c>
      <c r="F63" t="s">
        <v>28</v>
      </c>
      <c r="G63">
        <v>4110.6000000000004</v>
      </c>
      <c r="H63">
        <v>4488.37</v>
      </c>
      <c r="I63" t="s">
        <v>29</v>
      </c>
      <c r="J63" s="2">
        <v>0.12</v>
      </c>
      <c r="K63" t="s">
        <v>30</v>
      </c>
      <c r="L63" t="s">
        <v>18</v>
      </c>
      <c r="M63" t="s">
        <v>47</v>
      </c>
      <c r="N63">
        <f>SalesData[[#This Row],[Quantity_Sold]]*SalesData[[#This Row],[Unit_Cost]]</f>
        <v>94543.8</v>
      </c>
      <c r="O63">
        <f>SalesData[[#This Row],[Quantity_Sold]]*SalesData[[#This Row],[Unit_Price]]</f>
        <v>103232.51</v>
      </c>
      <c r="P63">
        <f>SalesData[[#This Row],[Gross_sales]]*(1-SalesData[[#This Row],[Discount]])</f>
        <v>90844.608800000002</v>
      </c>
      <c r="Q63" s="2">
        <f>SalesData[[#This Row],[Sales_amount]]-SalesData[[#This Row],[Total_Cost]]</f>
        <v>-3699.1912000000011</v>
      </c>
      <c r="R63" s="2">
        <f>SalesData[[#This Row],[Profit]]/SalesData[[#This Row],[Sales_amount]]</f>
        <v>-4.0719986016385386E-2</v>
      </c>
      <c r="S63" s="2">
        <f>SalesData[[#This Row],[Unit_Price]]-SalesData[[#This Row],[Unit_Cost]]</f>
        <v>377.76999999999953</v>
      </c>
      <c r="T63" s="10">
        <f>SalesData[[#This Row],[Unit_Margin]]/SalesData[[#This Row],[Unit_Price]]</f>
        <v>8.4166412305580765E-2</v>
      </c>
      <c r="U63" s="2" t="str">
        <f>IF(SalesData[[#This Row],[Unit_Margin]]&lt;0, "Negative margin", "Positive margin")</f>
        <v>Positive margin</v>
      </c>
      <c r="V63" s="2" t="str">
        <f>IF(SalesData[[#This Row],[Profit]]&lt;0, "Loss", "Profit")</f>
        <v>Loss</v>
      </c>
      <c r="W63" s="2">
        <f>SalesData[[#This Row],[Unit_Price]]*(1-SalesData[[#This Row],[Discount]])</f>
        <v>3949.7655999999997</v>
      </c>
      <c r="X63" s="2">
        <f>SalesData[[#This Row],[Effective_Unit_Price]]-SalesData[[#This Row],[Unit_Cost]]</f>
        <v>-160.83440000000064</v>
      </c>
      <c r="Y63" s="2" t="str">
        <f>IF(SalesData[[#This Row],[Effective_Unit_Margin]]&lt;0,"Loss per Unit","Positive per Unit")</f>
        <v>Loss per Unit</v>
      </c>
    </row>
    <row r="64" spans="1:25" x14ac:dyDescent="0.3">
      <c r="A64">
        <v>1071</v>
      </c>
      <c r="B64" s="1">
        <v>45066</v>
      </c>
      <c r="C64" t="s">
        <v>37</v>
      </c>
      <c r="D64" t="s">
        <v>20</v>
      </c>
      <c r="E64">
        <v>6</v>
      </c>
      <c r="F64" t="s">
        <v>15</v>
      </c>
      <c r="G64">
        <v>2831.23</v>
      </c>
      <c r="H64">
        <v>3206.98</v>
      </c>
      <c r="I64" t="s">
        <v>16</v>
      </c>
      <c r="J64" s="2">
        <v>0.06</v>
      </c>
      <c r="K64" t="s">
        <v>26</v>
      </c>
      <c r="L64" t="s">
        <v>21</v>
      </c>
      <c r="M64" t="s">
        <v>40</v>
      </c>
      <c r="N64">
        <f>SalesData[[#This Row],[Quantity_Sold]]*SalesData[[#This Row],[Unit_Cost]]</f>
        <v>16987.38</v>
      </c>
      <c r="O64">
        <f>SalesData[[#This Row],[Quantity_Sold]]*SalesData[[#This Row],[Unit_Price]]</f>
        <v>19241.88</v>
      </c>
      <c r="P64">
        <f>SalesData[[#This Row],[Gross_sales]]*(1-SalesData[[#This Row],[Discount]])</f>
        <v>18087.367200000001</v>
      </c>
      <c r="Q64" s="2">
        <f>SalesData[[#This Row],[Sales_amount]]-SalesData[[#This Row],[Total_Cost]]</f>
        <v>1099.9871999999996</v>
      </c>
      <c r="R64" s="2">
        <f>SalesData[[#This Row],[Profit]]/SalesData[[#This Row],[Sales_amount]]</f>
        <v>6.0815219143668379E-2</v>
      </c>
      <c r="S64" s="2">
        <f>SalesData[[#This Row],[Unit_Price]]-SalesData[[#This Row],[Unit_Cost]]</f>
        <v>375.75</v>
      </c>
      <c r="T64" s="10">
        <f>SalesData[[#This Row],[Unit_Margin]]/SalesData[[#This Row],[Unit_Price]]</f>
        <v>0.11716630599504831</v>
      </c>
      <c r="U64" s="2" t="str">
        <f>IF(SalesData[[#This Row],[Unit_Margin]]&lt;0, "Negative margin", "Positive margin")</f>
        <v>Positive margin</v>
      </c>
      <c r="V64" s="2" t="str">
        <f>IF(SalesData[[#This Row],[Profit]]&lt;0, "Loss", "Profit")</f>
        <v>Profit</v>
      </c>
      <c r="W64" s="2">
        <f>SalesData[[#This Row],[Unit_Price]]*(1-SalesData[[#This Row],[Discount]])</f>
        <v>3014.5611999999996</v>
      </c>
      <c r="X64" s="2">
        <f>SalesData[[#This Row],[Effective_Unit_Price]]-SalesData[[#This Row],[Unit_Cost]]</f>
        <v>183.33119999999963</v>
      </c>
      <c r="Y64" s="2" t="str">
        <f>IF(SalesData[[#This Row],[Effective_Unit_Margin]]&lt;0,"Loss per Unit","Positive per Unit")</f>
        <v>Positive per Unit</v>
      </c>
    </row>
    <row r="65" spans="1:25" x14ac:dyDescent="0.3">
      <c r="A65">
        <v>1044</v>
      </c>
      <c r="B65" s="1">
        <v>44973</v>
      </c>
      <c r="C65" t="s">
        <v>23</v>
      </c>
      <c r="D65" t="s">
        <v>24</v>
      </c>
      <c r="E65">
        <v>22</v>
      </c>
      <c r="F65" t="s">
        <v>25</v>
      </c>
      <c r="G65">
        <v>3373.46</v>
      </c>
      <c r="H65">
        <v>3454.76</v>
      </c>
      <c r="I65" t="s">
        <v>16</v>
      </c>
      <c r="J65" s="2">
        <v>0.22</v>
      </c>
      <c r="K65" t="s">
        <v>26</v>
      </c>
      <c r="L65" t="s">
        <v>21</v>
      </c>
      <c r="M65" t="s">
        <v>27</v>
      </c>
      <c r="N65">
        <f>SalesData[[#This Row],[Quantity_Sold]]*SalesData[[#This Row],[Unit_Cost]]</f>
        <v>74216.12</v>
      </c>
      <c r="O65">
        <f>SalesData[[#This Row],[Quantity_Sold]]*SalesData[[#This Row],[Unit_Price]]</f>
        <v>76004.72</v>
      </c>
      <c r="P65">
        <f>SalesData[[#This Row],[Gross_sales]]*(1-SalesData[[#This Row],[Discount]])</f>
        <v>59283.681600000004</v>
      </c>
      <c r="Q65" s="2">
        <f>SalesData[[#This Row],[Sales_amount]]-SalesData[[#This Row],[Total_Cost]]</f>
        <v>-14932.438399999992</v>
      </c>
      <c r="R65" s="2">
        <f>SalesData[[#This Row],[Profit]]/SalesData[[#This Row],[Sales_amount]]</f>
        <v>-0.2518810910016086</v>
      </c>
      <c r="S65" s="2">
        <f>SalesData[[#This Row],[Unit_Price]]-SalesData[[#This Row],[Unit_Cost]]</f>
        <v>81.300000000000182</v>
      </c>
      <c r="T65" s="10">
        <f>SalesData[[#This Row],[Unit_Margin]]/SalesData[[#This Row],[Unit_Price]]</f>
        <v>2.3532749018745202E-2</v>
      </c>
      <c r="U65" s="2" t="str">
        <f>IF(SalesData[[#This Row],[Unit_Margin]]&lt;0, "Negative margin", "Positive margin")</f>
        <v>Positive margin</v>
      </c>
      <c r="V65" s="2" t="str">
        <f>IF(SalesData[[#This Row],[Profit]]&lt;0, "Loss", "Profit")</f>
        <v>Loss</v>
      </c>
      <c r="W65" s="2">
        <f>SalesData[[#This Row],[Unit_Price]]*(1-SalesData[[#This Row],[Discount]])</f>
        <v>2694.7128000000002</v>
      </c>
      <c r="X65" s="2">
        <f>SalesData[[#This Row],[Effective_Unit_Price]]-SalesData[[#This Row],[Unit_Cost]]</f>
        <v>-678.74719999999979</v>
      </c>
      <c r="Y65" s="2" t="str">
        <f>IF(SalesData[[#This Row],[Effective_Unit_Margin]]&lt;0,"Loss per Unit","Positive per Unit")</f>
        <v>Loss per Unit</v>
      </c>
    </row>
    <row r="66" spans="1:25" x14ac:dyDescent="0.3">
      <c r="A66">
        <v>1008</v>
      </c>
      <c r="B66" s="1">
        <v>44927</v>
      </c>
      <c r="C66" t="s">
        <v>37</v>
      </c>
      <c r="D66" t="s">
        <v>14</v>
      </c>
      <c r="E66">
        <v>38</v>
      </c>
      <c r="F66" t="s">
        <v>28</v>
      </c>
      <c r="G66">
        <v>4635.2299999999996</v>
      </c>
      <c r="H66">
        <v>5075.4399999999996</v>
      </c>
      <c r="I66" t="s">
        <v>16</v>
      </c>
      <c r="J66" s="2">
        <v>0.05</v>
      </c>
      <c r="K66" t="s">
        <v>17</v>
      </c>
      <c r="L66" t="s">
        <v>18</v>
      </c>
      <c r="M66" t="s">
        <v>39</v>
      </c>
      <c r="N66">
        <f>SalesData[[#This Row],[Quantity_Sold]]*SalesData[[#This Row],[Unit_Cost]]</f>
        <v>176138.74</v>
      </c>
      <c r="O66">
        <f>SalesData[[#This Row],[Quantity_Sold]]*SalesData[[#This Row],[Unit_Price]]</f>
        <v>192866.71999999997</v>
      </c>
      <c r="P66">
        <f>SalesData[[#This Row],[Gross_sales]]*(1-SalesData[[#This Row],[Discount]])</f>
        <v>183223.38399999996</v>
      </c>
      <c r="Q66" s="2">
        <f>SalesData[[#This Row],[Sales_amount]]-SalesData[[#This Row],[Total_Cost]]</f>
        <v>7084.6439999999711</v>
      </c>
      <c r="R66" s="2">
        <f>SalesData[[#This Row],[Profit]]/SalesData[[#This Row],[Sales_amount]]</f>
        <v>3.8666702062439655E-2</v>
      </c>
      <c r="S66" s="2">
        <f>SalesData[[#This Row],[Unit_Price]]-SalesData[[#This Row],[Unit_Cost]]</f>
        <v>440.21000000000004</v>
      </c>
      <c r="T66" s="10">
        <f>SalesData[[#This Row],[Unit_Margin]]/SalesData[[#This Row],[Unit_Price]]</f>
        <v>8.6733366959317826E-2</v>
      </c>
      <c r="U66" s="2" t="str">
        <f>IF(SalesData[[#This Row],[Unit_Margin]]&lt;0, "Negative margin", "Positive margin")</f>
        <v>Positive margin</v>
      </c>
      <c r="V66" s="2" t="str">
        <f>IF(SalesData[[#This Row],[Profit]]&lt;0, "Loss", "Profit")</f>
        <v>Profit</v>
      </c>
      <c r="W66" s="2">
        <f>SalesData[[#This Row],[Unit_Price]]*(1-SalesData[[#This Row],[Discount]])</f>
        <v>4821.6679999999997</v>
      </c>
      <c r="X66" s="2">
        <f>SalesData[[#This Row],[Effective_Unit_Price]]-SalesData[[#This Row],[Unit_Cost]]</f>
        <v>186.4380000000001</v>
      </c>
      <c r="Y66" s="2" t="str">
        <f>IF(SalesData[[#This Row],[Effective_Unit_Margin]]&lt;0,"Loss per Unit","Positive per Unit")</f>
        <v>Positive per Unit</v>
      </c>
    </row>
    <row r="67" spans="1:25" x14ac:dyDescent="0.3">
      <c r="A67">
        <v>1047</v>
      </c>
      <c r="B67" s="1">
        <v>45016</v>
      </c>
      <c r="C67" t="s">
        <v>41</v>
      </c>
      <c r="D67" t="s">
        <v>33</v>
      </c>
      <c r="E67">
        <v>37</v>
      </c>
      <c r="F67" t="s">
        <v>34</v>
      </c>
      <c r="G67">
        <v>3114.88</v>
      </c>
      <c r="H67">
        <v>3256.78</v>
      </c>
      <c r="I67" t="s">
        <v>16</v>
      </c>
      <c r="J67" s="2">
        <v>0.26</v>
      </c>
      <c r="K67" t="s">
        <v>30</v>
      </c>
      <c r="L67" t="s">
        <v>18</v>
      </c>
      <c r="M67" t="s">
        <v>51</v>
      </c>
      <c r="N67">
        <f>SalesData[[#This Row],[Quantity_Sold]]*SalesData[[#This Row],[Unit_Cost]]</f>
        <v>115250.56</v>
      </c>
      <c r="O67">
        <f>SalesData[[#This Row],[Quantity_Sold]]*SalesData[[#This Row],[Unit_Price]]</f>
        <v>120500.86</v>
      </c>
      <c r="P67">
        <f>SalesData[[#This Row],[Gross_sales]]*(1-SalesData[[#This Row],[Discount]])</f>
        <v>89170.636400000003</v>
      </c>
      <c r="Q67" s="2">
        <f>SalesData[[#This Row],[Sales_amount]]-SalesData[[#This Row],[Total_Cost]]</f>
        <v>-26079.923599999995</v>
      </c>
      <c r="R67" s="2">
        <f>SalesData[[#This Row],[Profit]]/SalesData[[#This Row],[Sales_amount]]</f>
        <v>-0.2924721035185972</v>
      </c>
      <c r="S67" s="2">
        <f>SalesData[[#This Row],[Unit_Price]]-SalesData[[#This Row],[Unit_Cost]]</f>
        <v>141.90000000000009</v>
      </c>
      <c r="T67" s="10">
        <f>SalesData[[#This Row],[Unit_Margin]]/SalesData[[#This Row],[Unit_Price]]</f>
        <v>4.3570643396238028E-2</v>
      </c>
      <c r="U67" s="2" t="str">
        <f>IF(SalesData[[#This Row],[Unit_Margin]]&lt;0, "Negative margin", "Positive margin")</f>
        <v>Positive margin</v>
      </c>
      <c r="V67" s="2" t="str">
        <f>IF(SalesData[[#This Row],[Profit]]&lt;0, "Loss", "Profit")</f>
        <v>Loss</v>
      </c>
      <c r="W67" s="2">
        <f>SalesData[[#This Row],[Unit_Price]]*(1-SalesData[[#This Row],[Discount]])</f>
        <v>2410.0172000000002</v>
      </c>
      <c r="X67" s="2">
        <f>SalesData[[#This Row],[Effective_Unit_Price]]-SalesData[[#This Row],[Unit_Cost]]</f>
        <v>-704.86279999999988</v>
      </c>
      <c r="Y67" s="2" t="str">
        <f>IF(SalesData[[#This Row],[Effective_Unit_Margin]]&lt;0,"Loss per Unit","Positive per Unit")</f>
        <v>Loss per Unit</v>
      </c>
    </row>
    <row r="68" spans="1:25" x14ac:dyDescent="0.3">
      <c r="A68">
        <v>1035</v>
      </c>
      <c r="B68" s="1">
        <v>45068</v>
      </c>
      <c r="C68" t="s">
        <v>41</v>
      </c>
      <c r="D68" t="s">
        <v>24</v>
      </c>
      <c r="E68">
        <v>45</v>
      </c>
      <c r="F68" t="s">
        <v>25</v>
      </c>
      <c r="G68">
        <v>4132.79</v>
      </c>
      <c r="H68">
        <v>4624.1000000000004</v>
      </c>
      <c r="I68" t="s">
        <v>29</v>
      </c>
      <c r="J68" s="2">
        <v>0.15</v>
      </c>
      <c r="K68" t="s">
        <v>30</v>
      </c>
      <c r="L68" t="s">
        <v>21</v>
      </c>
      <c r="M68" t="s">
        <v>42</v>
      </c>
      <c r="N68">
        <f>SalesData[[#This Row],[Quantity_Sold]]*SalesData[[#This Row],[Unit_Cost]]</f>
        <v>185975.55</v>
      </c>
      <c r="O68">
        <f>SalesData[[#This Row],[Quantity_Sold]]*SalesData[[#This Row],[Unit_Price]]</f>
        <v>208084.50000000003</v>
      </c>
      <c r="P68">
        <f>SalesData[[#This Row],[Gross_sales]]*(1-SalesData[[#This Row],[Discount]])</f>
        <v>176871.82500000001</v>
      </c>
      <c r="Q68" s="2">
        <f>SalesData[[#This Row],[Sales_amount]]-SalesData[[#This Row],[Total_Cost]]</f>
        <v>-9103.7249999999767</v>
      </c>
      <c r="R68" s="2">
        <f>SalesData[[#This Row],[Profit]]/SalesData[[#This Row],[Sales_amount]]</f>
        <v>-5.1470747248749067E-2</v>
      </c>
      <c r="S68" s="2">
        <f>SalesData[[#This Row],[Unit_Price]]-SalesData[[#This Row],[Unit_Cost]]</f>
        <v>491.3100000000004</v>
      </c>
      <c r="T68" s="10">
        <f>SalesData[[#This Row],[Unit_Margin]]/SalesData[[#This Row],[Unit_Price]]</f>
        <v>0.10624986483856326</v>
      </c>
      <c r="U68" s="2" t="str">
        <f>IF(SalesData[[#This Row],[Unit_Margin]]&lt;0, "Negative margin", "Positive margin")</f>
        <v>Positive margin</v>
      </c>
      <c r="V68" s="2" t="str">
        <f>IF(SalesData[[#This Row],[Profit]]&lt;0, "Loss", "Profit")</f>
        <v>Loss</v>
      </c>
      <c r="W68" s="2">
        <f>SalesData[[#This Row],[Unit_Price]]*(1-SalesData[[#This Row],[Discount]])</f>
        <v>3930.4850000000001</v>
      </c>
      <c r="X68" s="2">
        <f>SalesData[[#This Row],[Effective_Unit_Price]]-SalesData[[#This Row],[Unit_Cost]]</f>
        <v>-202.30499999999984</v>
      </c>
      <c r="Y68" s="2" t="str">
        <f>IF(SalesData[[#This Row],[Effective_Unit_Margin]]&lt;0,"Loss per Unit","Positive per Unit")</f>
        <v>Loss per Unit</v>
      </c>
    </row>
    <row r="69" spans="1:25" x14ac:dyDescent="0.3">
      <c r="A69">
        <v>1078</v>
      </c>
      <c r="B69" s="1">
        <v>45246</v>
      </c>
      <c r="C69" t="s">
        <v>23</v>
      </c>
      <c r="D69" t="s">
        <v>33</v>
      </c>
      <c r="E69">
        <v>8</v>
      </c>
      <c r="F69" t="s">
        <v>15</v>
      </c>
      <c r="G69">
        <v>3459.61</v>
      </c>
      <c r="H69">
        <v>3657.23</v>
      </c>
      <c r="I69" t="s">
        <v>16</v>
      </c>
      <c r="J69" s="2">
        <v>0.03</v>
      </c>
      <c r="K69" t="s">
        <v>26</v>
      </c>
      <c r="L69" t="s">
        <v>18</v>
      </c>
      <c r="M69" t="s">
        <v>49</v>
      </c>
      <c r="N69">
        <f>SalesData[[#This Row],[Quantity_Sold]]*SalesData[[#This Row],[Unit_Cost]]</f>
        <v>27676.880000000001</v>
      </c>
      <c r="O69">
        <f>SalesData[[#This Row],[Quantity_Sold]]*SalesData[[#This Row],[Unit_Price]]</f>
        <v>29257.84</v>
      </c>
      <c r="P69">
        <f>SalesData[[#This Row],[Gross_sales]]*(1-SalesData[[#This Row],[Discount]])</f>
        <v>28380.104800000001</v>
      </c>
      <c r="Q69" s="2">
        <f>SalesData[[#This Row],[Sales_amount]]-SalesData[[#This Row],[Total_Cost]]</f>
        <v>703.22479999999996</v>
      </c>
      <c r="R69" s="2">
        <f>SalesData[[#This Row],[Profit]]/SalesData[[#This Row],[Sales_amount]]</f>
        <v>2.4778795038135303E-2</v>
      </c>
      <c r="S69" s="2">
        <f>SalesData[[#This Row],[Unit_Price]]-SalesData[[#This Row],[Unit_Cost]]</f>
        <v>197.61999999999989</v>
      </c>
      <c r="T69" s="10">
        <f>SalesData[[#This Row],[Unit_Margin]]/SalesData[[#This Row],[Unit_Price]]</f>
        <v>5.4035431186991216E-2</v>
      </c>
      <c r="U69" s="2" t="str">
        <f>IF(SalesData[[#This Row],[Unit_Margin]]&lt;0, "Negative margin", "Positive margin")</f>
        <v>Positive margin</v>
      </c>
      <c r="V69" s="2" t="str">
        <f>IF(SalesData[[#This Row],[Profit]]&lt;0, "Loss", "Profit")</f>
        <v>Profit</v>
      </c>
      <c r="W69" s="2">
        <f>SalesData[[#This Row],[Unit_Price]]*(1-SalesData[[#This Row],[Discount]])</f>
        <v>3547.5131000000001</v>
      </c>
      <c r="X69" s="2">
        <f>SalesData[[#This Row],[Effective_Unit_Price]]-SalesData[[#This Row],[Unit_Cost]]</f>
        <v>87.903099999999995</v>
      </c>
      <c r="Y69" s="2" t="str">
        <f>IF(SalesData[[#This Row],[Effective_Unit_Margin]]&lt;0,"Loss per Unit","Positive per Unit")</f>
        <v>Positive per Unit</v>
      </c>
    </row>
    <row r="70" spans="1:25" x14ac:dyDescent="0.3">
      <c r="A70">
        <v>1081</v>
      </c>
      <c r="B70" s="1">
        <v>44964</v>
      </c>
      <c r="C70" t="s">
        <v>23</v>
      </c>
      <c r="D70" t="s">
        <v>33</v>
      </c>
      <c r="E70">
        <v>41</v>
      </c>
      <c r="F70" t="s">
        <v>15</v>
      </c>
      <c r="G70">
        <v>2782.08</v>
      </c>
      <c r="H70">
        <v>2879.24</v>
      </c>
      <c r="I70" t="s">
        <v>29</v>
      </c>
      <c r="J70" s="2">
        <v>0.21</v>
      </c>
      <c r="K70" t="s">
        <v>26</v>
      </c>
      <c r="L70" t="s">
        <v>18</v>
      </c>
      <c r="M70" t="s">
        <v>49</v>
      </c>
      <c r="N70">
        <f>SalesData[[#This Row],[Quantity_Sold]]*SalesData[[#This Row],[Unit_Cost]]</f>
        <v>114065.28</v>
      </c>
      <c r="O70">
        <f>SalesData[[#This Row],[Quantity_Sold]]*SalesData[[#This Row],[Unit_Price]]</f>
        <v>118048.84</v>
      </c>
      <c r="P70">
        <f>SalesData[[#This Row],[Gross_sales]]*(1-SalesData[[#This Row],[Discount]])</f>
        <v>93258.583599999998</v>
      </c>
      <c r="Q70" s="2">
        <f>SalesData[[#This Row],[Sales_amount]]-SalesData[[#This Row],[Total_Cost]]</f>
        <v>-20806.696400000001</v>
      </c>
      <c r="R70" s="2">
        <f>SalesData[[#This Row],[Profit]]/SalesData[[#This Row],[Sales_amount]]</f>
        <v>-0.22310757462544178</v>
      </c>
      <c r="S70" s="2">
        <f>SalesData[[#This Row],[Unit_Price]]-SalesData[[#This Row],[Unit_Cost]]</f>
        <v>97.159999999999854</v>
      </c>
      <c r="T70" s="10">
        <f>SalesData[[#This Row],[Unit_Margin]]/SalesData[[#This Row],[Unit_Price]]</f>
        <v>3.3745016045900952E-2</v>
      </c>
      <c r="U70" s="2" t="str">
        <f>IF(SalesData[[#This Row],[Unit_Margin]]&lt;0, "Negative margin", "Positive margin")</f>
        <v>Positive margin</v>
      </c>
      <c r="V70" s="2" t="str">
        <f>IF(SalesData[[#This Row],[Profit]]&lt;0, "Loss", "Profit")</f>
        <v>Loss</v>
      </c>
      <c r="W70" s="2">
        <f>SalesData[[#This Row],[Unit_Price]]*(1-SalesData[[#This Row],[Discount]])</f>
        <v>2274.5996</v>
      </c>
      <c r="X70" s="2">
        <f>SalesData[[#This Row],[Effective_Unit_Price]]-SalesData[[#This Row],[Unit_Cost]]</f>
        <v>-507.48039999999992</v>
      </c>
      <c r="Y70" s="2" t="str">
        <f>IF(SalesData[[#This Row],[Effective_Unit_Margin]]&lt;0,"Loss per Unit","Positive per Unit")</f>
        <v>Loss per Unit</v>
      </c>
    </row>
    <row r="71" spans="1:25" x14ac:dyDescent="0.3">
      <c r="A71">
        <v>1036</v>
      </c>
      <c r="B71" s="1">
        <v>45219</v>
      </c>
      <c r="C71" t="s">
        <v>23</v>
      </c>
      <c r="D71" t="s">
        <v>14</v>
      </c>
      <c r="E71">
        <v>49</v>
      </c>
      <c r="F71" t="s">
        <v>28</v>
      </c>
      <c r="G71">
        <v>1247.0999999999999</v>
      </c>
      <c r="H71">
        <v>1429.4399999999901</v>
      </c>
      <c r="I71" t="s">
        <v>29</v>
      </c>
      <c r="J71" s="2">
        <v>0.16</v>
      </c>
      <c r="K71" t="s">
        <v>17</v>
      </c>
      <c r="L71" t="s">
        <v>18</v>
      </c>
      <c r="M71" t="s">
        <v>44</v>
      </c>
      <c r="N71">
        <f>SalesData[[#This Row],[Quantity_Sold]]*SalesData[[#This Row],[Unit_Cost]]</f>
        <v>61107.899999999994</v>
      </c>
      <c r="O71">
        <f>SalesData[[#This Row],[Quantity_Sold]]*SalesData[[#This Row],[Unit_Price]]</f>
        <v>70042.559999999517</v>
      </c>
      <c r="P71">
        <f>SalesData[[#This Row],[Gross_sales]]*(1-SalesData[[#This Row],[Discount]])</f>
        <v>58835.75039999959</v>
      </c>
      <c r="Q71" s="2">
        <f>SalesData[[#This Row],[Sales_amount]]-SalesData[[#This Row],[Total_Cost]]</f>
        <v>-2272.1496000004045</v>
      </c>
      <c r="R71" s="2">
        <f>SalesData[[#This Row],[Profit]]/SalesData[[#This Row],[Sales_amount]]</f>
        <v>-3.8618519939883696E-2</v>
      </c>
      <c r="S71" s="2">
        <f>SalesData[[#This Row],[Unit_Price]]-SalesData[[#This Row],[Unit_Cost]]</f>
        <v>182.33999999999014</v>
      </c>
      <c r="T71" s="10">
        <f>SalesData[[#This Row],[Unit_Margin]]/SalesData[[#This Row],[Unit_Price]]</f>
        <v>0.12756044325049767</v>
      </c>
      <c r="U71" s="2" t="str">
        <f>IF(SalesData[[#This Row],[Unit_Margin]]&lt;0, "Negative margin", "Positive margin")</f>
        <v>Positive margin</v>
      </c>
      <c r="V71" s="2" t="str">
        <f>IF(SalesData[[#This Row],[Profit]]&lt;0, "Loss", "Profit")</f>
        <v>Loss</v>
      </c>
      <c r="W71" s="2">
        <f>SalesData[[#This Row],[Unit_Price]]*(1-SalesData[[#This Row],[Discount]])</f>
        <v>1200.7295999999917</v>
      </c>
      <c r="X71" s="2">
        <f>SalesData[[#This Row],[Effective_Unit_Price]]-SalesData[[#This Row],[Unit_Cost]]</f>
        <v>-46.370400000008203</v>
      </c>
      <c r="Y71" s="2" t="str">
        <f>IF(SalesData[[#This Row],[Effective_Unit_Margin]]&lt;0,"Loss per Unit","Positive per Unit")</f>
        <v>Loss per Unit</v>
      </c>
    </row>
    <row r="72" spans="1:25" x14ac:dyDescent="0.3">
      <c r="A72">
        <v>1050</v>
      </c>
      <c r="B72" s="1">
        <v>45065</v>
      </c>
      <c r="C72" t="s">
        <v>32</v>
      </c>
      <c r="D72" t="s">
        <v>33</v>
      </c>
      <c r="E72">
        <v>35</v>
      </c>
      <c r="F72" t="s">
        <v>28</v>
      </c>
      <c r="G72">
        <v>2158.69</v>
      </c>
      <c r="H72">
        <v>2384.38</v>
      </c>
      <c r="I72" t="s">
        <v>16</v>
      </c>
      <c r="J72" s="2">
        <v>0.09</v>
      </c>
      <c r="K72" t="s">
        <v>26</v>
      </c>
      <c r="L72" t="s">
        <v>21</v>
      </c>
      <c r="M72" t="s">
        <v>35</v>
      </c>
      <c r="N72">
        <f>SalesData[[#This Row],[Quantity_Sold]]*SalesData[[#This Row],[Unit_Cost]]</f>
        <v>75554.150000000009</v>
      </c>
      <c r="O72">
        <f>SalesData[[#This Row],[Quantity_Sold]]*SalesData[[#This Row],[Unit_Price]]</f>
        <v>83453.3</v>
      </c>
      <c r="P72">
        <f>SalesData[[#This Row],[Gross_sales]]*(1-SalesData[[#This Row],[Discount]])</f>
        <v>75942.503000000012</v>
      </c>
      <c r="Q72" s="2">
        <f>SalesData[[#This Row],[Sales_amount]]-SalesData[[#This Row],[Total_Cost]]</f>
        <v>388.35300000000279</v>
      </c>
      <c r="R72" s="2">
        <f>SalesData[[#This Row],[Profit]]/SalesData[[#This Row],[Sales_amount]]</f>
        <v>5.1137766686463141E-3</v>
      </c>
      <c r="S72" s="2">
        <f>SalesData[[#This Row],[Unit_Price]]-SalesData[[#This Row],[Unit_Cost]]</f>
        <v>225.69000000000005</v>
      </c>
      <c r="T72" s="10">
        <f>SalesData[[#This Row],[Unit_Margin]]/SalesData[[#This Row],[Unit_Price]]</f>
        <v>9.4653536768468133E-2</v>
      </c>
      <c r="U72" s="2" t="str">
        <f>IF(SalesData[[#This Row],[Unit_Margin]]&lt;0, "Negative margin", "Positive margin")</f>
        <v>Positive margin</v>
      </c>
      <c r="V72" s="2" t="str">
        <f>IF(SalesData[[#This Row],[Profit]]&lt;0, "Loss", "Profit")</f>
        <v>Profit</v>
      </c>
      <c r="W72" s="2">
        <f>SalesData[[#This Row],[Unit_Price]]*(1-SalesData[[#This Row],[Discount]])</f>
        <v>2169.7858000000001</v>
      </c>
      <c r="X72" s="2">
        <f>SalesData[[#This Row],[Effective_Unit_Price]]-SalesData[[#This Row],[Unit_Cost]]</f>
        <v>11.095800000000054</v>
      </c>
      <c r="Y72" s="2" t="str">
        <f>IF(SalesData[[#This Row],[Effective_Unit_Margin]]&lt;0,"Loss per Unit","Positive per Unit")</f>
        <v>Positive per Unit</v>
      </c>
    </row>
    <row r="73" spans="1:25" x14ac:dyDescent="0.3">
      <c r="A73">
        <v>1004</v>
      </c>
      <c r="B73" s="1">
        <v>45282</v>
      </c>
      <c r="C73" t="s">
        <v>37</v>
      </c>
      <c r="D73" t="s">
        <v>14</v>
      </c>
      <c r="E73">
        <v>11</v>
      </c>
      <c r="F73" t="s">
        <v>28</v>
      </c>
      <c r="G73">
        <v>4840.33</v>
      </c>
      <c r="H73">
        <v>4884.29</v>
      </c>
      <c r="I73" t="s">
        <v>29</v>
      </c>
      <c r="J73" s="2">
        <v>0.13</v>
      </c>
      <c r="K73" t="s">
        <v>17</v>
      </c>
      <c r="L73" t="s">
        <v>18</v>
      </c>
      <c r="M73" t="s">
        <v>39</v>
      </c>
      <c r="N73">
        <f>SalesData[[#This Row],[Quantity_Sold]]*SalesData[[#This Row],[Unit_Cost]]</f>
        <v>53243.63</v>
      </c>
      <c r="O73">
        <f>SalesData[[#This Row],[Quantity_Sold]]*SalesData[[#This Row],[Unit_Price]]</f>
        <v>53727.19</v>
      </c>
      <c r="P73">
        <f>SalesData[[#This Row],[Gross_sales]]*(1-SalesData[[#This Row],[Discount]])</f>
        <v>46742.655299999999</v>
      </c>
      <c r="Q73" s="2">
        <f>SalesData[[#This Row],[Sales_amount]]-SalesData[[#This Row],[Total_Cost]]</f>
        <v>-6500.9746999999988</v>
      </c>
      <c r="R73" s="2">
        <f>SalesData[[#This Row],[Profit]]/SalesData[[#This Row],[Sales_amount]]</f>
        <v>-0.13908013265990046</v>
      </c>
      <c r="S73" s="2">
        <f>SalesData[[#This Row],[Unit_Price]]-SalesData[[#This Row],[Unit_Cost]]</f>
        <v>43.960000000000036</v>
      </c>
      <c r="T73" s="10">
        <f>SalesData[[#This Row],[Unit_Margin]]/SalesData[[#This Row],[Unit_Price]]</f>
        <v>9.0002845858865952E-3</v>
      </c>
      <c r="U73" s="2" t="str">
        <f>IF(SalesData[[#This Row],[Unit_Margin]]&lt;0, "Negative margin", "Positive margin")</f>
        <v>Positive margin</v>
      </c>
      <c r="V73" s="2" t="str">
        <f>IF(SalesData[[#This Row],[Profit]]&lt;0, "Loss", "Profit")</f>
        <v>Loss</v>
      </c>
      <c r="W73" s="2">
        <f>SalesData[[#This Row],[Unit_Price]]*(1-SalesData[[#This Row],[Discount]])</f>
        <v>4249.3323</v>
      </c>
      <c r="X73" s="2">
        <f>SalesData[[#This Row],[Effective_Unit_Price]]-SalesData[[#This Row],[Unit_Cost]]</f>
        <v>-590.9976999999999</v>
      </c>
      <c r="Y73" s="2" t="str">
        <f>IF(SalesData[[#This Row],[Effective_Unit_Margin]]&lt;0,"Loss per Unit","Positive per Unit")</f>
        <v>Loss per Unit</v>
      </c>
    </row>
    <row r="74" spans="1:25" x14ac:dyDescent="0.3">
      <c r="A74">
        <v>1002</v>
      </c>
      <c r="B74" s="1">
        <v>45259</v>
      </c>
      <c r="C74" t="s">
        <v>23</v>
      </c>
      <c r="D74" t="s">
        <v>14</v>
      </c>
      <c r="E74">
        <v>24</v>
      </c>
      <c r="F74" t="s">
        <v>15</v>
      </c>
      <c r="G74">
        <v>3305.94</v>
      </c>
      <c r="H74">
        <v>3599.27</v>
      </c>
      <c r="I74" t="s">
        <v>29</v>
      </c>
      <c r="J74" s="2">
        <v>0.09</v>
      </c>
      <c r="K74" t="s">
        <v>30</v>
      </c>
      <c r="L74" t="s">
        <v>21</v>
      </c>
      <c r="M74" t="s">
        <v>44</v>
      </c>
      <c r="N74">
        <f>SalesData[[#This Row],[Quantity_Sold]]*SalesData[[#This Row],[Unit_Cost]]</f>
        <v>79342.559999999998</v>
      </c>
      <c r="O74">
        <f>SalesData[[#This Row],[Quantity_Sold]]*SalesData[[#This Row],[Unit_Price]]</f>
        <v>86382.48</v>
      </c>
      <c r="P74">
        <f>SalesData[[#This Row],[Gross_sales]]*(1-SalesData[[#This Row],[Discount]])</f>
        <v>78608.056800000006</v>
      </c>
      <c r="Q74" s="2">
        <f>SalesData[[#This Row],[Sales_amount]]-SalesData[[#This Row],[Total_Cost]]</f>
        <v>-734.50319999999192</v>
      </c>
      <c r="R74" s="2">
        <f>SalesData[[#This Row],[Profit]]/SalesData[[#This Row],[Sales_amount]]</f>
        <v>-9.3438666454860372E-3</v>
      </c>
      <c r="S74" s="2">
        <f>SalesData[[#This Row],[Unit_Price]]-SalesData[[#This Row],[Unit_Cost]]</f>
        <v>293.32999999999993</v>
      </c>
      <c r="T74" s="10">
        <f>SalesData[[#This Row],[Unit_Margin]]/SalesData[[#This Row],[Unit_Price]]</f>
        <v>8.1497081352607595E-2</v>
      </c>
      <c r="U74" s="2" t="str">
        <f>IF(SalesData[[#This Row],[Unit_Margin]]&lt;0, "Negative margin", "Positive margin")</f>
        <v>Positive margin</v>
      </c>
      <c r="V74" s="2" t="str">
        <f>IF(SalesData[[#This Row],[Profit]]&lt;0, "Loss", "Profit")</f>
        <v>Loss</v>
      </c>
      <c r="W74" s="2">
        <f>SalesData[[#This Row],[Unit_Price]]*(1-SalesData[[#This Row],[Discount]])</f>
        <v>3275.3357000000001</v>
      </c>
      <c r="X74" s="2">
        <f>SalesData[[#This Row],[Effective_Unit_Price]]-SalesData[[#This Row],[Unit_Cost]]</f>
        <v>-30.604299999999967</v>
      </c>
      <c r="Y74" s="2" t="str">
        <f>IF(SalesData[[#This Row],[Effective_Unit_Margin]]&lt;0,"Loss per Unit","Positive per Unit")</f>
        <v>Loss per Unit</v>
      </c>
    </row>
    <row r="75" spans="1:25" x14ac:dyDescent="0.3">
      <c r="A75">
        <v>1006</v>
      </c>
      <c r="B75" s="1">
        <v>45185</v>
      </c>
      <c r="C75" t="s">
        <v>13</v>
      </c>
      <c r="D75" t="s">
        <v>14</v>
      </c>
      <c r="E75">
        <v>49</v>
      </c>
      <c r="F75" t="s">
        <v>25</v>
      </c>
      <c r="G75">
        <v>2843.76</v>
      </c>
      <c r="H75">
        <v>3146.6</v>
      </c>
      <c r="I75" t="s">
        <v>29</v>
      </c>
      <c r="J75" s="2">
        <v>0.08</v>
      </c>
      <c r="K75" t="s">
        <v>17</v>
      </c>
      <c r="L75" t="s">
        <v>21</v>
      </c>
      <c r="M75" t="s">
        <v>19</v>
      </c>
      <c r="N75">
        <f>SalesData[[#This Row],[Quantity_Sold]]*SalesData[[#This Row],[Unit_Cost]]</f>
        <v>139344.24000000002</v>
      </c>
      <c r="O75">
        <f>SalesData[[#This Row],[Quantity_Sold]]*SalesData[[#This Row],[Unit_Price]]</f>
        <v>154183.4</v>
      </c>
      <c r="P75">
        <f>SalesData[[#This Row],[Gross_sales]]*(1-SalesData[[#This Row],[Discount]])</f>
        <v>141848.728</v>
      </c>
      <c r="Q75" s="2">
        <f>SalesData[[#This Row],[Sales_amount]]-SalesData[[#This Row],[Total_Cost]]</f>
        <v>2504.487999999983</v>
      </c>
      <c r="R75" s="2">
        <f>SalesData[[#This Row],[Profit]]/SalesData[[#This Row],[Sales_amount]]</f>
        <v>1.7656048350324176E-2</v>
      </c>
      <c r="S75" s="2">
        <f>SalesData[[#This Row],[Unit_Price]]-SalesData[[#This Row],[Unit_Cost]]</f>
        <v>302.83999999999969</v>
      </c>
      <c r="T75" s="10">
        <f>SalesData[[#This Row],[Unit_Margin]]/SalesData[[#This Row],[Unit_Price]]</f>
        <v>9.6243564482298261E-2</v>
      </c>
      <c r="U75" s="2" t="str">
        <f>IF(SalesData[[#This Row],[Unit_Margin]]&lt;0, "Negative margin", "Positive margin")</f>
        <v>Positive margin</v>
      </c>
      <c r="V75" s="2" t="str">
        <f>IF(SalesData[[#This Row],[Profit]]&lt;0, "Loss", "Profit")</f>
        <v>Profit</v>
      </c>
      <c r="W75" s="2">
        <f>SalesData[[#This Row],[Unit_Price]]*(1-SalesData[[#This Row],[Discount]])</f>
        <v>2894.8719999999998</v>
      </c>
      <c r="X75" s="2">
        <f>SalesData[[#This Row],[Effective_Unit_Price]]-SalesData[[#This Row],[Unit_Cost]]</f>
        <v>51.111999999999625</v>
      </c>
      <c r="Y75" s="2" t="str">
        <f>IF(SalesData[[#This Row],[Effective_Unit_Margin]]&lt;0,"Loss per Unit","Positive per Unit")</f>
        <v>Positive per Unit</v>
      </c>
    </row>
    <row r="76" spans="1:25" x14ac:dyDescent="0.3">
      <c r="A76">
        <v>1054</v>
      </c>
      <c r="B76" s="1">
        <v>45087</v>
      </c>
      <c r="C76" t="s">
        <v>13</v>
      </c>
      <c r="D76" t="s">
        <v>24</v>
      </c>
      <c r="E76">
        <v>21</v>
      </c>
      <c r="F76" t="s">
        <v>15</v>
      </c>
      <c r="G76">
        <v>4668.1400000000003</v>
      </c>
      <c r="H76">
        <v>5040.22</v>
      </c>
      <c r="I76" t="s">
        <v>29</v>
      </c>
      <c r="J76" s="2">
        <v>0.05</v>
      </c>
      <c r="K76" t="s">
        <v>26</v>
      </c>
      <c r="L76" t="s">
        <v>18</v>
      </c>
      <c r="M76" t="s">
        <v>31</v>
      </c>
      <c r="N76">
        <f>SalesData[[#This Row],[Quantity_Sold]]*SalesData[[#This Row],[Unit_Cost]]</f>
        <v>98030.94</v>
      </c>
      <c r="O76">
        <f>SalesData[[#This Row],[Quantity_Sold]]*SalesData[[#This Row],[Unit_Price]]</f>
        <v>105844.62000000001</v>
      </c>
      <c r="P76">
        <f>SalesData[[#This Row],[Gross_sales]]*(1-SalesData[[#This Row],[Discount]])</f>
        <v>100552.38900000001</v>
      </c>
      <c r="Q76" s="2">
        <f>SalesData[[#This Row],[Sales_amount]]-SalesData[[#This Row],[Total_Cost]]</f>
        <v>2521.4490000000078</v>
      </c>
      <c r="R76" s="2">
        <f>SalesData[[#This Row],[Profit]]/SalesData[[#This Row],[Sales_amount]]</f>
        <v>2.5075973083046366E-2</v>
      </c>
      <c r="S76" s="2">
        <f>SalesData[[#This Row],[Unit_Price]]-SalesData[[#This Row],[Unit_Cost]]</f>
        <v>372.07999999999993</v>
      </c>
      <c r="T76" s="10">
        <f>SalesData[[#This Row],[Unit_Margin]]/SalesData[[#This Row],[Unit_Price]]</f>
        <v>7.3822174428893952E-2</v>
      </c>
      <c r="U76" s="2" t="str">
        <f>IF(SalesData[[#This Row],[Unit_Margin]]&lt;0, "Negative margin", "Positive margin")</f>
        <v>Positive margin</v>
      </c>
      <c r="V76" s="2" t="str">
        <f>IF(SalesData[[#This Row],[Profit]]&lt;0, "Loss", "Profit")</f>
        <v>Profit</v>
      </c>
      <c r="W76" s="2">
        <f>SalesData[[#This Row],[Unit_Price]]*(1-SalesData[[#This Row],[Discount]])</f>
        <v>4788.2089999999998</v>
      </c>
      <c r="X76" s="2">
        <f>SalesData[[#This Row],[Effective_Unit_Price]]-SalesData[[#This Row],[Unit_Cost]]</f>
        <v>120.06899999999951</v>
      </c>
      <c r="Y76" s="2" t="str">
        <f>IF(SalesData[[#This Row],[Effective_Unit_Margin]]&lt;0,"Loss per Unit","Positive per Unit")</f>
        <v>Positive per Unit</v>
      </c>
    </row>
    <row r="77" spans="1:25" x14ac:dyDescent="0.3">
      <c r="A77">
        <v>1004</v>
      </c>
      <c r="B77" s="1">
        <v>45104</v>
      </c>
      <c r="C77" t="s">
        <v>41</v>
      </c>
      <c r="D77" t="s">
        <v>20</v>
      </c>
      <c r="E77">
        <v>2</v>
      </c>
      <c r="F77" t="s">
        <v>34</v>
      </c>
      <c r="G77">
        <v>2953.23</v>
      </c>
      <c r="H77">
        <v>2977.52</v>
      </c>
      <c r="I77" t="s">
        <v>16</v>
      </c>
      <c r="J77" s="2">
        <v>0.11</v>
      </c>
      <c r="K77" t="s">
        <v>30</v>
      </c>
      <c r="L77" t="s">
        <v>21</v>
      </c>
      <c r="M77" t="s">
        <v>50</v>
      </c>
      <c r="N77">
        <f>SalesData[[#This Row],[Quantity_Sold]]*SalesData[[#This Row],[Unit_Cost]]</f>
        <v>5906.46</v>
      </c>
      <c r="O77">
        <f>SalesData[[#This Row],[Quantity_Sold]]*SalesData[[#This Row],[Unit_Price]]</f>
        <v>5955.04</v>
      </c>
      <c r="P77">
        <f>SalesData[[#This Row],[Gross_sales]]*(1-SalesData[[#This Row],[Discount]])</f>
        <v>5299.9856</v>
      </c>
      <c r="Q77" s="2">
        <f>SalesData[[#This Row],[Sales_amount]]-SalesData[[#This Row],[Total_Cost]]</f>
        <v>-606.47440000000006</v>
      </c>
      <c r="R77" s="2">
        <f>SalesData[[#This Row],[Profit]]/SalesData[[#This Row],[Sales_amount]]</f>
        <v>-0.11442944297810924</v>
      </c>
      <c r="S77" s="2">
        <f>SalesData[[#This Row],[Unit_Price]]-SalesData[[#This Row],[Unit_Cost]]</f>
        <v>24.289999999999964</v>
      </c>
      <c r="T77" s="10">
        <f>SalesData[[#This Row],[Unit_Margin]]/SalesData[[#This Row],[Unit_Price]]</f>
        <v>8.1577957494827786E-3</v>
      </c>
      <c r="U77" s="2" t="str">
        <f>IF(SalesData[[#This Row],[Unit_Margin]]&lt;0, "Negative margin", "Positive margin")</f>
        <v>Positive margin</v>
      </c>
      <c r="V77" s="2" t="str">
        <f>IF(SalesData[[#This Row],[Profit]]&lt;0, "Loss", "Profit")</f>
        <v>Loss</v>
      </c>
      <c r="W77" s="2">
        <f>SalesData[[#This Row],[Unit_Price]]*(1-SalesData[[#This Row],[Discount]])</f>
        <v>2649.9928</v>
      </c>
      <c r="X77" s="2">
        <f>SalesData[[#This Row],[Effective_Unit_Price]]-SalesData[[#This Row],[Unit_Cost]]</f>
        <v>-303.23720000000003</v>
      </c>
      <c r="Y77" s="2" t="str">
        <f>IF(SalesData[[#This Row],[Effective_Unit_Margin]]&lt;0,"Loss per Unit","Positive per Unit")</f>
        <v>Loss per Unit</v>
      </c>
    </row>
    <row r="78" spans="1:25" x14ac:dyDescent="0.3">
      <c r="A78">
        <v>1054</v>
      </c>
      <c r="B78" s="1">
        <v>44936</v>
      </c>
      <c r="C78" t="s">
        <v>37</v>
      </c>
      <c r="D78" t="s">
        <v>24</v>
      </c>
      <c r="E78">
        <v>40</v>
      </c>
      <c r="F78" t="s">
        <v>15</v>
      </c>
      <c r="G78">
        <v>2654.11</v>
      </c>
      <c r="H78">
        <v>2929.32</v>
      </c>
      <c r="I78" t="s">
        <v>16</v>
      </c>
      <c r="J78" s="2">
        <v>0.08</v>
      </c>
      <c r="K78" t="s">
        <v>17</v>
      </c>
      <c r="L78" t="s">
        <v>18</v>
      </c>
      <c r="M78" t="s">
        <v>38</v>
      </c>
      <c r="N78">
        <f>SalesData[[#This Row],[Quantity_Sold]]*SalesData[[#This Row],[Unit_Cost]]</f>
        <v>106164.40000000001</v>
      </c>
      <c r="O78">
        <f>SalesData[[#This Row],[Quantity_Sold]]*SalesData[[#This Row],[Unit_Price]]</f>
        <v>117172.8</v>
      </c>
      <c r="P78">
        <f>SalesData[[#This Row],[Gross_sales]]*(1-SalesData[[#This Row],[Discount]])</f>
        <v>107798.97600000001</v>
      </c>
      <c r="Q78" s="2">
        <f>SalesData[[#This Row],[Sales_amount]]-SalesData[[#This Row],[Total_Cost]]</f>
        <v>1634.5760000000009</v>
      </c>
      <c r="R78" s="2">
        <f>SalesData[[#This Row],[Profit]]/SalesData[[#This Row],[Sales_amount]]</f>
        <v>1.5163186707821796E-2</v>
      </c>
      <c r="S78" s="2">
        <f>SalesData[[#This Row],[Unit_Price]]-SalesData[[#This Row],[Unit_Cost]]</f>
        <v>275.21000000000004</v>
      </c>
      <c r="T78" s="10">
        <f>SalesData[[#This Row],[Unit_Margin]]/SalesData[[#This Row],[Unit_Price]]</f>
        <v>9.3950131771196058E-2</v>
      </c>
      <c r="U78" s="2" t="str">
        <f>IF(SalesData[[#This Row],[Unit_Margin]]&lt;0, "Negative margin", "Positive margin")</f>
        <v>Positive margin</v>
      </c>
      <c r="V78" s="2" t="str">
        <f>IF(SalesData[[#This Row],[Profit]]&lt;0, "Loss", "Profit")</f>
        <v>Profit</v>
      </c>
      <c r="W78" s="2">
        <f>SalesData[[#This Row],[Unit_Price]]*(1-SalesData[[#This Row],[Discount]])</f>
        <v>2694.9744000000001</v>
      </c>
      <c r="X78" s="2">
        <f>SalesData[[#This Row],[Effective_Unit_Price]]-SalesData[[#This Row],[Unit_Cost]]</f>
        <v>40.864399999999932</v>
      </c>
      <c r="Y78" s="2" t="str">
        <f>IF(SalesData[[#This Row],[Effective_Unit_Margin]]&lt;0,"Loss per Unit","Positive per Unit")</f>
        <v>Positive per Unit</v>
      </c>
    </row>
    <row r="79" spans="1:25" x14ac:dyDescent="0.3">
      <c r="A79">
        <v>1093</v>
      </c>
      <c r="B79" s="1">
        <v>45187</v>
      </c>
      <c r="C79" t="s">
        <v>23</v>
      </c>
      <c r="D79" t="s">
        <v>20</v>
      </c>
      <c r="E79">
        <v>19</v>
      </c>
      <c r="F79" t="s">
        <v>34</v>
      </c>
      <c r="G79">
        <v>3808.59</v>
      </c>
      <c r="H79">
        <v>3844.51</v>
      </c>
      <c r="I79" t="s">
        <v>29</v>
      </c>
      <c r="J79" s="2">
        <v>0.21</v>
      </c>
      <c r="K79" t="s">
        <v>30</v>
      </c>
      <c r="L79" t="s">
        <v>18</v>
      </c>
      <c r="M79" t="s">
        <v>46</v>
      </c>
      <c r="N79">
        <f>SalesData[[#This Row],[Quantity_Sold]]*SalesData[[#This Row],[Unit_Cost]]</f>
        <v>72363.210000000006</v>
      </c>
      <c r="O79">
        <f>SalesData[[#This Row],[Quantity_Sold]]*SalesData[[#This Row],[Unit_Price]]</f>
        <v>73045.69</v>
      </c>
      <c r="P79">
        <f>SalesData[[#This Row],[Gross_sales]]*(1-SalesData[[#This Row],[Discount]])</f>
        <v>57706.095100000006</v>
      </c>
      <c r="Q79" s="2">
        <f>SalesData[[#This Row],[Sales_amount]]-SalesData[[#This Row],[Total_Cost]]</f>
        <v>-14657.1149</v>
      </c>
      <c r="R79" s="2">
        <f>SalesData[[#This Row],[Profit]]/SalesData[[#This Row],[Sales_amount]]</f>
        <v>-0.25399595787239465</v>
      </c>
      <c r="S79" s="2">
        <f>SalesData[[#This Row],[Unit_Price]]-SalesData[[#This Row],[Unit_Cost]]</f>
        <v>35.920000000000073</v>
      </c>
      <c r="T79" s="10">
        <f>SalesData[[#This Row],[Unit_Margin]]/SalesData[[#This Row],[Unit_Price]]</f>
        <v>9.3431932808082357E-3</v>
      </c>
      <c r="U79" s="2" t="str">
        <f>IF(SalesData[[#This Row],[Unit_Margin]]&lt;0, "Negative margin", "Positive margin")</f>
        <v>Positive margin</v>
      </c>
      <c r="V79" s="2" t="str">
        <f>IF(SalesData[[#This Row],[Profit]]&lt;0, "Loss", "Profit")</f>
        <v>Loss</v>
      </c>
      <c r="W79" s="2">
        <f>SalesData[[#This Row],[Unit_Price]]*(1-SalesData[[#This Row],[Discount]])</f>
        <v>3037.1629000000003</v>
      </c>
      <c r="X79" s="2">
        <f>SalesData[[#This Row],[Effective_Unit_Price]]-SalesData[[#This Row],[Unit_Cost]]</f>
        <v>-771.42709999999988</v>
      </c>
      <c r="Y79" s="2" t="str">
        <f>IF(SalesData[[#This Row],[Effective_Unit_Margin]]&lt;0,"Loss per Unit","Positive per Unit")</f>
        <v>Loss per Unit</v>
      </c>
    </row>
    <row r="80" spans="1:25" x14ac:dyDescent="0.3">
      <c r="A80">
        <v>1063</v>
      </c>
      <c r="B80" s="1">
        <v>45064</v>
      </c>
      <c r="C80" t="s">
        <v>13</v>
      </c>
      <c r="D80" t="s">
        <v>20</v>
      </c>
      <c r="E80">
        <v>39</v>
      </c>
      <c r="F80" t="s">
        <v>25</v>
      </c>
      <c r="G80">
        <v>3577.69</v>
      </c>
      <c r="H80">
        <v>3931.25</v>
      </c>
      <c r="I80" t="s">
        <v>16</v>
      </c>
      <c r="J80" s="2">
        <v>0.21</v>
      </c>
      <c r="K80" t="s">
        <v>17</v>
      </c>
      <c r="L80" t="s">
        <v>21</v>
      </c>
      <c r="M80" t="s">
        <v>22</v>
      </c>
      <c r="N80">
        <f>SalesData[[#This Row],[Quantity_Sold]]*SalesData[[#This Row],[Unit_Cost]]</f>
        <v>139529.91</v>
      </c>
      <c r="O80">
        <f>SalesData[[#This Row],[Quantity_Sold]]*SalesData[[#This Row],[Unit_Price]]</f>
        <v>153318.75</v>
      </c>
      <c r="P80">
        <f>SalesData[[#This Row],[Gross_sales]]*(1-SalesData[[#This Row],[Discount]])</f>
        <v>121121.8125</v>
      </c>
      <c r="Q80" s="2">
        <f>SalesData[[#This Row],[Sales_amount]]-SalesData[[#This Row],[Total_Cost]]</f>
        <v>-18408.097500000003</v>
      </c>
      <c r="R80" s="2">
        <f>SalesData[[#This Row],[Profit]]/SalesData[[#This Row],[Sales_amount]]</f>
        <v>-0.15198003662635087</v>
      </c>
      <c r="S80" s="2">
        <f>SalesData[[#This Row],[Unit_Price]]-SalesData[[#This Row],[Unit_Cost]]</f>
        <v>353.55999999999995</v>
      </c>
      <c r="T80" s="10">
        <f>SalesData[[#This Row],[Unit_Margin]]/SalesData[[#This Row],[Unit_Price]]</f>
        <v>8.9935771065182815E-2</v>
      </c>
      <c r="U80" s="2" t="str">
        <f>IF(SalesData[[#This Row],[Unit_Margin]]&lt;0, "Negative margin", "Positive margin")</f>
        <v>Positive margin</v>
      </c>
      <c r="V80" s="2" t="str">
        <f>IF(SalesData[[#This Row],[Profit]]&lt;0, "Loss", "Profit")</f>
        <v>Loss</v>
      </c>
      <c r="W80" s="2">
        <f>SalesData[[#This Row],[Unit_Price]]*(1-SalesData[[#This Row],[Discount]])</f>
        <v>3105.6875</v>
      </c>
      <c r="X80" s="2">
        <f>SalesData[[#This Row],[Effective_Unit_Price]]-SalesData[[#This Row],[Unit_Cost]]</f>
        <v>-472.00250000000005</v>
      </c>
      <c r="Y80" s="2" t="str">
        <f>IF(SalesData[[#This Row],[Effective_Unit_Margin]]&lt;0,"Loss per Unit","Positive per Unit")</f>
        <v>Loss per Unit</v>
      </c>
    </row>
    <row r="81" spans="1:25" x14ac:dyDescent="0.3">
      <c r="A81">
        <v>1018</v>
      </c>
      <c r="B81" s="1">
        <v>45098</v>
      </c>
      <c r="C81" t="s">
        <v>37</v>
      </c>
      <c r="D81" t="s">
        <v>14</v>
      </c>
      <c r="E81">
        <v>28</v>
      </c>
      <c r="F81" t="s">
        <v>28</v>
      </c>
      <c r="G81">
        <v>1006.14</v>
      </c>
      <c r="H81">
        <v>1043.45</v>
      </c>
      <c r="I81" t="s">
        <v>29</v>
      </c>
      <c r="J81" s="2">
        <v>0.15</v>
      </c>
      <c r="K81" t="s">
        <v>26</v>
      </c>
      <c r="L81" t="s">
        <v>21</v>
      </c>
      <c r="M81" t="s">
        <v>39</v>
      </c>
      <c r="N81">
        <f>SalesData[[#This Row],[Quantity_Sold]]*SalesData[[#This Row],[Unit_Cost]]</f>
        <v>28171.919999999998</v>
      </c>
      <c r="O81">
        <f>SalesData[[#This Row],[Quantity_Sold]]*SalesData[[#This Row],[Unit_Price]]</f>
        <v>29216.600000000002</v>
      </c>
      <c r="P81">
        <f>SalesData[[#This Row],[Gross_sales]]*(1-SalesData[[#This Row],[Discount]])</f>
        <v>24834.11</v>
      </c>
      <c r="Q81" s="2">
        <f>SalesData[[#This Row],[Sales_amount]]-SalesData[[#This Row],[Total_Cost]]</f>
        <v>-3337.8099999999977</v>
      </c>
      <c r="R81" s="2">
        <f>SalesData[[#This Row],[Profit]]/SalesData[[#This Row],[Sales_amount]]</f>
        <v>-0.13440425286027957</v>
      </c>
      <c r="S81" s="2">
        <f>SalesData[[#This Row],[Unit_Price]]-SalesData[[#This Row],[Unit_Cost]]</f>
        <v>37.310000000000059</v>
      </c>
      <c r="T81" s="10">
        <f>SalesData[[#This Row],[Unit_Margin]]/SalesData[[#This Row],[Unit_Price]]</f>
        <v>3.5756385068762331E-2</v>
      </c>
      <c r="U81" s="2" t="str">
        <f>IF(SalesData[[#This Row],[Unit_Margin]]&lt;0, "Negative margin", "Positive margin")</f>
        <v>Positive margin</v>
      </c>
      <c r="V81" s="2" t="str">
        <f>IF(SalesData[[#This Row],[Profit]]&lt;0, "Loss", "Profit")</f>
        <v>Loss</v>
      </c>
      <c r="W81" s="2">
        <f>SalesData[[#This Row],[Unit_Price]]*(1-SalesData[[#This Row],[Discount]])</f>
        <v>886.9325</v>
      </c>
      <c r="X81" s="2">
        <f>SalesData[[#This Row],[Effective_Unit_Price]]-SalesData[[#This Row],[Unit_Cost]]</f>
        <v>-119.20749999999998</v>
      </c>
      <c r="Y81" s="2" t="str">
        <f>IF(SalesData[[#This Row],[Effective_Unit_Margin]]&lt;0,"Loss per Unit","Positive per Unit")</f>
        <v>Loss per Unit</v>
      </c>
    </row>
    <row r="82" spans="1:25" x14ac:dyDescent="0.3">
      <c r="A82">
        <v>1090</v>
      </c>
      <c r="B82" s="1">
        <v>44939</v>
      </c>
      <c r="C82" t="s">
        <v>41</v>
      </c>
      <c r="D82" t="s">
        <v>33</v>
      </c>
      <c r="E82">
        <v>17</v>
      </c>
      <c r="F82" t="s">
        <v>28</v>
      </c>
      <c r="G82">
        <v>2382.98</v>
      </c>
      <c r="H82">
        <v>2839.73</v>
      </c>
      <c r="I82" t="s">
        <v>16</v>
      </c>
      <c r="J82" s="2">
        <v>0.23</v>
      </c>
      <c r="K82" t="s">
        <v>26</v>
      </c>
      <c r="L82" t="s">
        <v>21</v>
      </c>
      <c r="M82" t="s">
        <v>51</v>
      </c>
      <c r="N82">
        <f>SalesData[[#This Row],[Quantity_Sold]]*SalesData[[#This Row],[Unit_Cost]]</f>
        <v>40510.660000000003</v>
      </c>
      <c r="O82">
        <f>SalesData[[#This Row],[Quantity_Sold]]*SalesData[[#This Row],[Unit_Price]]</f>
        <v>48275.41</v>
      </c>
      <c r="P82">
        <f>SalesData[[#This Row],[Gross_sales]]*(1-SalesData[[#This Row],[Discount]])</f>
        <v>37172.065700000006</v>
      </c>
      <c r="Q82" s="2">
        <f>SalesData[[#This Row],[Sales_amount]]-SalesData[[#This Row],[Total_Cost]]</f>
        <v>-3338.594299999997</v>
      </c>
      <c r="R82" s="2">
        <f>SalesData[[#This Row],[Profit]]/SalesData[[#This Row],[Sales_amount]]</f>
        <v>-8.9814602366851959E-2</v>
      </c>
      <c r="S82" s="2">
        <f>SalesData[[#This Row],[Unit_Price]]-SalesData[[#This Row],[Unit_Cost]]</f>
        <v>456.75</v>
      </c>
      <c r="T82" s="10">
        <f>SalesData[[#This Row],[Unit_Margin]]/SalesData[[#This Row],[Unit_Price]]</f>
        <v>0.16084275617752392</v>
      </c>
      <c r="U82" s="2" t="str">
        <f>IF(SalesData[[#This Row],[Unit_Margin]]&lt;0, "Negative margin", "Positive margin")</f>
        <v>Positive margin</v>
      </c>
      <c r="V82" s="2" t="str">
        <f>IF(SalesData[[#This Row],[Profit]]&lt;0, "Loss", "Profit")</f>
        <v>Loss</v>
      </c>
      <c r="W82" s="2">
        <f>SalesData[[#This Row],[Unit_Price]]*(1-SalesData[[#This Row],[Discount]])</f>
        <v>2186.5920999999998</v>
      </c>
      <c r="X82" s="2">
        <f>SalesData[[#This Row],[Effective_Unit_Price]]-SalesData[[#This Row],[Unit_Cost]]</f>
        <v>-196.38790000000017</v>
      </c>
      <c r="Y82" s="2" t="str">
        <f>IF(SalesData[[#This Row],[Effective_Unit_Margin]]&lt;0,"Loss per Unit","Positive per Unit")</f>
        <v>Loss per Unit</v>
      </c>
    </row>
    <row r="83" spans="1:25" x14ac:dyDescent="0.3">
      <c r="A83">
        <v>1044</v>
      </c>
      <c r="B83" s="1">
        <v>45094</v>
      </c>
      <c r="C83" t="s">
        <v>32</v>
      </c>
      <c r="D83" t="s">
        <v>14</v>
      </c>
      <c r="E83">
        <v>6</v>
      </c>
      <c r="F83" t="s">
        <v>15</v>
      </c>
      <c r="G83">
        <v>2388.9499999999998</v>
      </c>
      <c r="H83">
        <v>2742.97</v>
      </c>
      <c r="I83" t="s">
        <v>16</v>
      </c>
      <c r="J83" s="2">
        <v>0.25</v>
      </c>
      <c r="K83" t="s">
        <v>30</v>
      </c>
      <c r="L83" t="s">
        <v>21</v>
      </c>
      <c r="M83" t="s">
        <v>52</v>
      </c>
      <c r="N83">
        <f>SalesData[[#This Row],[Quantity_Sold]]*SalesData[[#This Row],[Unit_Cost]]</f>
        <v>14333.699999999999</v>
      </c>
      <c r="O83">
        <f>SalesData[[#This Row],[Quantity_Sold]]*SalesData[[#This Row],[Unit_Price]]</f>
        <v>16457.82</v>
      </c>
      <c r="P83">
        <f>SalesData[[#This Row],[Gross_sales]]*(1-SalesData[[#This Row],[Discount]])</f>
        <v>12343.365</v>
      </c>
      <c r="Q83" s="2">
        <f>SalesData[[#This Row],[Sales_amount]]-SalesData[[#This Row],[Total_Cost]]</f>
        <v>-1990.3349999999991</v>
      </c>
      <c r="R83" s="2">
        <f>SalesData[[#This Row],[Profit]]/SalesData[[#This Row],[Sales_amount]]</f>
        <v>-0.16124735839862137</v>
      </c>
      <c r="S83" s="2">
        <f>SalesData[[#This Row],[Unit_Price]]-SalesData[[#This Row],[Unit_Cost]]</f>
        <v>354.02</v>
      </c>
      <c r="T83" s="10">
        <f>SalesData[[#This Row],[Unit_Margin]]/SalesData[[#This Row],[Unit_Price]]</f>
        <v>0.12906448120103392</v>
      </c>
      <c r="U83" s="2" t="str">
        <f>IF(SalesData[[#This Row],[Unit_Margin]]&lt;0, "Negative margin", "Positive margin")</f>
        <v>Positive margin</v>
      </c>
      <c r="V83" s="2" t="str">
        <f>IF(SalesData[[#This Row],[Profit]]&lt;0, "Loss", "Profit")</f>
        <v>Loss</v>
      </c>
      <c r="W83" s="2">
        <f>SalesData[[#This Row],[Unit_Price]]*(1-SalesData[[#This Row],[Discount]])</f>
        <v>2057.2275</v>
      </c>
      <c r="X83" s="2">
        <f>SalesData[[#This Row],[Effective_Unit_Price]]-SalesData[[#This Row],[Unit_Cost]]</f>
        <v>-331.72249999999985</v>
      </c>
      <c r="Y83" s="2" t="str">
        <f>IF(SalesData[[#This Row],[Effective_Unit_Margin]]&lt;0,"Loss per Unit","Positive per Unit")</f>
        <v>Loss per Unit</v>
      </c>
    </row>
    <row r="84" spans="1:25" x14ac:dyDescent="0.3">
      <c r="A84">
        <v>1034</v>
      </c>
      <c r="B84" s="1">
        <v>45056</v>
      </c>
      <c r="C84" t="s">
        <v>37</v>
      </c>
      <c r="D84" t="s">
        <v>33</v>
      </c>
      <c r="E84">
        <v>19</v>
      </c>
      <c r="F84" t="s">
        <v>28</v>
      </c>
      <c r="G84">
        <v>1922.21</v>
      </c>
      <c r="H84">
        <v>2180.83</v>
      </c>
      <c r="I84" t="s">
        <v>16</v>
      </c>
      <c r="J84" s="2">
        <v>0.17</v>
      </c>
      <c r="K84" t="s">
        <v>30</v>
      </c>
      <c r="L84" t="s">
        <v>21</v>
      </c>
      <c r="M84" t="s">
        <v>47</v>
      </c>
      <c r="N84">
        <f>SalesData[[#This Row],[Quantity_Sold]]*SalesData[[#This Row],[Unit_Cost]]</f>
        <v>36521.99</v>
      </c>
      <c r="O84">
        <f>SalesData[[#This Row],[Quantity_Sold]]*SalesData[[#This Row],[Unit_Price]]</f>
        <v>41435.769999999997</v>
      </c>
      <c r="P84">
        <f>SalesData[[#This Row],[Gross_sales]]*(1-SalesData[[#This Row],[Discount]])</f>
        <v>34391.689099999996</v>
      </c>
      <c r="Q84" s="2">
        <f>SalesData[[#This Row],[Sales_amount]]-SalesData[[#This Row],[Total_Cost]]</f>
        <v>-2130.300900000002</v>
      </c>
      <c r="R84" s="2">
        <f>SalesData[[#This Row],[Profit]]/SalesData[[#This Row],[Sales_amount]]</f>
        <v>-6.1942316755823498E-2</v>
      </c>
      <c r="S84" s="2">
        <f>SalesData[[#This Row],[Unit_Price]]-SalesData[[#This Row],[Unit_Cost]]</f>
        <v>258.61999999999989</v>
      </c>
      <c r="T84" s="10">
        <f>SalesData[[#This Row],[Unit_Margin]]/SalesData[[#This Row],[Unit_Price]]</f>
        <v>0.11858787709266651</v>
      </c>
      <c r="U84" s="2" t="str">
        <f>IF(SalesData[[#This Row],[Unit_Margin]]&lt;0, "Negative margin", "Positive margin")</f>
        <v>Positive margin</v>
      </c>
      <c r="V84" s="2" t="str">
        <f>IF(SalesData[[#This Row],[Profit]]&lt;0, "Loss", "Profit")</f>
        <v>Loss</v>
      </c>
      <c r="W84" s="2">
        <f>SalesData[[#This Row],[Unit_Price]]*(1-SalesData[[#This Row],[Discount]])</f>
        <v>1810.0888999999997</v>
      </c>
      <c r="X84" s="2">
        <f>SalesData[[#This Row],[Effective_Unit_Price]]-SalesData[[#This Row],[Unit_Cost]]</f>
        <v>-112.1211000000003</v>
      </c>
      <c r="Y84" s="2" t="str">
        <f>IF(SalesData[[#This Row],[Effective_Unit_Margin]]&lt;0,"Loss per Unit","Positive per Unit")</f>
        <v>Loss per Unit</v>
      </c>
    </row>
    <row r="85" spans="1:25" x14ac:dyDescent="0.3">
      <c r="A85">
        <v>1074</v>
      </c>
      <c r="B85" s="1">
        <v>45010</v>
      </c>
      <c r="C85" t="s">
        <v>37</v>
      </c>
      <c r="D85" t="s">
        <v>20</v>
      </c>
      <c r="E85">
        <v>38</v>
      </c>
      <c r="F85" t="s">
        <v>25</v>
      </c>
      <c r="G85">
        <v>2610.6</v>
      </c>
      <c r="H85">
        <v>2836.94</v>
      </c>
      <c r="I85" t="s">
        <v>16</v>
      </c>
      <c r="J85" s="2">
        <v>0.19</v>
      </c>
      <c r="K85" t="s">
        <v>30</v>
      </c>
      <c r="L85" t="s">
        <v>18</v>
      </c>
      <c r="M85" t="s">
        <v>40</v>
      </c>
      <c r="N85">
        <f>SalesData[[#This Row],[Quantity_Sold]]*SalesData[[#This Row],[Unit_Cost]]</f>
        <v>99202.8</v>
      </c>
      <c r="O85">
        <f>SalesData[[#This Row],[Quantity_Sold]]*SalesData[[#This Row],[Unit_Price]]</f>
        <v>107803.72</v>
      </c>
      <c r="P85">
        <f>SalesData[[#This Row],[Gross_sales]]*(1-SalesData[[#This Row],[Discount]])</f>
        <v>87321.013200000001</v>
      </c>
      <c r="Q85" s="2">
        <f>SalesData[[#This Row],[Sales_amount]]-SalesData[[#This Row],[Total_Cost]]</f>
        <v>-11881.786800000002</v>
      </c>
      <c r="R85" s="2">
        <f>SalesData[[#This Row],[Profit]]/SalesData[[#This Row],[Sales_amount]]</f>
        <v>-0.13607018934590193</v>
      </c>
      <c r="S85" s="2">
        <f>SalesData[[#This Row],[Unit_Price]]-SalesData[[#This Row],[Unit_Cost]]</f>
        <v>226.34000000000015</v>
      </c>
      <c r="T85" s="10">
        <f>SalesData[[#This Row],[Unit_Margin]]/SalesData[[#This Row],[Unit_Price]]</f>
        <v>7.9783146629819501E-2</v>
      </c>
      <c r="U85" s="2" t="str">
        <f>IF(SalesData[[#This Row],[Unit_Margin]]&lt;0, "Negative margin", "Positive margin")</f>
        <v>Positive margin</v>
      </c>
      <c r="V85" s="2" t="str">
        <f>IF(SalesData[[#This Row],[Profit]]&lt;0, "Loss", "Profit")</f>
        <v>Loss</v>
      </c>
      <c r="W85" s="2">
        <f>SalesData[[#This Row],[Unit_Price]]*(1-SalesData[[#This Row],[Discount]])</f>
        <v>2297.9214000000002</v>
      </c>
      <c r="X85" s="2">
        <f>SalesData[[#This Row],[Effective_Unit_Price]]-SalesData[[#This Row],[Unit_Cost]]</f>
        <v>-312.67859999999973</v>
      </c>
      <c r="Y85" s="2" t="str">
        <f>IF(SalesData[[#This Row],[Effective_Unit_Margin]]&lt;0,"Loss per Unit","Positive per Unit")</f>
        <v>Loss per Unit</v>
      </c>
    </row>
    <row r="86" spans="1:25" x14ac:dyDescent="0.3">
      <c r="A86">
        <v>1062</v>
      </c>
      <c r="B86" s="1">
        <v>45247</v>
      </c>
      <c r="C86" t="s">
        <v>32</v>
      </c>
      <c r="D86" t="s">
        <v>14</v>
      </c>
      <c r="E86">
        <v>28</v>
      </c>
      <c r="F86" t="s">
        <v>28</v>
      </c>
      <c r="G86">
        <v>2094.88</v>
      </c>
      <c r="H86">
        <v>2168.91</v>
      </c>
      <c r="I86" t="s">
        <v>16</v>
      </c>
      <c r="J86" s="2">
        <v>0.08</v>
      </c>
      <c r="K86" t="s">
        <v>17</v>
      </c>
      <c r="L86" t="s">
        <v>21</v>
      </c>
      <c r="M86" t="s">
        <v>52</v>
      </c>
      <c r="N86">
        <f>SalesData[[#This Row],[Quantity_Sold]]*SalesData[[#This Row],[Unit_Cost]]</f>
        <v>58656.639999999999</v>
      </c>
      <c r="O86">
        <f>SalesData[[#This Row],[Quantity_Sold]]*SalesData[[#This Row],[Unit_Price]]</f>
        <v>60729.479999999996</v>
      </c>
      <c r="P86">
        <f>SalesData[[#This Row],[Gross_sales]]*(1-SalesData[[#This Row],[Discount]])</f>
        <v>55871.121599999999</v>
      </c>
      <c r="Q86" s="2">
        <f>SalesData[[#This Row],[Sales_amount]]-SalesData[[#This Row],[Total_Cost]]</f>
        <v>-2785.5184000000008</v>
      </c>
      <c r="R86" s="2">
        <f>SalesData[[#This Row],[Profit]]/SalesData[[#This Row],[Sales_amount]]</f>
        <v>-4.9856138918106148E-2</v>
      </c>
      <c r="S86" s="2">
        <f>SalesData[[#This Row],[Unit_Price]]-SalesData[[#This Row],[Unit_Cost]]</f>
        <v>74.029999999999745</v>
      </c>
      <c r="T86" s="10">
        <f>SalesData[[#This Row],[Unit_Margin]]/SalesData[[#This Row],[Unit_Price]]</f>
        <v>3.4132352195342247E-2</v>
      </c>
      <c r="U86" s="2" t="str">
        <f>IF(SalesData[[#This Row],[Unit_Margin]]&lt;0, "Negative margin", "Positive margin")</f>
        <v>Positive margin</v>
      </c>
      <c r="V86" s="2" t="str">
        <f>IF(SalesData[[#This Row],[Profit]]&lt;0, "Loss", "Profit")</f>
        <v>Loss</v>
      </c>
      <c r="W86" s="2">
        <f>SalesData[[#This Row],[Unit_Price]]*(1-SalesData[[#This Row],[Discount]])</f>
        <v>1995.3971999999999</v>
      </c>
      <c r="X86" s="2">
        <f>SalesData[[#This Row],[Effective_Unit_Price]]-SalesData[[#This Row],[Unit_Cost]]</f>
        <v>-99.482800000000225</v>
      </c>
      <c r="Y86" s="2" t="str">
        <f>IF(SalesData[[#This Row],[Effective_Unit_Margin]]&lt;0,"Loss per Unit","Positive per Unit")</f>
        <v>Loss per Unit</v>
      </c>
    </row>
    <row r="87" spans="1:25" x14ac:dyDescent="0.3">
      <c r="A87">
        <v>1100</v>
      </c>
      <c r="B87" s="1">
        <v>45245</v>
      </c>
      <c r="C87" t="s">
        <v>37</v>
      </c>
      <c r="D87" t="s">
        <v>33</v>
      </c>
      <c r="E87">
        <v>2</v>
      </c>
      <c r="F87" t="s">
        <v>15</v>
      </c>
      <c r="G87">
        <v>1036.76</v>
      </c>
      <c r="H87">
        <v>1189.3499999999999</v>
      </c>
      <c r="I87" t="s">
        <v>29</v>
      </c>
      <c r="J87" s="2">
        <v>0.27</v>
      </c>
      <c r="K87" t="s">
        <v>26</v>
      </c>
      <c r="L87" t="s">
        <v>18</v>
      </c>
      <c r="M87" t="s">
        <v>47</v>
      </c>
      <c r="N87">
        <f>SalesData[[#This Row],[Quantity_Sold]]*SalesData[[#This Row],[Unit_Cost]]</f>
        <v>2073.52</v>
      </c>
      <c r="O87">
        <f>SalesData[[#This Row],[Quantity_Sold]]*SalesData[[#This Row],[Unit_Price]]</f>
        <v>2378.6999999999998</v>
      </c>
      <c r="P87">
        <f>SalesData[[#This Row],[Gross_sales]]*(1-SalesData[[#This Row],[Discount]])</f>
        <v>1736.4509999999998</v>
      </c>
      <c r="Q87" s="2">
        <f>SalesData[[#This Row],[Sales_amount]]-SalesData[[#This Row],[Total_Cost]]</f>
        <v>-337.06900000000019</v>
      </c>
      <c r="R87" s="2">
        <f>SalesData[[#This Row],[Profit]]/SalesData[[#This Row],[Sales_amount]]</f>
        <v>-0.19411374118820526</v>
      </c>
      <c r="S87" s="2">
        <f>SalesData[[#This Row],[Unit_Price]]-SalesData[[#This Row],[Unit_Cost]]</f>
        <v>152.58999999999992</v>
      </c>
      <c r="T87" s="10">
        <f>SalesData[[#This Row],[Unit_Margin]]/SalesData[[#This Row],[Unit_Price]]</f>
        <v>0.12829696893261019</v>
      </c>
      <c r="U87" s="2" t="str">
        <f>IF(SalesData[[#This Row],[Unit_Margin]]&lt;0, "Negative margin", "Positive margin")</f>
        <v>Positive margin</v>
      </c>
      <c r="V87" s="2" t="str">
        <f>IF(SalesData[[#This Row],[Profit]]&lt;0, "Loss", "Profit")</f>
        <v>Loss</v>
      </c>
      <c r="W87" s="2">
        <f>SalesData[[#This Row],[Unit_Price]]*(1-SalesData[[#This Row],[Discount]])</f>
        <v>868.2254999999999</v>
      </c>
      <c r="X87" s="2">
        <f>SalesData[[#This Row],[Effective_Unit_Price]]-SalesData[[#This Row],[Unit_Cost]]</f>
        <v>-168.53450000000009</v>
      </c>
      <c r="Y87" s="2" t="str">
        <f>IF(SalesData[[#This Row],[Effective_Unit_Margin]]&lt;0,"Loss per Unit","Positive per Unit")</f>
        <v>Loss per Unit</v>
      </c>
    </row>
    <row r="88" spans="1:25" x14ac:dyDescent="0.3">
      <c r="A88">
        <v>1014</v>
      </c>
      <c r="B88" s="1">
        <v>45027</v>
      </c>
      <c r="C88" t="s">
        <v>41</v>
      </c>
      <c r="D88" t="s">
        <v>24</v>
      </c>
      <c r="E88">
        <v>38</v>
      </c>
      <c r="F88" t="s">
        <v>25</v>
      </c>
      <c r="G88">
        <v>2091.21</v>
      </c>
      <c r="H88">
        <v>2527</v>
      </c>
      <c r="I88" t="s">
        <v>16</v>
      </c>
      <c r="J88" s="2">
        <v>0.01</v>
      </c>
      <c r="K88" t="s">
        <v>30</v>
      </c>
      <c r="L88" t="s">
        <v>18</v>
      </c>
      <c r="M88" t="s">
        <v>42</v>
      </c>
      <c r="N88">
        <f>SalesData[[#This Row],[Quantity_Sold]]*SalesData[[#This Row],[Unit_Cost]]</f>
        <v>79465.98</v>
      </c>
      <c r="O88">
        <f>SalesData[[#This Row],[Quantity_Sold]]*SalesData[[#This Row],[Unit_Price]]</f>
        <v>96026</v>
      </c>
      <c r="P88">
        <f>SalesData[[#This Row],[Gross_sales]]*(1-SalesData[[#This Row],[Discount]])</f>
        <v>95065.74</v>
      </c>
      <c r="Q88" s="2">
        <f>SalesData[[#This Row],[Sales_amount]]-SalesData[[#This Row],[Total_Cost]]</f>
        <v>15599.760000000009</v>
      </c>
      <c r="R88" s="2">
        <f>SalesData[[#This Row],[Profit]]/SalesData[[#This Row],[Sales_amount]]</f>
        <v>0.16409444664292319</v>
      </c>
      <c r="S88" s="2">
        <f>SalesData[[#This Row],[Unit_Price]]-SalesData[[#This Row],[Unit_Cost]]</f>
        <v>435.78999999999996</v>
      </c>
      <c r="T88" s="10">
        <f>SalesData[[#This Row],[Unit_Margin]]/SalesData[[#This Row],[Unit_Price]]</f>
        <v>0.17245350217649386</v>
      </c>
      <c r="U88" s="2" t="str">
        <f>IF(SalesData[[#This Row],[Unit_Margin]]&lt;0, "Negative margin", "Positive margin")</f>
        <v>Positive margin</v>
      </c>
      <c r="V88" s="2" t="str">
        <f>IF(SalesData[[#This Row],[Profit]]&lt;0, "Loss", "Profit")</f>
        <v>Profit</v>
      </c>
      <c r="W88" s="2">
        <f>SalesData[[#This Row],[Unit_Price]]*(1-SalesData[[#This Row],[Discount]])</f>
        <v>2501.73</v>
      </c>
      <c r="X88" s="2">
        <f>SalesData[[#This Row],[Effective_Unit_Price]]-SalesData[[#This Row],[Unit_Cost]]</f>
        <v>410.52</v>
      </c>
      <c r="Y88" s="2" t="str">
        <f>IF(SalesData[[#This Row],[Effective_Unit_Margin]]&lt;0,"Loss per Unit","Positive per Unit")</f>
        <v>Positive per Unit</v>
      </c>
    </row>
    <row r="89" spans="1:25" x14ac:dyDescent="0.3">
      <c r="A89">
        <v>1095</v>
      </c>
      <c r="B89" s="1">
        <v>45255</v>
      </c>
      <c r="C89" t="s">
        <v>41</v>
      </c>
      <c r="D89" t="s">
        <v>33</v>
      </c>
      <c r="E89">
        <v>37</v>
      </c>
      <c r="F89" t="s">
        <v>34</v>
      </c>
      <c r="G89">
        <v>407.77</v>
      </c>
      <c r="H89">
        <v>860.95</v>
      </c>
      <c r="I89" t="s">
        <v>29</v>
      </c>
      <c r="J89" s="2">
        <v>0.1</v>
      </c>
      <c r="K89" t="s">
        <v>30</v>
      </c>
      <c r="L89" t="s">
        <v>21</v>
      </c>
      <c r="M89" t="s">
        <v>51</v>
      </c>
      <c r="N89">
        <f>SalesData[[#This Row],[Quantity_Sold]]*SalesData[[#This Row],[Unit_Cost]]</f>
        <v>15087.49</v>
      </c>
      <c r="O89">
        <f>SalesData[[#This Row],[Quantity_Sold]]*SalesData[[#This Row],[Unit_Price]]</f>
        <v>31855.15</v>
      </c>
      <c r="P89">
        <f>SalesData[[#This Row],[Gross_sales]]*(1-SalesData[[#This Row],[Discount]])</f>
        <v>28669.635000000002</v>
      </c>
      <c r="Q89" s="2">
        <f>SalesData[[#This Row],[Sales_amount]]-SalesData[[#This Row],[Total_Cost]]</f>
        <v>13582.145000000002</v>
      </c>
      <c r="R89" s="2">
        <f>SalesData[[#This Row],[Profit]]/SalesData[[#This Row],[Sales_amount]]</f>
        <v>0.47374670099567018</v>
      </c>
      <c r="S89" s="2">
        <f>SalesData[[#This Row],[Unit_Price]]-SalesData[[#This Row],[Unit_Cost]]</f>
        <v>453.18000000000006</v>
      </c>
      <c r="T89" s="10">
        <f>SalesData[[#This Row],[Unit_Margin]]/SalesData[[#This Row],[Unit_Price]]</f>
        <v>0.52637203089610318</v>
      </c>
      <c r="U89" s="2" t="str">
        <f>IF(SalesData[[#This Row],[Unit_Margin]]&lt;0, "Negative margin", "Positive margin")</f>
        <v>Positive margin</v>
      </c>
      <c r="V89" s="2" t="str">
        <f>IF(SalesData[[#This Row],[Profit]]&lt;0, "Loss", "Profit")</f>
        <v>Profit</v>
      </c>
      <c r="W89" s="2">
        <f>SalesData[[#This Row],[Unit_Price]]*(1-SalesData[[#This Row],[Discount]])</f>
        <v>774.85500000000002</v>
      </c>
      <c r="X89" s="2">
        <f>SalesData[[#This Row],[Effective_Unit_Price]]-SalesData[[#This Row],[Unit_Cost]]</f>
        <v>367.08500000000004</v>
      </c>
      <c r="Y89" s="2" t="str">
        <f>IF(SalesData[[#This Row],[Effective_Unit_Margin]]&lt;0,"Loss per Unit","Positive per Unit")</f>
        <v>Positive per Unit</v>
      </c>
    </row>
    <row r="90" spans="1:25" x14ac:dyDescent="0.3">
      <c r="A90">
        <v>1048</v>
      </c>
      <c r="B90" s="1">
        <v>45199</v>
      </c>
      <c r="C90" t="s">
        <v>32</v>
      </c>
      <c r="D90" t="s">
        <v>14</v>
      </c>
      <c r="E90">
        <v>4</v>
      </c>
      <c r="F90" t="s">
        <v>15</v>
      </c>
      <c r="G90">
        <v>2900.14</v>
      </c>
      <c r="H90">
        <v>2910.5099999999902</v>
      </c>
      <c r="I90" t="s">
        <v>29</v>
      </c>
      <c r="J90" s="2">
        <v>0.22</v>
      </c>
      <c r="K90" t="s">
        <v>30</v>
      </c>
      <c r="L90" t="s">
        <v>21</v>
      </c>
      <c r="M90" t="s">
        <v>52</v>
      </c>
      <c r="N90">
        <f>SalesData[[#This Row],[Quantity_Sold]]*SalesData[[#This Row],[Unit_Cost]]</f>
        <v>11600.56</v>
      </c>
      <c r="O90">
        <f>SalesData[[#This Row],[Quantity_Sold]]*SalesData[[#This Row],[Unit_Price]]</f>
        <v>11642.039999999961</v>
      </c>
      <c r="P90">
        <f>SalesData[[#This Row],[Gross_sales]]*(1-SalesData[[#This Row],[Discount]])</f>
        <v>9080.7911999999706</v>
      </c>
      <c r="Q90" s="2">
        <f>SalesData[[#This Row],[Sales_amount]]-SalesData[[#This Row],[Total_Cost]]</f>
        <v>-2519.7688000000289</v>
      </c>
      <c r="R90" s="2">
        <f>SalesData[[#This Row],[Profit]]/SalesData[[#This Row],[Sales_amount]]</f>
        <v>-0.27748339814266815</v>
      </c>
      <c r="S90" s="2">
        <f>SalesData[[#This Row],[Unit_Price]]-SalesData[[#This Row],[Unit_Cost]]</f>
        <v>10.369999999990341</v>
      </c>
      <c r="T90" s="10">
        <f>SalesData[[#This Row],[Unit_Margin]]/SalesData[[#This Row],[Unit_Price]]</f>
        <v>3.5629494487187385E-3</v>
      </c>
      <c r="U90" s="2" t="str">
        <f>IF(SalesData[[#This Row],[Unit_Margin]]&lt;0, "Negative margin", "Positive margin")</f>
        <v>Positive margin</v>
      </c>
      <c r="V90" s="2" t="str">
        <f>IF(SalesData[[#This Row],[Profit]]&lt;0, "Loss", "Profit")</f>
        <v>Loss</v>
      </c>
      <c r="W90" s="2">
        <f>SalesData[[#This Row],[Unit_Price]]*(1-SalesData[[#This Row],[Discount]])</f>
        <v>2270.1977999999926</v>
      </c>
      <c r="X90" s="2">
        <f>SalesData[[#This Row],[Effective_Unit_Price]]-SalesData[[#This Row],[Unit_Cost]]</f>
        <v>-629.94220000000723</v>
      </c>
      <c r="Y90" s="2" t="str">
        <f>IF(SalesData[[#This Row],[Effective_Unit_Margin]]&lt;0,"Loss per Unit","Positive per Unit")</f>
        <v>Loss per Unit</v>
      </c>
    </row>
    <row r="91" spans="1:25" x14ac:dyDescent="0.3">
      <c r="A91">
        <v>1015</v>
      </c>
      <c r="B91" s="1">
        <v>45191</v>
      </c>
      <c r="C91" t="s">
        <v>23</v>
      </c>
      <c r="D91" t="s">
        <v>24</v>
      </c>
      <c r="E91">
        <v>22</v>
      </c>
      <c r="F91" t="s">
        <v>34</v>
      </c>
      <c r="G91">
        <v>4275.59</v>
      </c>
      <c r="H91">
        <v>4576.72</v>
      </c>
      <c r="I91" t="s">
        <v>16</v>
      </c>
      <c r="J91" s="2">
        <v>0.02</v>
      </c>
      <c r="K91" t="s">
        <v>17</v>
      </c>
      <c r="L91" t="s">
        <v>21</v>
      </c>
      <c r="M91" t="s">
        <v>27</v>
      </c>
      <c r="N91">
        <f>SalesData[[#This Row],[Quantity_Sold]]*SalesData[[#This Row],[Unit_Cost]]</f>
        <v>94062.98000000001</v>
      </c>
      <c r="O91">
        <f>SalesData[[#This Row],[Quantity_Sold]]*SalesData[[#This Row],[Unit_Price]]</f>
        <v>100687.84000000001</v>
      </c>
      <c r="P91">
        <f>SalesData[[#This Row],[Gross_sales]]*(1-SalesData[[#This Row],[Discount]])</f>
        <v>98674.083200000008</v>
      </c>
      <c r="Q91" s="2">
        <f>SalesData[[#This Row],[Sales_amount]]-SalesData[[#This Row],[Total_Cost]]</f>
        <v>4611.1031999999977</v>
      </c>
      <c r="R91" s="2">
        <f>SalesData[[#This Row],[Profit]]/SalesData[[#This Row],[Sales_amount]]</f>
        <v>4.6730641425407206E-2</v>
      </c>
      <c r="S91" s="2">
        <f>SalesData[[#This Row],[Unit_Price]]-SalesData[[#This Row],[Unit_Cost]]</f>
        <v>301.13000000000011</v>
      </c>
      <c r="T91" s="10">
        <f>SalesData[[#This Row],[Unit_Margin]]/SalesData[[#This Row],[Unit_Price]]</f>
        <v>6.5796028596899106E-2</v>
      </c>
      <c r="U91" s="2" t="str">
        <f>IF(SalesData[[#This Row],[Unit_Margin]]&lt;0, "Negative margin", "Positive margin")</f>
        <v>Positive margin</v>
      </c>
      <c r="V91" s="2" t="str">
        <f>IF(SalesData[[#This Row],[Profit]]&lt;0, "Loss", "Profit")</f>
        <v>Profit</v>
      </c>
      <c r="W91" s="2">
        <f>SalesData[[#This Row],[Unit_Price]]*(1-SalesData[[#This Row],[Discount]])</f>
        <v>4485.1855999999998</v>
      </c>
      <c r="X91" s="2">
        <f>SalesData[[#This Row],[Effective_Unit_Price]]-SalesData[[#This Row],[Unit_Cost]]</f>
        <v>209.59559999999965</v>
      </c>
      <c r="Y91" s="2" t="str">
        <f>IF(SalesData[[#This Row],[Effective_Unit_Margin]]&lt;0,"Loss per Unit","Positive per Unit")</f>
        <v>Positive per Unit</v>
      </c>
    </row>
    <row r="92" spans="1:25" x14ac:dyDescent="0.3">
      <c r="A92">
        <v>1072</v>
      </c>
      <c r="B92" s="1">
        <v>44964</v>
      </c>
      <c r="C92" t="s">
        <v>13</v>
      </c>
      <c r="D92" t="s">
        <v>33</v>
      </c>
      <c r="E92">
        <v>26</v>
      </c>
      <c r="F92" t="s">
        <v>25</v>
      </c>
      <c r="G92">
        <v>3640.17</v>
      </c>
      <c r="H92">
        <v>4002.63</v>
      </c>
      <c r="I92" t="s">
        <v>29</v>
      </c>
      <c r="J92" s="2">
        <v>0.05</v>
      </c>
      <c r="K92" t="s">
        <v>30</v>
      </c>
      <c r="L92" t="s">
        <v>21</v>
      </c>
      <c r="M92" t="s">
        <v>45</v>
      </c>
      <c r="N92">
        <f>SalesData[[#This Row],[Quantity_Sold]]*SalesData[[#This Row],[Unit_Cost]]</f>
        <v>94644.42</v>
      </c>
      <c r="O92">
        <f>SalesData[[#This Row],[Quantity_Sold]]*SalesData[[#This Row],[Unit_Price]]</f>
        <v>104068.38</v>
      </c>
      <c r="P92">
        <f>SalesData[[#This Row],[Gross_sales]]*(1-SalesData[[#This Row],[Discount]])</f>
        <v>98864.960999999996</v>
      </c>
      <c r="Q92" s="2">
        <f>SalesData[[#This Row],[Sales_amount]]-SalesData[[#This Row],[Total_Cost]]</f>
        <v>4220.5409999999974</v>
      </c>
      <c r="R92" s="2">
        <f>SalesData[[#This Row],[Profit]]/SalesData[[#This Row],[Sales_amount]]</f>
        <v>4.2689957668622332E-2</v>
      </c>
      <c r="S92" s="2">
        <f>SalesData[[#This Row],[Unit_Price]]-SalesData[[#This Row],[Unit_Cost]]</f>
        <v>362.46000000000004</v>
      </c>
      <c r="T92" s="10">
        <f>SalesData[[#This Row],[Unit_Margin]]/SalesData[[#This Row],[Unit_Price]]</f>
        <v>9.055545978519125E-2</v>
      </c>
      <c r="U92" s="2" t="str">
        <f>IF(SalesData[[#This Row],[Unit_Margin]]&lt;0, "Negative margin", "Positive margin")</f>
        <v>Positive margin</v>
      </c>
      <c r="V92" s="2" t="str">
        <f>IF(SalesData[[#This Row],[Profit]]&lt;0, "Loss", "Profit")</f>
        <v>Profit</v>
      </c>
      <c r="W92" s="2">
        <f>SalesData[[#This Row],[Unit_Price]]*(1-SalesData[[#This Row],[Discount]])</f>
        <v>3802.4985000000001</v>
      </c>
      <c r="X92" s="2">
        <f>SalesData[[#This Row],[Effective_Unit_Price]]-SalesData[[#This Row],[Unit_Cost]]</f>
        <v>162.32850000000008</v>
      </c>
      <c r="Y92" s="2" t="str">
        <f>IF(SalesData[[#This Row],[Effective_Unit_Margin]]&lt;0,"Loss per Unit","Positive per Unit")</f>
        <v>Positive per Unit</v>
      </c>
    </row>
    <row r="93" spans="1:25" x14ac:dyDescent="0.3">
      <c r="A93">
        <v>1078</v>
      </c>
      <c r="B93" s="1">
        <v>45020</v>
      </c>
      <c r="C93" t="s">
        <v>23</v>
      </c>
      <c r="D93" t="s">
        <v>33</v>
      </c>
      <c r="E93">
        <v>49</v>
      </c>
      <c r="F93" t="s">
        <v>15</v>
      </c>
      <c r="G93">
        <v>1833.95</v>
      </c>
      <c r="H93">
        <v>2147.14</v>
      </c>
      <c r="I93" t="s">
        <v>16</v>
      </c>
      <c r="J93" s="2">
        <v>0.18</v>
      </c>
      <c r="K93" t="s">
        <v>30</v>
      </c>
      <c r="L93" t="s">
        <v>21</v>
      </c>
      <c r="M93" t="s">
        <v>49</v>
      </c>
      <c r="N93">
        <f>SalesData[[#This Row],[Quantity_Sold]]*SalesData[[#This Row],[Unit_Cost]]</f>
        <v>89863.55</v>
      </c>
      <c r="O93">
        <f>SalesData[[#This Row],[Quantity_Sold]]*SalesData[[#This Row],[Unit_Price]]</f>
        <v>105209.86</v>
      </c>
      <c r="P93">
        <f>SalesData[[#This Row],[Gross_sales]]*(1-SalesData[[#This Row],[Discount]])</f>
        <v>86272.085200000001</v>
      </c>
      <c r="Q93" s="2">
        <f>SalesData[[#This Row],[Sales_amount]]-SalesData[[#This Row],[Total_Cost]]</f>
        <v>-3591.4648000000016</v>
      </c>
      <c r="R93" s="2">
        <f>SalesData[[#This Row],[Profit]]/SalesData[[#This Row],[Sales_amount]]</f>
        <v>-4.1629511929311774E-2</v>
      </c>
      <c r="S93" s="2">
        <f>SalesData[[#This Row],[Unit_Price]]-SalesData[[#This Row],[Unit_Cost]]</f>
        <v>313.18999999999983</v>
      </c>
      <c r="T93" s="10">
        <f>SalesData[[#This Row],[Unit_Margin]]/SalesData[[#This Row],[Unit_Price]]</f>
        <v>0.1458638002179643</v>
      </c>
      <c r="U93" s="2" t="str">
        <f>IF(SalesData[[#This Row],[Unit_Margin]]&lt;0, "Negative margin", "Positive margin")</f>
        <v>Positive margin</v>
      </c>
      <c r="V93" s="2" t="str">
        <f>IF(SalesData[[#This Row],[Profit]]&lt;0, "Loss", "Profit")</f>
        <v>Loss</v>
      </c>
      <c r="W93" s="2">
        <f>SalesData[[#This Row],[Unit_Price]]*(1-SalesData[[#This Row],[Discount]])</f>
        <v>1760.6548</v>
      </c>
      <c r="X93" s="2">
        <f>SalesData[[#This Row],[Effective_Unit_Price]]-SalesData[[#This Row],[Unit_Cost]]</f>
        <v>-73.295200000000023</v>
      </c>
      <c r="Y93" s="2" t="str">
        <f>IF(SalesData[[#This Row],[Effective_Unit_Margin]]&lt;0,"Loss per Unit","Positive per Unit")</f>
        <v>Loss per Unit</v>
      </c>
    </row>
    <row r="94" spans="1:25" x14ac:dyDescent="0.3">
      <c r="A94">
        <v>1087</v>
      </c>
      <c r="B94" s="1">
        <v>45021</v>
      </c>
      <c r="C94" t="s">
        <v>37</v>
      </c>
      <c r="D94" t="s">
        <v>33</v>
      </c>
      <c r="E94">
        <v>43</v>
      </c>
      <c r="F94" t="s">
        <v>15</v>
      </c>
      <c r="G94">
        <v>481</v>
      </c>
      <c r="H94">
        <v>531.02</v>
      </c>
      <c r="I94" t="s">
        <v>29</v>
      </c>
      <c r="J94" s="2">
        <v>0.17</v>
      </c>
      <c r="K94" t="s">
        <v>17</v>
      </c>
      <c r="L94" t="s">
        <v>18</v>
      </c>
      <c r="M94" t="s">
        <v>47</v>
      </c>
      <c r="N94">
        <f>SalesData[[#This Row],[Quantity_Sold]]*SalesData[[#This Row],[Unit_Cost]]</f>
        <v>20683</v>
      </c>
      <c r="O94">
        <f>SalesData[[#This Row],[Quantity_Sold]]*SalesData[[#This Row],[Unit_Price]]</f>
        <v>22833.86</v>
      </c>
      <c r="P94">
        <f>SalesData[[#This Row],[Gross_sales]]*(1-SalesData[[#This Row],[Discount]])</f>
        <v>18952.103800000001</v>
      </c>
      <c r="Q94" s="2">
        <f>SalesData[[#This Row],[Sales_amount]]-SalesData[[#This Row],[Total_Cost]]</f>
        <v>-1730.8961999999992</v>
      </c>
      <c r="R94" s="2">
        <f>SalesData[[#This Row],[Profit]]/SalesData[[#This Row],[Sales_amount]]</f>
        <v>-9.1330029545321462E-2</v>
      </c>
      <c r="S94" s="2">
        <f>SalesData[[#This Row],[Unit_Price]]-SalesData[[#This Row],[Unit_Cost]]</f>
        <v>50.019999999999982</v>
      </c>
      <c r="T94" s="10">
        <f>SalesData[[#This Row],[Unit_Margin]]/SalesData[[#This Row],[Unit_Price]]</f>
        <v>9.4196075477383123E-2</v>
      </c>
      <c r="U94" s="2" t="str">
        <f>IF(SalesData[[#This Row],[Unit_Margin]]&lt;0, "Negative margin", "Positive margin")</f>
        <v>Positive margin</v>
      </c>
      <c r="V94" s="2" t="str">
        <f>IF(SalesData[[#This Row],[Profit]]&lt;0, "Loss", "Profit")</f>
        <v>Loss</v>
      </c>
      <c r="W94" s="2">
        <f>SalesData[[#This Row],[Unit_Price]]*(1-SalesData[[#This Row],[Discount]])</f>
        <v>440.74659999999994</v>
      </c>
      <c r="X94" s="2">
        <f>SalesData[[#This Row],[Effective_Unit_Price]]-SalesData[[#This Row],[Unit_Cost]]</f>
        <v>-40.253400000000056</v>
      </c>
      <c r="Y94" s="2" t="str">
        <f>IF(SalesData[[#This Row],[Effective_Unit_Margin]]&lt;0,"Loss per Unit","Positive per Unit")</f>
        <v>Loss per Unit</v>
      </c>
    </row>
    <row r="95" spans="1:25" x14ac:dyDescent="0.3">
      <c r="A95">
        <v>1062</v>
      </c>
      <c r="B95" s="1">
        <v>45231</v>
      </c>
      <c r="C95" t="s">
        <v>13</v>
      </c>
      <c r="D95" t="s">
        <v>33</v>
      </c>
      <c r="E95">
        <v>36</v>
      </c>
      <c r="F95" t="s">
        <v>25</v>
      </c>
      <c r="G95">
        <v>1050.6400000000001</v>
      </c>
      <c r="H95">
        <v>1167.33</v>
      </c>
      <c r="I95" t="s">
        <v>29</v>
      </c>
      <c r="J95" s="2">
        <v>0.22</v>
      </c>
      <c r="K95" t="s">
        <v>17</v>
      </c>
      <c r="L95" t="s">
        <v>18</v>
      </c>
      <c r="M95" t="s">
        <v>45</v>
      </c>
      <c r="N95">
        <f>SalesData[[#This Row],[Quantity_Sold]]*SalesData[[#This Row],[Unit_Cost]]</f>
        <v>37823.040000000001</v>
      </c>
      <c r="O95">
        <f>SalesData[[#This Row],[Quantity_Sold]]*SalesData[[#This Row],[Unit_Price]]</f>
        <v>42023.88</v>
      </c>
      <c r="P95">
        <f>SalesData[[#This Row],[Gross_sales]]*(1-SalesData[[#This Row],[Discount]])</f>
        <v>32778.626400000001</v>
      </c>
      <c r="Q95" s="2">
        <f>SalesData[[#This Row],[Sales_amount]]-SalesData[[#This Row],[Total_Cost]]</f>
        <v>-5044.4135999999999</v>
      </c>
      <c r="R95" s="2">
        <f>SalesData[[#This Row],[Profit]]/SalesData[[#This Row],[Sales_amount]]</f>
        <v>-0.15389337974211145</v>
      </c>
      <c r="S95" s="2">
        <f>SalesData[[#This Row],[Unit_Price]]-SalesData[[#This Row],[Unit_Cost]]</f>
        <v>116.68999999999983</v>
      </c>
      <c r="T95" s="10">
        <f>SalesData[[#This Row],[Unit_Margin]]/SalesData[[#This Row],[Unit_Price]]</f>
        <v>9.9963163801152916E-2</v>
      </c>
      <c r="U95" s="2" t="str">
        <f>IF(SalesData[[#This Row],[Unit_Margin]]&lt;0, "Negative margin", "Positive margin")</f>
        <v>Positive margin</v>
      </c>
      <c r="V95" s="2" t="str">
        <f>IF(SalesData[[#This Row],[Profit]]&lt;0, "Loss", "Profit")</f>
        <v>Loss</v>
      </c>
      <c r="W95" s="2">
        <f>SalesData[[#This Row],[Unit_Price]]*(1-SalesData[[#This Row],[Discount]])</f>
        <v>910.51739999999995</v>
      </c>
      <c r="X95" s="2">
        <f>SalesData[[#This Row],[Effective_Unit_Price]]-SalesData[[#This Row],[Unit_Cost]]</f>
        <v>-140.12260000000015</v>
      </c>
      <c r="Y95" s="2" t="str">
        <f>IF(SalesData[[#This Row],[Effective_Unit_Margin]]&lt;0,"Loss per Unit","Positive per Unit")</f>
        <v>Loss per Unit</v>
      </c>
    </row>
    <row r="96" spans="1:25" x14ac:dyDescent="0.3">
      <c r="A96">
        <v>1040</v>
      </c>
      <c r="B96" s="1">
        <v>44995</v>
      </c>
      <c r="C96" t="s">
        <v>32</v>
      </c>
      <c r="D96" t="s">
        <v>33</v>
      </c>
      <c r="E96">
        <v>13</v>
      </c>
      <c r="F96" t="s">
        <v>28</v>
      </c>
      <c r="G96">
        <v>2750.18</v>
      </c>
      <c r="H96">
        <v>2882.85</v>
      </c>
      <c r="I96" t="s">
        <v>16</v>
      </c>
      <c r="J96" s="2">
        <v>0.24</v>
      </c>
      <c r="K96" t="s">
        <v>30</v>
      </c>
      <c r="L96" t="s">
        <v>18</v>
      </c>
      <c r="M96" t="s">
        <v>35</v>
      </c>
      <c r="N96">
        <f>SalesData[[#This Row],[Quantity_Sold]]*SalesData[[#This Row],[Unit_Cost]]</f>
        <v>35752.339999999997</v>
      </c>
      <c r="O96">
        <f>SalesData[[#This Row],[Quantity_Sold]]*SalesData[[#This Row],[Unit_Price]]</f>
        <v>37477.049999999996</v>
      </c>
      <c r="P96">
        <f>SalesData[[#This Row],[Gross_sales]]*(1-SalesData[[#This Row],[Discount]])</f>
        <v>28482.557999999997</v>
      </c>
      <c r="Q96" s="2">
        <f>SalesData[[#This Row],[Sales_amount]]-SalesData[[#This Row],[Total_Cost]]</f>
        <v>-7269.7819999999992</v>
      </c>
      <c r="R96" s="2">
        <f>SalesData[[#This Row],[Profit]]/SalesData[[#This Row],[Sales_amount]]</f>
        <v>-0.25523627477560124</v>
      </c>
      <c r="S96" s="2">
        <f>SalesData[[#This Row],[Unit_Price]]-SalesData[[#This Row],[Unit_Cost]]</f>
        <v>132.67000000000007</v>
      </c>
      <c r="T96" s="10">
        <f>SalesData[[#This Row],[Unit_Margin]]/SalesData[[#This Row],[Unit_Price]]</f>
        <v>4.6020431170543066E-2</v>
      </c>
      <c r="U96" s="2" t="str">
        <f>IF(SalesData[[#This Row],[Unit_Margin]]&lt;0, "Negative margin", "Positive margin")</f>
        <v>Positive margin</v>
      </c>
      <c r="V96" s="2" t="str">
        <f>IF(SalesData[[#This Row],[Profit]]&lt;0, "Loss", "Profit")</f>
        <v>Loss</v>
      </c>
      <c r="W96" s="2">
        <f>SalesData[[#This Row],[Unit_Price]]*(1-SalesData[[#This Row],[Discount]])</f>
        <v>2190.9659999999999</v>
      </c>
      <c r="X96" s="2">
        <f>SalesData[[#This Row],[Effective_Unit_Price]]-SalesData[[#This Row],[Unit_Cost]]</f>
        <v>-559.21399999999994</v>
      </c>
      <c r="Y96" s="2" t="str">
        <f>IF(SalesData[[#This Row],[Effective_Unit_Margin]]&lt;0,"Loss per Unit","Positive per Unit")</f>
        <v>Loss per Unit</v>
      </c>
    </row>
    <row r="97" spans="1:25" x14ac:dyDescent="0.3">
      <c r="A97">
        <v>1085</v>
      </c>
      <c r="B97" s="1">
        <v>45244</v>
      </c>
      <c r="C97" t="s">
        <v>32</v>
      </c>
      <c r="D97" t="s">
        <v>24</v>
      </c>
      <c r="E97">
        <v>32</v>
      </c>
      <c r="F97" t="s">
        <v>15</v>
      </c>
      <c r="G97">
        <v>1074.93</v>
      </c>
      <c r="H97">
        <v>1492.48</v>
      </c>
      <c r="I97" t="s">
        <v>16</v>
      </c>
      <c r="J97" s="2">
        <v>0.04</v>
      </c>
      <c r="K97" t="s">
        <v>30</v>
      </c>
      <c r="L97" t="s">
        <v>21</v>
      </c>
      <c r="M97" t="s">
        <v>43</v>
      </c>
      <c r="N97">
        <f>SalesData[[#This Row],[Quantity_Sold]]*SalesData[[#This Row],[Unit_Cost]]</f>
        <v>34397.760000000002</v>
      </c>
      <c r="O97">
        <f>SalesData[[#This Row],[Quantity_Sold]]*SalesData[[#This Row],[Unit_Price]]</f>
        <v>47759.360000000001</v>
      </c>
      <c r="P97">
        <f>SalesData[[#This Row],[Gross_sales]]*(1-SalesData[[#This Row],[Discount]])</f>
        <v>45848.9856</v>
      </c>
      <c r="Q97" s="2">
        <f>SalesData[[#This Row],[Sales_amount]]-SalesData[[#This Row],[Total_Cost]]</f>
        <v>11451.225599999998</v>
      </c>
      <c r="R97" s="2">
        <f>SalesData[[#This Row],[Profit]]/SalesData[[#This Row],[Sales_amount]]</f>
        <v>0.2497596282697255</v>
      </c>
      <c r="S97" s="2">
        <f>SalesData[[#This Row],[Unit_Price]]-SalesData[[#This Row],[Unit_Cost]]</f>
        <v>417.54999999999995</v>
      </c>
      <c r="T97" s="10">
        <f>SalesData[[#This Row],[Unit_Margin]]/SalesData[[#This Row],[Unit_Price]]</f>
        <v>0.27976924313893647</v>
      </c>
      <c r="U97" s="2" t="str">
        <f>IF(SalesData[[#This Row],[Unit_Margin]]&lt;0, "Negative margin", "Positive margin")</f>
        <v>Positive margin</v>
      </c>
      <c r="V97" s="2" t="str">
        <f>IF(SalesData[[#This Row],[Profit]]&lt;0, "Loss", "Profit")</f>
        <v>Profit</v>
      </c>
      <c r="W97" s="2">
        <f>SalesData[[#This Row],[Unit_Price]]*(1-SalesData[[#This Row],[Discount]])</f>
        <v>1432.7808</v>
      </c>
      <c r="X97" s="2">
        <f>SalesData[[#This Row],[Effective_Unit_Price]]-SalesData[[#This Row],[Unit_Cost]]</f>
        <v>357.85079999999994</v>
      </c>
      <c r="Y97" s="2" t="str">
        <f>IF(SalesData[[#This Row],[Effective_Unit_Margin]]&lt;0,"Loss per Unit","Positive per Unit")</f>
        <v>Positive per Unit</v>
      </c>
    </row>
    <row r="98" spans="1:25" x14ac:dyDescent="0.3">
      <c r="A98">
        <v>1080</v>
      </c>
      <c r="B98" s="1">
        <v>45162</v>
      </c>
      <c r="C98" t="s">
        <v>13</v>
      </c>
      <c r="D98" t="s">
        <v>20</v>
      </c>
      <c r="E98">
        <v>17</v>
      </c>
      <c r="F98" t="s">
        <v>15</v>
      </c>
      <c r="G98">
        <v>2742.67</v>
      </c>
      <c r="H98">
        <v>2979.64</v>
      </c>
      <c r="I98" t="s">
        <v>16</v>
      </c>
      <c r="J98" s="2">
        <v>0.01</v>
      </c>
      <c r="K98" t="s">
        <v>17</v>
      </c>
      <c r="L98" t="s">
        <v>21</v>
      </c>
      <c r="M98" t="s">
        <v>22</v>
      </c>
      <c r="N98">
        <f>SalesData[[#This Row],[Quantity_Sold]]*SalesData[[#This Row],[Unit_Cost]]</f>
        <v>46625.39</v>
      </c>
      <c r="O98">
        <f>SalesData[[#This Row],[Quantity_Sold]]*SalesData[[#This Row],[Unit_Price]]</f>
        <v>50653.88</v>
      </c>
      <c r="P98">
        <f>SalesData[[#This Row],[Gross_sales]]*(1-SalesData[[#This Row],[Discount]])</f>
        <v>50147.341199999995</v>
      </c>
      <c r="Q98" s="2">
        <f>SalesData[[#This Row],[Sales_amount]]-SalesData[[#This Row],[Total_Cost]]</f>
        <v>3521.9511999999959</v>
      </c>
      <c r="R98" s="2">
        <f>SalesData[[#This Row],[Profit]]/SalesData[[#This Row],[Sales_amount]]</f>
        <v>7.0232062472735765E-2</v>
      </c>
      <c r="S98" s="2">
        <f>SalesData[[#This Row],[Unit_Price]]-SalesData[[#This Row],[Unit_Cost]]</f>
        <v>236.9699999999998</v>
      </c>
      <c r="T98" s="10">
        <f>SalesData[[#This Row],[Unit_Margin]]/SalesData[[#This Row],[Unit_Price]]</f>
        <v>7.9529741848008415E-2</v>
      </c>
      <c r="U98" s="2" t="str">
        <f>IF(SalesData[[#This Row],[Unit_Margin]]&lt;0, "Negative margin", "Positive margin")</f>
        <v>Positive margin</v>
      </c>
      <c r="V98" s="2" t="str">
        <f>IF(SalesData[[#This Row],[Profit]]&lt;0, "Loss", "Profit")</f>
        <v>Profit</v>
      </c>
      <c r="W98" s="2">
        <f>SalesData[[#This Row],[Unit_Price]]*(1-SalesData[[#This Row],[Discount]])</f>
        <v>2949.8435999999997</v>
      </c>
      <c r="X98" s="2">
        <f>SalesData[[#This Row],[Effective_Unit_Price]]-SalesData[[#This Row],[Unit_Cost]]</f>
        <v>207.17359999999962</v>
      </c>
      <c r="Y98" s="2" t="str">
        <f>IF(SalesData[[#This Row],[Effective_Unit_Margin]]&lt;0,"Loss per Unit","Positive per Unit")</f>
        <v>Positive per Unit</v>
      </c>
    </row>
    <row r="99" spans="1:25" x14ac:dyDescent="0.3">
      <c r="A99">
        <v>1082</v>
      </c>
      <c r="B99" s="1">
        <v>45260</v>
      </c>
      <c r="C99" t="s">
        <v>41</v>
      </c>
      <c r="D99" t="s">
        <v>24</v>
      </c>
      <c r="E99">
        <v>41</v>
      </c>
      <c r="F99" t="s">
        <v>34</v>
      </c>
      <c r="G99">
        <v>1196.42</v>
      </c>
      <c r="H99">
        <v>1444.97</v>
      </c>
      <c r="I99" t="s">
        <v>16</v>
      </c>
      <c r="J99" s="2">
        <v>0.21</v>
      </c>
      <c r="K99" t="s">
        <v>26</v>
      </c>
      <c r="L99" t="s">
        <v>18</v>
      </c>
      <c r="M99" t="s">
        <v>42</v>
      </c>
      <c r="N99">
        <f>SalesData[[#This Row],[Quantity_Sold]]*SalesData[[#This Row],[Unit_Cost]]</f>
        <v>49053.22</v>
      </c>
      <c r="O99">
        <f>SalesData[[#This Row],[Quantity_Sold]]*SalesData[[#This Row],[Unit_Price]]</f>
        <v>59243.770000000004</v>
      </c>
      <c r="P99">
        <f>SalesData[[#This Row],[Gross_sales]]*(1-SalesData[[#This Row],[Discount]])</f>
        <v>46802.578300000008</v>
      </c>
      <c r="Q99" s="2">
        <f>SalesData[[#This Row],[Sales_amount]]-SalesData[[#This Row],[Total_Cost]]</f>
        <v>-2250.6416999999929</v>
      </c>
      <c r="R99" s="2">
        <f>SalesData[[#This Row],[Profit]]/SalesData[[#This Row],[Sales_amount]]</f>
        <v>-4.8087985357849236E-2</v>
      </c>
      <c r="S99" s="2">
        <f>SalesData[[#This Row],[Unit_Price]]-SalesData[[#This Row],[Unit_Cost]]</f>
        <v>248.54999999999995</v>
      </c>
      <c r="T99" s="10">
        <f>SalesData[[#This Row],[Unit_Margin]]/SalesData[[#This Row],[Unit_Price]]</f>
        <v>0.17201049156729895</v>
      </c>
      <c r="U99" s="2" t="str">
        <f>IF(SalesData[[#This Row],[Unit_Margin]]&lt;0, "Negative margin", "Positive margin")</f>
        <v>Positive margin</v>
      </c>
      <c r="V99" s="2" t="str">
        <f>IF(SalesData[[#This Row],[Profit]]&lt;0, "Loss", "Profit")</f>
        <v>Loss</v>
      </c>
      <c r="W99" s="2">
        <f>SalesData[[#This Row],[Unit_Price]]*(1-SalesData[[#This Row],[Discount]])</f>
        <v>1141.5263</v>
      </c>
      <c r="X99" s="2">
        <f>SalesData[[#This Row],[Effective_Unit_Price]]-SalesData[[#This Row],[Unit_Cost]]</f>
        <v>-54.893700000000081</v>
      </c>
      <c r="Y99" s="2" t="str">
        <f>IF(SalesData[[#This Row],[Effective_Unit_Margin]]&lt;0,"Loss per Unit","Positive per Unit")</f>
        <v>Loss per Unit</v>
      </c>
    </row>
    <row r="100" spans="1:25" x14ac:dyDescent="0.3">
      <c r="A100">
        <v>1053</v>
      </c>
      <c r="B100" s="1">
        <v>45063</v>
      </c>
      <c r="C100" t="s">
        <v>13</v>
      </c>
      <c r="D100" t="s">
        <v>24</v>
      </c>
      <c r="E100">
        <v>36</v>
      </c>
      <c r="F100" t="s">
        <v>28</v>
      </c>
      <c r="G100">
        <v>4252.17</v>
      </c>
      <c r="H100">
        <v>4720.2700000000004</v>
      </c>
      <c r="I100" t="s">
        <v>29</v>
      </c>
      <c r="J100" s="2">
        <v>0.09</v>
      </c>
      <c r="K100" t="s">
        <v>17</v>
      </c>
      <c r="L100" t="s">
        <v>21</v>
      </c>
      <c r="M100" t="s">
        <v>31</v>
      </c>
      <c r="N100">
        <f>SalesData[[#This Row],[Quantity_Sold]]*SalesData[[#This Row],[Unit_Cost]]</f>
        <v>153078.12</v>
      </c>
      <c r="O100">
        <f>SalesData[[#This Row],[Quantity_Sold]]*SalesData[[#This Row],[Unit_Price]]</f>
        <v>169929.72000000003</v>
      </c>
      <c r="P100">
        <f>SalesData[[#This Row],[Gross_sales]]*(1-SalesData[[#This Row],[Discount]])</f>
        <v>154636.04520000002</v>
      </c>
      <c r="Q100" s="2">
        <f>SalesData[[#This Row],[Sales_amount]]-SalesData[[#This Row],[Total_Cost]]</f>
        <v>1557.925200000027</v>
      </c>
      <c r="R100" s="2">
        <f>SalesData[[#This Row],[Profit]]/SalesData[[#This Row],[Sales_amount]]</f>
        <v>1.0074786884164487E-2</v>
      </c>
      <c r="S100" s="2">
        <f>SalesData[[#This Row],[Unit_Price]]-SalesData[[#This Row],[Unit_Cost]]</f>
        <v>468.10000000000036</v>
      </c>
      <c r="T100" s="10">
        <f>SalesData[[#This Row],[Unit_Margin]]/SalesData[[#This Row],[Unit_Price]]</f>
        <v>9.9168056064589588E-2</v>
      </c>
      <c r="U100" s="2" t="str">
        <f>IF(SalesData[[#This Row],[Unit_Margin]]&lt;0, "Negative margin", "Positive margin")</f>
        <v>Positive margin</v>
      </c>
      <c r="V100" s="2" t="str">
        <f>IF(SalesData[[#This Row],[Profit]]&lt;0, "Loss", "Profit")</f>
        <v>Profit</v>
      </c>
      <c r="W100" s="2">
        <f>SalesData[[#This Row],[Unit_Price]]*(1-SalesData[[#This Row],[Discount]])</f>
        <v>4295.4457000000002</v>
      </c>
      <c r="X100" s="2">
        <f>SalesData[[#This Row],[Effective_Unit_Price]]-SalesData[[#This Row],[Unit_Cost]]</f>
        <v>43.275700000000143</v>
      </c>
      <c r="Y100" s="2" t="str">
        <f>IF(SalesData[[#This Row],[Effective_Unit_Margin]]&lt;0,"Loss per Unit","Positive per Unit")</f>
        <v>Positive per Unit</v>
      </c>
    </row>
    <row r="101" spans="1:25" x14ac:dyDescent="0.3">
      <c r="A101">
        <v>1024</v>
      </c>
      <c r="B101" s="1">
        <v>45002</v>
      </c>
      <c r="C101" t="s">
        <v>37</v>
      </c>
      <c r="D101" t="s">
        <v>24</v>
      </c>
      <c r="E101">
        <v>46</v>
      </c>
      <c r="F101" t="s">
        <v>34</v>
      </c>
      <c r="G101">
        <v>2016.49</v>
      </c>
      <c r="H101">
        <v>2338.66</v>
      </c>
      <c r="I101" t="s">
        <v>16</v>
      </c>
      <c r="J101" s="2">
        <v>0.19</v>
      </c>
      <c r="K101" t="s">
        <v>26</v>
      </c>
      <c r="L101" t="s">
        <v>21</v>
      </c>
      <c r="M101" t="s">
        <v>38</v>
      </c>
      <c r="N101">
        <f>SalesData[[#This Row],[Quantity_Sold]]*SalesData[[#This Row],[Unit_Cost]]</f>
        <v>92758.54</v>
      </c>
      <c r="O101">
        <f>SalesData[[#This Row],[Quantity_Sold]]*SalesData[[#This Row],[Unit_Price]]</f>
        <v>107578.35999999999</v>
      </c>
      <c r="P101">
        <f>SalesData[[#This Row],[Gross_sales]]*(1-SalesData[[#This Row],[Discount]])</f>
        <v>87138.47159999999</v>
      </c>
      <c r="Q101" s="2">
        <f>SalesData[[#This Row],[Sales_amount]]-SalesData[[#This Row],[Total_Cost]]</f>
        <v>-5620.0684000000037</v>
      </c>
      <c r="R101" s="2">
        <f>SalesData[[#This Row],[Profit]]/SalesData[[#This Row],[Sales_amount]]</f>
        <v>-6.4495834007719785E-2</v>
      </c>
      <c r="S101" s="2">
        <f>SalesData[[#This Row],[Unit_Price]]-SalesData[[#This Row],[Unit_Cost]]</f>
        <v>322.16999999999985</v>
      </c>
      <c r="T101" s="10">
        <f>SalesData[[#This Row],[Unit_Margin]]/SalesData[[#This Row],[Unit_Price]]</f>
        <v>0.13775837445374697</v>
      </c>
      <c r="U101" s="2" t="str">
        <f>IF(SalesData[[#This Row],[Unit_Margin]]&lt;0, "Negative margin", "Positive margin")</f>
        <v>Positive margin</v>
      </c>
      <c r="V101" s="2" t="str">
        <f>IF(SalesData[[#This Row],[Profit]]&lt;0, "Loss", "Profit")</f>
        <v>Loss</v>
      </c>
      <c r="W101" s="2">
        <f>SalesData[[#This Row],[Unit_Price]]*(1-SalesData[[#This Row],[Discount]])</f>
        <v>1894.3145999999999</v>
      </c>
      <c r="X101" s="2">
        <f>SalesData[[#This Row],[Effective_Unit_Price]]-SalesData[[#This Row],[Unit_Cost]]</f>
        <v>-122.17540000000008</v>
      </c>
      <c r="Y101" s="2" t="str">
        <f>IF(SalesData[[#This Row],[Effective_Unit_Margin]]&lt;0,"Loss per Unit","Positive per Unit")</f>
        <v>Loss per Unit</v>
      </c>
    </row>
    <row r="102" spans="1:25" x14ac:dyDescent="0.3">
      <c r="A102">
        <v>1026</v>
      </c>
      <c r="B102" s="1">
        <v>44961</v>
      </c>
      <c r="C102" t="s">
        <v>41</v>
      </c>
      <c r="D102" t="s">
        <v>20</v>
      </c>
      <c r="E102">
        <v>19</v>
      </c>
      <c r="F102" t="s">
        <v>34</v>
      </c>
      <c r="G102">
        <v>1265.48</v>
      </c>
      <c r="H102">
        <v>1715.83</v>
      </c>
      <c r="I102" t="s">
        <v>29</v>
      </c>
      <c r="J102" s="2">
        <v>0.05</v>
      </c>
      <c r="K102" t="s">
        <v>30</v>
      </c>
      <c r="L102" t="s">
        <v>21</v>
      </c>
      <c r="M102" t="s">
        <v>50</v>
      </c>
      <c r="N102">
        <f>SalesData[[#This Row],[Quantity_Sold]]*SalesData[[#This Row],[Unit_Cost]]</f>
        <v>24044.12</v>
      </c>
      <c r="O102">
        <f>SalesData[[#This Row],[Quantity_Sold]]*SalesData[[#This Row],[Unit_Price]]</f>
        <v>32600.769999999997</v>
      </c>
      <c r="P102">
        <f>SalesData[[#This Row],[Gross_sales]]*(1-SalesData[[#This Row],[Discount]])</f>
        <v>30970.731499999994</v>
      </c>
      <c r="Q102" s="2">
        <f>SalesData[[#This Row],[Sales_amount]]-SalesData[[#This Row],[Total_Cost]]</f>
        <v>6926.6114999999954</v>
      </c>
      <c r="R102" s="2">
        <f>SalesData[[#This Row],[Profit]]/SalesData[[#This Row],[Sales_amount]]</f>
        <v>0.22365023893607411</v>
      </c>
      <c r="S102" s="2">
        <f>SalesData[[#This Row],[Unit_Price]]-SalesData[[#This Row],[Unit_Cost]]</f>
        <v>450.34999999999991</v>
      </c>
      <c r="T102" s="10">
        <f>SalesData[[#This Row],[Unit_Margin]]/SalesData[[#This Row],[Unit_Price]]</f>
        <v>0.26246772698927046</v>
      </c>
      <c r="U102" s="2" t="str">
        <f>IF(SalesData[[#This Row],[Unit_Margin]]&lt;0, "Negative margin", "Positive margin")</f>
        <v>Positive margin</v>
      </c>
      <c r="V102" s="2" t="str">
        <f>IF(SalesData[[#This Row],[Profit]]&lt;0, "Loss", "Profit")</f>
        <v>Profit</v>
      </c>
      <c r="W102" s="2">
        <f>SalesData[[#This Row],[Unit_Price]]*(1-SalesData[[#This Row],[Discount]])</f>
        <v>1630.0384999999999</v>
      </c>
      <c r="X102" s="2">
        <f>SalesData[[#This Row],[Effective_Unit_Price]]-SalesData[[#This Row],[Unit_Cost]]</f>
        <v>364.55849999999987</v>
      </c>
      <c r="Y102" s="2" t="str">
        <f>IF(SalesData[[#This Row],[Effective_Unit_Margin]]&lt;0,"Loss per Unit","Positive per Unit")</f>
        <v>Positive per Unit</v>
      </c>
    </row>
    <row r="103" spans="1:25" x14ac:dyDescent="0.3">
      <c r="A103">
        <v>1089</v>
      </c>
      <c r="B103" s="1">
        <v>44927</v>
      </c>
      <c r="C103" t="s">
        <v>32</v>
      </c>
      <c r="D103" t="s">
        <v>14</v>
      </c>
      <c r="E103">
        <v>35</v>
      </c>
      <c r="F103" t="s">
        <v>28</v>
      </c>
      <c r="G103">
        <v>4071.01</v>
      </c>
      <c r="H103">
        <v>4304.7</v>
      </c>
      <c r="I103" t="s">
        <v>29</v>
      </c>
      <c r="J103" s="2">
        <v>0.14000000000000001</v>
      </c>
      <c r="K103" t="s">
        <v>30</v>
      </c>
      <c r="L103" t="s">
        <v>18</v>
      </c>
      <c r="M103" t="s">
        <v>52</v>
      </c>
      <c r="N103">
        <f>SalesData[[#This Row],[Quantity_Sold]]*SalesData[[#This Row],[Unit_Cost]]</f>
        <v>142485.35</v>
      </c>
      <c r="O103">
        <f>SalesData[[#This Row],[Quantity_Sold]]*SalesData[[#This Row],[Unit_Price]]</f>
        <v>150664.5</v>
      </c>
      <c r="P103">
        <f>SalesData[[#This Row],[Gross_sales]]*(1-SalesData[[#This Row],[Discount]])</f>
        <v>129571.47</v>
      </c>
      <c r="Q103" s="2">
        <f>SalesData[[#This Row],[Sales_amount]]-SalesData[[#This Row],[Total_Cost]]</f>
        <v>-12913.880000000005</v>
      </c>
      <c r="R103" s="2">
        <f>SalesData[[#This Row],[Profit]]/SalesData[[#This Row],[Sales_amount]]</f>
        <v>-9.9666076181739741E-2</v>
      </c>
      <c r="S103" s="2">
        <f>SalesData[[#This Row],[Unit_Price]]-SalesData[[#This Row],[Unit_Cost]]</f>
        <v>233.6899999999996</v>
      </c>
      <c r="T103" s="10">
        <f>SalesData[[#This Row],[Unit_Margin]]/SalesData[[#This Row],[Unit_Price]]</f>
        <v>5.4287174483703765E-2</v>
      </c>
      <c r="U103" s="2" t="str">
        <f>IF(SalesData[[#This Row],[Unit_Margin]]&lt;0, "Negative margin", "Positive margin")</f>
        <v>Positive margin</v>
      </c>
      <c r="V103" s="2" t="str">
        <f>IF(SalesData[[#This Row],[Profit]]&lt;0, "Loss", "Profit")</f>
        <v>Loss</v>
      </c>
      <c r="W103" s="2">
        <f>SalesData[[#This Row],[Unit_Price]]*(1-SalesData[[#This Row],[Discount]])</f>
        <v>3702.0419999999999</v>
      </c>
      <c r="X103" s="2">
        <f>SalesData[[#This Row],[Effective_Unit_Price]]-SalesData[[#This Row],[Unit_Cost]]</f>
        <v>-368.9680000000003</v>
      </c>
      <c r="Y103" s="2" t="str">
        <f>IF(SalesData[[#This Row],[Effective_Unit_Margin]]&lt;0,"Loss per Unit","Positive per Unit")</f>
        <v>Loss per Unit</v>
      </c>
    </row>
    <row r="104" spans="1:25" x14ac:dyDescent="0.3">
      <c r="A104">
        <v>1060</v>
      </c>
      <c r="B104" s="1">
        <v>45222</v>
      </c>
      <c r="C104" t="s">
        <v>13</v>
      </c>
      <c r="D104" t="s">
        <v>20</v>
      </c>
      <c r="E104">
        <v>46</v>
      </c>
      <c r="F104" t="s">
        <v>28</v>
      </c>
      <c r="G104">
        <v>1747.05</v>
      </c>
      <c r="H104">
        <v>1830.27</v>
      </c>
      <c r="I104" t="s">
        <v>29</v>
      </c>
      <c r="J104" s="2">
        <v>0.15</v>
      </c>
      <c r="K104" t="s">
        <v>26</v>
      </c>
      <c r="L104" t="s">
        <v>21</v>
      </c>
      <c r="M104" t="s">
        <v>22</v>
      </c>
      <c r="N104">
        <f>SalesData[[#This Row],[Quantity_Sold]]*SalesData[[#This Row],[Unit_Cost]]</f>
        <v>80364.3</v>
      </c>
      <c r="O104">
        <f>SalesData[[#This Row],[Quantity_Sold]]*SalesData[[#This Row],[Unit_Price]]</f>
        <v>84192.42</v>
      </c>
      <c r="P104">
        <f>SalesData[[#This Row],[Gross_sales]]*(1-SalesData[[#This Row],[Discount]])</f>
        <v>71563.557000000001</v>
      </c>
      <c r="Q104" s="2">
        <f>SalesData[[#This Row],[Sales_amount]]-SalesData[[#This Row],[Total_Cost]]</f>
        <v>-8800.7430000000022</v>
      </c>
      <c r="R104" s="2">
        <f>SalesData[[#This Row],[Profit]]/SalesData[[#This Row],[Sales_amount]]</f>
        <v>-0.12297799842453334</v>
      </c>
      <c r="S104" s="2">
        <f>SalesData[[#This Row],[Unit_Price]]-SalesData[[#This Row],[Unit_Cost]]</f>
        <v>83.220000000000027</v>
      </c>
      <c r="T104" s="10">
        <f>SalesData[[#This Row],[Unit_Margin]]/SalesData[[#This Row],[Unit_Price]]</f>
        <v>4.5468701339146697E-2</v>
      </c>
      <c r="U104" s="2" t="str">
        <f>IF(SalesData[[#This Row],[Unit_Margin]]&lt;0, "Negative margin", "Positive margin")</f>
        <v>Positive margin</v>
      </c>
      <c r="V104" s="2" t="str">
        <f>IF(SalesData[[#This Row],[Profit]]&lt;0, "Loss", "Profit")</f>
        <v>Loss</v>
      </c>
      <c r="W104" s="2">
        <f>SalesData[[#This Row],[Unit_Price]]*(1-SalesData[[#This Row],[Discount]])</f>
        <v>1555.7294999999999</v>
      </c>
      <c r="X104" s="2">
        <f>SalesData[[#This Row],[Effective_Unit_Price]]-SalesData[[#This Row],[Unit_Cost]]</f>
        <v>-191.32050000000004</v>
      </c>
      <c r="Y104" s="2" t="str">
        <f>IF(SalesData[[#This Row],[Effective_Unit_Margin]]&lt;0,"Loss per Unit","Positive per Unit")</f>
        <v>Loss per Unit</v>
      </c>
    </row>
    <row r="105" spans="1:25" x14ac:dyDescent="0.3">
      <c r="A105">
        <v>1041</v>
      </c>
      <c r="B105" s="1">
        <v>45246</v>
      </c>
      <c r="C105" t="s">
        <v>23</v>
      </c>
      <c r="D105" t="s">
        <v>24</v>
      </c>
      <c r="E105">
        <v>40</v>
      </c>
      <c r="F105" t="s">
        <v>25</v>
      </c>
      <c r="G105">
        <v>601.86</v>
      </c>
      <c r="H105">
        <v>1067.53</v>
      </c>
      <c r="I105" t="s">
        <v>29</v>
      </c>
      <c r="J105" s="2">
        <v>0.18</v>
      </c>
      <c r="K105" t="s">
        <v>17</v>
      </c>
      <c r="L105" t="s">
        <v>18</v>
      </c>
      <c r="M105" t="s">
        <v>27</v>
      </c>
      <c r="N105">
        <f>SalesData[[#This Row],[Quantity_Sold]]*SalesData[[#This Row],[Unit_Cost]]</f>
        <v>24074.400000000001</v>
      </c>
      <c r="O105">
        <f>SalesData[[#This Row],[Quantity_Sold]]*SalesData[[#This Row],[Unit_Price]]</f>
        <v>42701.2</v>
      </c>
      <c r="P105">
        <f>SalesData[[#This Row],[Gross_sales]]*(1-SalesData[[#This Row],[Discount]])</f>
        <v>35014.983999999997</v>
      </c>
      <c r="Q105" s="2">
        <f>SalesData[[#This Row],[Sales_amount]]-SalesData[[#This Row],[Total_Cost]]</f>
        <v>10940.583999999995</v>
      </c>
      <c r="R105" s="2">
        <f>SalesData[[#This Row],[Profit]]/SalesData[[#This Row],[Sales_amount]]</f>
        <v>0.31245434811565231</v>
      </c>
      <c r="S105" s="2">
        <f>SalesData[[#This Row],[Unit_Price]]-SalesData[[#This Row],[Unit_Cost]]</f>
        <v>465.66999999999996</v>
      </c>
      <c r="T105" s="10">
        <f>SalesData[[#This Row],[Unit_Margin]]/SalesData[[#This Row],[Unit_Price]]</f>
        <v>0.43621256545483494</v>
      </c>
      <c r="U105" s="2" t="str">
        <f>IF(SalesData[[#This Row],[Unit_Margin]]&lt;0, "Negative margin", "Positive margin")</f>
        <v>Positive margin</v>
      </c>
      <c r="V105" s="2" t="str">
        <f>IF(SalesData[[#This Row],[Profit]]&lt;0, "Loss", "Profit")</f>
        <v>Profit</v>
      </c>
      <c r="W105" s="2">
        <f>SalesData[[#This Row],[Unit_Price]]*(1-SalesData[[#This Row],[Discount]])</f>
        <v>875.3746000000001</v>
      </c>
      <c r="X105" s="2">
        <f>SalesData[[#This Row],[Effective_Unit_Price]]-SalesData[[#This Row],[Unit_Cost]]</f>
        <v>273.51460000000009</v>
      </c>
      <c r="Y105" s="2" t="str">
        <f>IF(SalesData[[#This Row],[Effective_Unit_Margin]]&lt;0,"Loss per Unit","Positive per Unit")</f>
        <v>Positive per Unit</v>
      </c>
    </row>
    <row r="106" spans="1:25" x14ac:dyDescent="0.3">
      <c r="A106">
        <v>1029</v>
      </c>
      <c r="B106" s="1">
        <v>44986</v>
      </c>
      <c r="C106" t="s">
        <v>23</v>
      </c>
      <c r="D106" t="s">
        <v>33</v>
      </c>
      <c r="E106">
        <v>28</v>
      </c>
      <c r="F106" t="s">
        <v>28</v>
      </c>
      <c r="G106">
        <v>2873.53</v>
      </c>
      <c r="H106">
        <v>3108.3</v>
      </c>
      <c r="I106" t="s">
        <v>29</v>
      </c>
      <c r="J106" s="2">
        <v>0.15</v>
      </c>
      <c r="K106" t="s">
        <v>30</v>
      </c>
      <c r="L106" t="s">
        <v>21</v>
      </c>
      <c r="M106" t="s">
        <v>49</v>
      </c>
      <c r="N106">
        <f>SalesData[[#This Row],[Quantity_Sold]]*SalesData[[#This Row],[Unit_Cost]]</f>
        <v>80458.840000000011</v>
      </c>
      <c r="O106">
        <f>SalesData[[#This Row],[Quantity_Sold]]*SalesData[[#This Row],[Unit_Price]]</f>
        <v>87032.400000000009</v>
      </c>
      <c r="P106">
        <f>SalesData[[#This Row],[Gross_sales]]*(1-SalesData[[#This Row],[Discount]])</f>
        <v>73977.540000000008</v>
      </c>
      <c r="Q106" s="2">
        <f>SalesData[[#This Row],[Sales_amount]]-SalesData[[#This Row],[Total_Cost]]</f>
        <v>-6481.3000000000029</v>
      </c>
      <c r="R106" s="2">
        <f>SalesData[[#This Row],[Profit]]/SalesData[[#This Row],[Sales_amount]]</f>
        <v>-8.7611726478063506E-2</v>
      </c>
      <c r="S106" s="2">
        <f>SalesData[[#This Row],[Unit_Price]]-SalesData[[#This Row],[Unit_Cost]]</f>
        <v>234.76999999999998</v>
      </c>
      <c r="T106" s="10">
        <f>SalesData[[#This Row],[Unit_Margin]]/SalesData[[#This Row],[Unit_Price]]</f>
        <v>7.5530032493646038E-2</v>
      </c>
      <c r="U106" s="2" t="str">
        <f>IF(SalesData[[#This Row],[Unit_Margin]]&lt;0, "Negative margin", "Positive margin")</f>
        <v>Positive margin</v>
      </c>
      <c r="V106" s="2" t="str">
        <f>IF(SalesData[[#This Row],[Profit]]&lt;0, "Loss", "Profit")</f>
        <v>Loss</v>
      </c>
      <c r="W106" s="2">
        <f>SalesData[[#This Row],[Unit_Price]]*(1-SalesData[[#This Row],[Discount]])</f>
        <v>2642.0550000000003</v>
      </c>
      <c r="X106" s="2">
        <f>SalesData[[#This Row],[Effective_Unit_Price]]-SalesData[[#This Row],[Unit_Cost]]</f>
        <v>-231.47499999999991</v>
      </c>
      <c r="Y106" s="2" t="str">
        <f>IF(SalesData[[#This Row],[Effective_Unit_Margin]]&lt;0,"Loss per Unit","Positive per Unit")</f>
        <v>Loss per Unit</v>
      </c>
    </row>
    <row r="107" spans="1:25" x14ac:dyDescent="0.3">
      <c r="A107">
        <v>1015</v>
      </c>
      <c r="B107" s="1">
        <v>45246</v>
      </c>
      <c r="C107" t="s">
        <v>37</v>
      </c>
      <c r="D107" t="s">
        <v>33</v>
      </c>
      <c r="E107">
        <v>1</v>
      </c>
      <c r="F107" t="s">
        <v>15</v>
      </c>
      <c r="G107">
        <v>2928.74</v>
      </c>
      <c r="H107">
        <v>3027.74</v>
      </c>
      <c r="I107" t="s">
        <v>29</v>
      </c>
      <c r="J107" s="2">
        <v>0.15</v>
      </c>
      <c r="K107" t="s">
        <v>26</v>
      </c>
      <c r="L107" t="s">
        <v>21</v>
      </c>
      <c r="M107" t="s">
        <v>47</v>
      </c>
      <c r="N107">
        <f>SalesData[[#This Row],[Quantity_Sold]]*SalesData[[#This Row],[Unit_Cost]]</f>
        <v>2928.74</v>
      </c>
      <c r="O107">
        <f>SalesData[[#This Row],[Quantity_Sold]]*SalesData[[#This Row],[Unit_Price]]</f>
        <v>3027.74</v>
      </c>
      <c r="P107">
        <f>SalesData[[#This Row],[Gross_sales]]*(1-SalesData[[#This Row],[Discount]])</f>
        <v>2573.5789999999997</v>
      </c>
      <c r="Q107" s="2">
        <f>SalesData[[#This Row],[Sales_amount]]-SalesData[[#This Row],[Total_Cost]]</f>
        <v>-355.16100000000006</v>
      </c>
      <c r="R107" s="2">
        <f>SalesData[[#This Row],[Profit]]/SalesData[[#This Row],[Sales_amount]]</f>
        <v>-0.1380027580268568</v>
      </c>
      <c r="S107" s="2">
        <f>SalesData[[#This Row],[Unit_Price]]-SalesData[[#This Row],[Unit_Cost]]</f>
        <v>99</v>
      </c>
      <c r="T107" s="10">
        <f>SalesData[[#This Row],[Unit_Margin]]/SalesData[[#This Row],[Unit_Price]]</f>
        <v>3.2697655677171755E-2</v>
      </c>
      <c r="U107" s="2" t="str">
        <f>IF(SalesData[[#This Row],[Unit_Margin]]&lt;0, "Negative margin", "Positive margin")</f>
        <v>Positive margin</v>
      </c>
      <c r="V107" s="2" t="str">
        <f>IF(SalesData[[#This Row],[Profit]]&lt;0, "Loss", "Profit")</f>
        <v>Loss</v>
      </c>
      <c r="W107" s="2">
        <f>SalesData[[#This Row],[Unit_Price]]*(1-SalesData[[#This Row],[Discount]])</f>
        <v>2573.5789999999997</v>
      </c>
      <c r="X107" s="2">
        <f>SalesData[[#This Row],[Effective_Unit_Price]]-SalesData[[#This Row],[Unit_Cost]]</f>
        <v>-355.16100000000006</v>
      </c>
      <c r="Y107" s="2" t="str">
        <f>IF(SalesData[[#This Row],[Effective_Unit_Margin]]&lt;0,"Loss per Unit","Positive per Unit")</f>
        <v>Loss per Unit</v>
      </c>
    </row>
    <row r="108" spans="1:25" x14ac:dyDescent="0.3">
      <c r="A108">
        <v>1045</v>
      </c>
      <c r="B108" s="1">
        <v>45275</v>
      </c>
      <c r="C108" t="s">
        <v>23</v>
      </c>
      <c r="D108" t="s">
        <v>24</v>
      </c>
      <c r="E108">
        <v>42</v>
      </c>
      <c r="F108" t="s">
        <v>28</v>
      </c>
      <c r="G108">
        <v>3587.74</v>
      </c>
      <c r="H108">
        <v>3745.91</v>
      </c>
      <c r="I108" t="s">
        <v>16</v>
      </c>
      <c r="J108" s="2">
        <v>0.1</v>
      </c>
      <c r="K108" t="s">
        <v>17</v>
      </c>
      <c r="L108" t="s">
        <v>18</v>
      </c>
      <c r="M108" t="s">
        <v>27</v>
      </c>
      <c r="N108">
        <f>SalesData[[#This Row],[Quantity_Sold]]*SalesData[[#This Row],[Unit_Cost]]</f>
        <v>150685.07999999999</v>
      </c>
      <c r="O108">
        <f>SalesData[[#This Row],[Quantity_Sold]]*SalesData[[#This Row],[Unit_Price]]</f>
        <v>157328.22</v>
      </c>
      <c r="P108">
        <f>SalesData[[#This Row],[Gross_sales]]*(1-SalesData[[#This Row],[Discount]])</f>
        <v>141595.39800000002</v>
      </c>
      <c r="Q108" s="2">
        <f>SalesData[[#This Row],[Sales_amount]]-SalesData[[#This Row],[Total_Cost]]</f>
        <v>-9089.6819999999716</v>
      </c>
      <c r="R108" s="2">
        <f>SalesData[[#This Row],[Profit]]/SalesData[[#This Row],[Sales_amount]]</f>
        <v>-6.4194755821089397E-2</v>
      </c>
      <c r="S108" s="2">
        <f>SalesData[[#This Row],[Unit_Price]]-SalesData[[#This Row],[Unit_Cost]]</f>
        <v>158.17000000000007</v>
      </c>
      <c r="T108" s="10">
        <f>SalesData[[#This Row],[Unit_Margin]]/SalesData[[#This Row],[Unit_Price]]</f>
        <v>4.2224719761019373E-2</v>
      </c>
      <c r="U108" s="2" t="str">
        <f>IF(SalesData[[#This Row],[Unit_Margin]]&lt;0, "Negative margin", "Positive margin")</f>
        <v>Positive margin</v>
      </c>
      <c r="V108" s="2" t="str">
        <f>IF(SalesData[[#This Row],[Profit]]&lt;0, "Loss", "Profit")</f>
        <v>Loss</v>
      </c>
      <c r="W108" s="2">
        <f>SalesData[[#This Row],[Unit_Price]]*(1-SalesData[[#This Row],[Discount]])</f>
        <v>3371.319</v>
      </c>
      <c r="X108" s="2">
        <f>SalesData[[#This Row],[Effective_Unit_Price]]-SalesData[[#This Row],[Unit_Cost]]</f>
        <v>-216.42099999999982</v>
      </c>
      <c r="Y108" s="2" t="str">
        <f>IF(SalesData[[#This Row],[Effective_Unit_Margin]]&lt;0,"Loss per Unit","Positive per Unit")</f>
        <v>Loss per Unit</v>
      </c>
    </row>
    <row r="109" spans="1:25" x14ac:dyDescent="0.3">
      <c r="A109">
        <v>1065</v>
      </c>
      <c r="B109" s="1">
        <v>45254</v>
      </c>
      <c r="C109" t="s">
        <v>13</v>
      </c>
      <c r="D109" t="s">
        <v>33</v>
      </c>
      <c r="E109">
        <v>18</v>
      </c>
      <c r="F109" t="s">
        <v>25</v>
      </c>
      <c r="G109">
        <v>1239.0899999999999</v>
      </c>
      <c r="H109">
        <v>1273.98</v>
      </c>
      <c r="I109" t="s">
        <v>29</v>
      </c>
      <c r="J109" s="2">
        <v>0.02</v>
      </c>
      <c r="K109" t="s">
        <v>26</v>
      </c>
      <c r="L109" t="s">
        <v>21</v>
      </c>
      <c r="M109" t="s">
        <v>45</v>
      </c>
      <c r="N109">
        <f>SalesData[[#This Row],[Quantity_Sold]]*SalesData[[#This Row],[Unit_Cost]]</f>
        <v>22303.62</v>
      </c>
      <c r="O109">
        <f>SalesData[[#This Row],[Quantity_Sold]]*SalesData[[#This Row],[Unit_Price]]</f>
        <v>22931.64</v>
      </c>
      <c r="P109">
        <f>SalesData[[#This Row],[Gross_sales]]*(1-SalesData[[#This Row],[Discount]])</f>
        <v>22473.0072</v>
      </c>
      <c r="Q109" s="2">
        <f>SalesData[[#This Row],[Sales_amount]]-SalesData[[#This Row],[Total_Cost]]</f>
        <v>169.38720000000103</v>
      </c>
      <c r="R109" s="2">
        <f>SalesData[[#This Row],[Profit]]/SalesData[[#This Row],[Sales_amount]]</f>
        <v>7.5373624229516127E-3</v>
      </c>
      <c r="S109" s="2">
        <f>SalesData[[#This Row],[Unit_Price]]-SalesData[[#This Row],[Unit_Cost]]</f>
        <v>34.8900000000001</v>
      </c>
      <c r="T109" s="10">
        <f>SalesData[[#This Row],[Unit_Margin]]/SalesData[[#This Row],[Unit_Price]]</f>
        <v>2.7386615174492614E-2</v>
      </c>
      <c r="U109" s="2" t="str">
        <f>IF(SalesData[[#This Row],[Unit_Margin]]&lt;0, "Negative margin", "Positive margin")</f>
        <v>Positive margin</v>
      </c>
      <c r="V109" s="2" t="str">
        <f>IF(SalesData[[#This Row],[Profit]]&lt;0, "Loss", "Profit")</f>
        <v>Profit</v>
      </c>
      <c r="W109" s="2">
        <f>SalesData[[#This Row],[Unit_Price]]*(1-SalesData[[#This Row],[Discount]])</f>
        <v>1248.5003999999999</v>
      </c>
      <c r="X109" s="2">
        <f>SalesData[[#This Row],[Effective_Unit_Price]]-SalesData[[#This Row],[Unit_Cost]]</f>
        <v>9.4103999999999814</v>
      </c>
      <c r="Y109" s="2" t="str">
        <f>IF(SalesData[[#This Row],[Effective_Unit_Margin]]&lt;0,"Loss per Unit","Positive per Unit")</f>
        <v>Positive per Unit</v>
      </c>
    </row>
    <row r="110" spans="1:25" x14ac:dyDescent="0.3">
      <c r="A110">
        <v>1089</v>
      </c>
      <c r="B110" s="1">
        <v>45193</v>
      </c>
      <c r="C110" t="s">
        <v>13</v>
      </c>
      <c r="D110" t="s">
        <v>24</v>
      </c>
      <c r="E110">
        <v>48</v>
      </c>
      <c r="F110" t="s">
        <v>25</v>
      </c>
      <c r="G110">
        <v>2246.67</v>
      </c>
      <c r="H110">
        <v>2486.14</v>
      </c>
      <c r="I110" t="s">
        <v>29</v>
      </c>
      <c r="J110" s="2">
        <v>0.03</v>
      </c>
      <c r="K110" t="s">
        <v>17</v>
      </c>
      <c r="L110" t="s">
        <v>21</v>
      </c>
      <c r="M110" t="s">
        <v>31</v>
      </c>
      <c r="N110">
        <f>SalesData[[#This Row],[Quantity_Sold]]*SalesData[[#This Row],[Unit_Cost]]</f>
        <v>107840.16</v>
      </c>
      <c r="O110">
        <f>SalesData[[#This Row],[Quantity_Sold]]*SalesData[[#This Row],[Unit_Price]]</f>
        <v>119334.72</v>
      </c>
      <c r="P110">
        <f>SalesData[[#This Row],[Gross_sales]]*(1-SalesData[[#This Row],[Discount]])</f>
        <v>115754.6784</v>
      </c>
      <c r="Q110" s="2">
        <f>SalesData[[#This Row],[Sales_amount]]-SalesData[[#This Row],[Total_Cost]]</f>
        <v>7914.5184000000008</v>
      </c>
      <c r="R110" s="2">
        <f>SalesData[[#This Row],[Profit]]/SalesData[[#This Row],[Sales_amount]]</f>
        <v>6.8373205380526547E-2</v>
      </c>
      <c r="S110" s="2">
        <f>SalesData[[#This Row],[Unit_Price]]-SalesData[[#This Row],[Unit_Cost]]</f>
        <v>239.4699999999998</v>
      </c>
      <c r="T110" s="10">
        <f>SalesData[[#This Row],[Unit_Margin]]/SalesData[[#This Row],[Unit_Price]]</f>
        <v>9.6322009219110674E-2</v>
      </c>
      <c r="U110" s="2" t="str">
        <f>IF(SalesData[[#This Row],[Unit_Margin]]&lt;0, "Negative margin", "Positive margin")</f>
        <v>Positive margin</v>
      </c>
      <c r="V110" s="2" t="str">
        <f>IF(SalesData[[#This Row],[Profit]]&lt;0, "Loss", "Profit")</f>
        <v>Profit</v>
      </c>
      <c r="W110" s="2">
        <f>SalesData[[#This Row],[Unit_Price]]*(1-SalesData[[#This Row],[Discount]])</f>
        <v>2411.5557999999996</v>
      </c>
      <c r="X110" s="2">
        <f>SalesData[[#This Row],[Effective_Unit_Price]]-SalesData[[#This Row],[Unit_Cost]]</f>
        <v>164.88579999999956</v>
      </c>
      <c r="Y110" s="2" t="str">
        <f>IF(SalesData[[#This Row],[Effective_Unit_Margin]]&lt;0,"Loss per Unit","Positive per Unit")</f>
        <v>Positive per Unit</v>
      </c>
    </row>
    <row r="111" spans="1:25" x14ac:dyDescent="0.3">
      <c r="A111">
        <v>1071</v>
      </c>
      <c r="B111" s="1">
        <v>45287</v>
      </c>
      <c r="C111" t="s">
        <v>23</v>
      </c>
      <c r="D111" t="s">
        <v>33</v>
      </c>
      <c r="E111">
        <v>40</v>
      </c>
      <c r="F111" t="s">
        <v>25</v>
      </c>
      <c r="G111">
        <v>1447.72</v>
      </c>
      <c r="H111">
        <v>1875.75</v>
      </c>
      <c r="I111" t="s">
        <v>29</v>
      </c>
      <c r="J111" s="2">
        <v>0.13</v>
      </c>
      <c r="K111" t="s">
        <v>17</v>
      </c>
      <c r="L111" t="s">
        <v>21</v>
      </c>
      <c r="M111" t="s">
        <v>49</v>
      </c>
      <c r="N111">
        <f>SalesData[[#This Row],[Quantity_Sold]]*SalesData[[#This Row],[Unit_Cost]]</f>
        <v>57908.800000000003</v>
      </c>
      <c r="O111">
        <f>SalesData[[#This Row],[Quantity_Sold]]*SalesData[[#This Row],[Unit_Price]]</f>
        <v>75030</v>
      </c>
      <c r="P111">
        <f>SalesData[[#This Row],[Gross_sales]]*(1-SalesData[[#This Row],[Discount]])</f>
        <v>65276.1</v>
      </c>
      <c r="Q111" s="2">
        <f>SalesData[[#This Row],[Sales_amount]]-SalesData[[#This Row],[Total_Cost]]</f>
        <v>7367.2999999999956</v>
      </c>
      <c r="R111" s="2">
        <f>SalesData[[#This Row],[Profit]]/SalesData[[#This Row],[Sales_amount]]</f>
        <v>0.1128636667938188</v>
      </c>
      <c r="S111" s="2">
        <f>SalesData[[#This Row],[Unit_Price]]-SalesData[[#This Row],[Unit_Cost]]</f>
        <v>428.03</v>
      </c>
      <c r="T111" s="10">
        <f>SalesData[[#This Row],[Unit_Margin]]/SalesData[[#This Row],[Unit_Price]]</f>
        <v>0.22819139011062239</v>
      </c>
      <c r="U111" s="2" t="str">
        <f>IF(SalesData[[#This Row],[Unit_Margin]]&lt;0, "Negative margin", "Positive margin")</f>
        <v>Positive margin</v>
      </c>
      <c r="V111" s="2" t="str">
        <f>IF(SalesData[[#This Row],[Profit]]&lt;0, "Loss", "Profit")</f>
        <v>Profit</v>
      </c>
      <c r="W111" s="2">
        <f>SalesData[[#This Row],[Unit_Price]]*(1-SalesData[[#This Row],[Discount]])</f>
        <v>1631.9024999999999</v>
      </c>
      <c r="X111" s="2">
        <f>SalesData[[#This Row],[Effective_Unit_Price]]-SalesData[[#This Row],[Unit_Cost]]</f>
        <v>184.18249999999989</v>
      </c>
      <c r="Y111" s="2" t="str">
        <f>IF(SalesData[[#This Row],[Effective_Unit_Margin]]&lt;0,"Loss per Unit","Positive per Unit")</f>
        <v>Positive per Unit</v>
      </c>
    </row>
    <row r="112" spans="1:25" x14ac:dyDescent="0.3">
      <c r="A112">
        <v>1009</v>
      </c>
      <c r="B112" s="1">
        <v>45155</v>
      </c>
      <c r="C112" t="s">
        <v>13</v>
      </c>
      <c r="D112" t="s">
        <v>20</v>
      </c>
      <c r="E112">
        <v>33</v>
      </c>
      <c r="F112" t="s">
        <v>28</v>
      </c>
      <c r="G112">
        <v>450.72</v>
      </c>
      <c r="H112">
        <v>918.17</v>
      </c>
      <c r="I112" t="s">
        <v>16</v>
      </c>
      <c r="J112" s="2">
        <v>0.11</v>
      </c>
      <c r="K112" t="s">
        <v>17</v>
      </c>
      <c r="L112" t="s">
        <v>18</v>
      </c>
      <c r="M112" t="s">
        <v>22</v>
      </c>
      <c r="N112">
        <f>SalesData[[#This Row],[Quantity_Sold]]*SalesData[[#This Row],[Unit_Cost]]</f>
        <v>14873.76</v>
      </c>
      <c r="O112">
        <f>SalesData[[#This Row],[Quantity_Sold]]*SalesData[[#This Row],[Unit_Price]]</f>
        <v>30299.609999999997</v>
      </c>
      <c r="P112">
        <f>SalesData[[#This Row],[Gross_sales]]*(1-SalesData[[#This Row],[Discount]])</f>
        <v>26966.652899999997</v>
      </c>
      <c r="Q112" s="2">
        <f>SalesData[[#This Row],[Sales_amount]]-SalesData[[#This Row],[Total_Cost]]</f>
        <v>12092.892899999997</v>
      </c>
      <c r="R112" s="2">
        <f>SalesData[[#This Row],[Profit]]/SalesData[[#This Row],[Sales_amount]]</f>
        <v>0.44843877899285001</v>
      </c>
      <c r="S112" s="2">
        <f>SalesData[[#This Row],[Unit_Price]]-SalesData[[#This Row],[Unit_Cost]]</f>
        <v>467.44999999999993</v>
      </c>
      <c r="T112" s="10">
        <f>SalesData[[#This Row],[Unit_Margin]]/SalesData[[#This Row],[Unit_Price]]</f>
        <v>0.50911051330363655</v>
      </c>
      <c r="U112" s="2" t="str">
        <f>IF(SalesData[[#This Row],[Unit_Margin]]&lt;0, "Negative margin", "Positive margin")</f>
        <v>Positive margin</v>
      </c>
      <c r="V112" s="2" t="str">
        <f>IF(SalesData[[#This Row],[Profit]]&lt;0, "Loss", "Profit")</f>
        <v>Profit</v>
      </c>
      <c r="W112" s="2">
        <f>SalesData[[#This Row],[Unit_Price]]*(1-SalesData[[#This Row],[Discount]])</f>
        <v>817.17129999999997</v>
      </c>
      <c r="X112" s="2">
        <f>SalesData[[#This Row],[Effective_Unit_Price]]-SalesData[[#This Row],[Unit_Cost]]</f>
        <v>366.45129999999995</v>
      </c>
      <c r="Y112" s="2" t="str">
        <f>IF(SalesData[[#This Row],[Effective_Unit_Margin]]&lt;0,"Loss per Unit","Positive per Unit")</f>
        <v>Positive per Unit</v>
      </c>
    </row>
    <row r="113" spans="1:25" x14ac:dyDescent="0.3">
      <c r="A113">
        <v>1088</v>
      </c>
      <c r="B113" s="1">
        <v>45196</v>
      </c>
      <c r="C113" t="s">
        <v>37</v>
      </c>
      <c r="D113" t="s">
        <v>14</v>
      </c>
      <c r="E113">
        <v>12</v>
      </c>
      <c r="F113" t="s">
        <v>28</v>
      </c>
      <c r="G113">
        <v>4389.24</v>
      </c>
      <c r="H113">
        <v>4856.2199999999903</v>
      </c>
      <c r="I113" t="s">
        <v>16</v>
      </c>
      <c r="J113" s="2">
        <v>0.15</v>
      </c>
      <c r="K113" t="s">
        <v>17</v>
      </c>
      <c r="L113" t="s">
        <v>21</v>
      </c>
      <c r="M113" t="s">
        <v>39</v>
      </c>
      <c r="N113">
        <f>SalesData[[#This Row],[Quantity_Sold]]*SalesData[[#This Row],[Unit_Cost]]</f>
        <v>52670.879999999997</v>
      </c>
      <c r="O113">
        <f>SalesData[[#This Row],[Quantity_Sold]]*SalesData[[#This Row],[Unit_Price]]</f>
        <v>58274.639999999883</v>
      </c>
      <c r="P113">
        <f>SalesData[[#This Row],[Gross_sales]]*(1-SalesData[[#This Row],[Discount]])</f>
        <v>49533.443999999901</v>
      </c>
      <c r="Q113" s="2">
        <f>SalesData[[#This Row],[Sales_amount]]-SalesData[[#This Row],[Total_Cost]]</f>
        <v>-3137.4360000000961</v>
      </c>
      <c r="R113" s="2">
        <f>SalesData[[#This Row],[Profit]]/SalesData[[#This Row],[Sales_amount]]</f>
        <v>-6.3339750815632812E-2</v>
      </c>
      <c r="S113" s="2">
        <f>SalesData[[#This Row],[Unit_Price]]-SalesData[[#This Row],[Unit_Cost]]</f>
        <v>466.97999999999047</v>
      </c>
      <c r="T113" s="10">
        <f>SalesData[[#This Row],[Unit_Margin]]/SalesData[[#This Row],[Unit_Price]]</f>
        <v>9.6161211806712096E-2</v>
      </c>
      <c r="U113" s="2" t="str">
        <f>IF(SalesData[[#This Row],[Unit_Margin]]&lt;0, "Negative margin", "Positive margin")</f>
        <v>Positive margin</v>
      </c>
      <c r="V113" s="2" t="str">
        <f>IF(SalesData[[#This Row],[Profit]]&lt;0, "Loss", "Profit")</f>
        <v>Loss</v>
      </c>
      <c r="W113" s="2">
        <f>SalesData[[#This Row],[Unit_Price]]*(1-SalesData[[#This Row],[Discount]])</f>
        <v>4127.7869999999912</v>
      </c>
      <c r="X113" s="2">
        <f>SalesData[[#This Row],[Effective_Unit_Price]]-SalesData[[#This Row],[Unit_Cost]]</f>
        <v>-261.45300000000861</v>
      </c>
      <c r="Y113" s="2" t="str">
        <f>IF(SalesData[[#This Row],[Effective_Unit_Margin]]&lt;0,"Loss per Unit","Positive per Unit")</f>
        <v>Loss per Unit</v>
      </c>
    </row>
    <row r="114" spans="1:25" x14ac:dyDescent="0.3">
      <c r="A114">
        <v>1001</v>
      </c>
      <c r="B114" s="1">
        <v>45242</v>
      </c>
      <c r="C114" t="s">
        <v>41</v>
      </c>
      <c r="D114" t="s">
        <v>14</v>
      </c>
      <c r="E114">
        <v>8</v>
      </c>
      <c r="F114" t="s">
        <v>34</v>
      </c>
      <c r="G114">
        <v>3657.91</v>
      </c>
      <c r="H114">
        <v>3729.27</v>
      </c>
      <c r="I114" t="s">
        <v>29</v>
      </c>
      <c r="J114" s="2">
        <v>0.09</v>
      </c>
      <c r="K114" t="s">
        <v>26</v>
      </c>
      <c r="L114" t="s">
        <v>21</v>
      </c>
      <c r="M114" t="s">
        <v>48</v>
      </c>
      <c r="N114">
        <f>SalesData[[#This Row],[Quantity_Sold]]*SalesData[[#This Row],[Unit_Cost]]</f>
        <v>29263.279999999999</v>
      </c>
      <c r="O114">
        <f>SalesData[[#This Row],[Quantity_Sold]]*SalesData[[#This Row],[Unit_Price]]</f>
        <v>29834.16</v>
      </c>
      <c r="P114">
        <f>SalesData[[#This Row],[Gross_sales]]*(1-SalesData[[#This Row],[Discount]])</f>
        <v>27149.085600000002</v>
      </c>
      <c r="Q114" s="2">
        <f>SalesData[[#This Row],[Sales_amount]]-SalesData[[#This Row],[Total_Cost]]</f>
        <v>-2114.1943999999967</v>
      </c>
      <c r="R114" s="2">
        <f>SalesData[[#This Row],[Profit]]/SalesData[[#This Row],[Sales_amount]]</f>
        <v>-7.7873503039822323E-2</v>
      </c>
      <c r="S114" s="2">
        <f>SalesData[[#This Row],[Unit_Price]]-SalesData[[#This Row],[Unit_Cost]]</f>
        <v>71.360000000000127</v>
      </c>
      <c r="T114" s="10">
        <f>SalesData[[#This Row],[Unit_Margin]]/SalesData[[#This Row],[Unit_Price]]</f>
        <v>1.9135112233761603E-2</v>
      </c>
      <c r="U114" s="2" t="str">
        <f>IF(SalesData[[#This Row],[Unit_Margin]]&lt;0, "Negative margin", "Positive margin")</f>
        <v>Positive margin</v>
      </c>
      <c r="V114" s="2" t="str">
        <f>IF(SalesData[[#This Row],[Profit]]&lt;0, "Loss", "Profit")</f>
        <v>Loss</v>
      </c>
      <c r="W114" s="2">
        <f>SalesData[[#This Row],[Unit_Price]]*(1-SalesData[[#This Row],[Discount]])</f>
        <v>3393.6357000000003</v>
      </c>
      <c r="X114" s="2">
        <f>SalesData[[#This Row],[Effective_Unit_Price]]-SalesData[[#This Row],[Unit_Cost]]</f>
        <v>-264.27429999999958</v>
      </c>
      <c r="Y114" s="2" t="str">
        <f>IF(SalesData[[#This Row],[Effective_Unit_Margin]]&lt;0,"Loss per Unit","Positive per Unit")</f>
        <v>Loss per Unit</v>
      </c>
    </row>
    <row r="115" spans="1:25" x14ac:dyDescent="0.3">
      <c r="A115">
        <v>1008</v>
      </c>
      <c r="B115" s="1">
        <v>45212</v>
      </c>
      <c r="C115" t="s">
        <v>37</v>
      </c>
      <c r="D115" t="s">
        <v>20</v>
      </c>
      <c r="E115">
        <v>24</v>
      </c>
      <c r="F115" t="s">
        <v>34</v>
      </c>
      <c r="G115">
        <v>1542.24</v>
      </c>
      <c r="H115">
        <v>1739.45</v>
      </c>
      <c r="I115" t="s">
        <v>16</v>
      </c>
      <c r="J115" s="2">
        <v>0.21</v>
      </c>
      <c r="K115" t="s">
        <v>26</v>
      </c>
      <c r="L115" t="s">
        <v>21</v>
      </c>
      <c r="M115" t="s">
        <v>40</v>
      </c>
      <c r="N115">
        <f>SalesData[[#This Row],[Quantity_Sold]]*SalesData[[#This Row],[Unit_Cost]]</f>
        <v>37013.760000000002</v>
      </c>
      <c r="O115">
        <f>SalesData[[#This Row],[Quantity_Sold]]*SalesData[[#This Row],[Unit_Price]]</f>
        <v>41746.800000000003</v>
      </c>
      <c r="P115">
        <f>SalesData[[#This Row],[Gross_sales]]*(1-SalesData[[#This Row],[Discount]])</f>
        <v>32979.972000000002</v>
      </c>
      <c r="Q115" s="2">
        <f>SalesData[[#This Row],[Sales_amount]]-SalesData[[#This Row],[Total_Cost]]</f>
        <v>-4033.7880000000005</v>
      </c>
      <c r="R115" s="2">
        <f>SalesData[[#This Row],[Profit]]/SalesData[[#This Row],[Sales_amount]]</f>
        <v>-0.12231023119122116</v>
      </c>
      <c r="S115" s="2">
        <f>SalesData[[#This Row],[Unit_Price]]-SalesData[[#This Row],[Unit_Cost]]</f>
        <v>197.21000000000004</v>
      </c>
      <c r="T115" s="10">
        <f>SalesData[[#This Row],[Unit_Margin]]/SalesData[[#This Row],[Unit_Price]]</f>
        <v>0.11337491735893532</v>
      </c>
      <c r="U115" s="2" t="str">
        <f>IF(SalesData[[#This Row],[Unit_Margin]]&lt;0, "Negative margin", "Positive margin")</f>
        <v>Positive margin</v>
      </c>
      <c r="V115" s="2" t="str">
        <f>IF(SalesData[[#This Row],[Profit]]&lt;0, "Loss", "Profit")</f>
        <v>Loss</v>
      </c>
      <c r="W115" s="2">
        <f>SalesData[[#This Row],[Unit_Price]]*(1-SalesData[[#This Row],[Discount]])</f>
        <v>1374.1655000000001</v>
      </c>
      <c r="X115" s="2">
        <f>SalesData[[#This Row],[Effective_Unit_Price]]-SalesData[[#This Row],[Unit_Cost]]</f>
        <v>-168.07449999999994</v>
      </c>
      <c r="Y115" s="2" t="str">
        <f>IF(SalesData[[#This Row],[Effective_Unit_Margin]]&lt;0,"Loss per Unit","Positive per Unit")</f>
        <v>Loss per Unit</v>
      </c>
    </row>
    <row r="116" spans="1:25" x14ac:dyDescent="0.3">
      <c r="A116">
        <v>1088</v>
      </c>
      <c r="B116" s="1">
        <v>45217</v>
      </c>
      <c r="C116" t="s">
        <v>37</v>
      </c>
      <c r="D116" t="s">
        <v>20</v>
      </c>
      <c r="E116">
        <v>16</v>
      </c>
      <c r="F116" t="s">
        <v>15</v>
      </c>
      <c r="G116">
        <v>3016.9</v>
      </c>
      <c r="H116">
        <v>3040.73</v>
      </c>
      <c r="I116" t="s">
        <v>29</v>
      </c>
      <c r="J116" s="2">
        <v>0.26</v>
      </c>
      <c r="K116" t="s">
        <v>26</v>
      </c>
      <c r="L116" t="s">
        <v>21</v>
      </c>
      <c r="M116" t="s">
        <v>40</v>
      </c>
      <c r="N116">
        <f>SalesData[[#This Row],[Quantity_Sold]]*SalesData[[#This Row],[Unit_Cost]]</f>
        <v>48270.400000000001</v>
      </c>
      <c r="O116">
        <f>SalesData[[#This Row],[Quantity_Sold]]*SalesData[[#This Row],[Unit_Price]]</f>
        <v>48651.68</v>
      </c>
      <c r="P116">
        <f>SalesData[[#This Row],[Gross_sales]]*(1-SalesData[[#This Row],[Discount]])</f>
        <v>36002.243199999997</v>
      </c>
      <c r="Q116" s="2">
        <f>SalesData[[#This Row],[Sales_amount]]-SalesData[[#This Row],[Total_Cost]]</f>
        <v>-12268.156800000004</v>
      </c>
      <c r="R116" s="2">
        <f>SalesData[[#This Row],[Profit]]/SalesData[[#This Row],[Sales_amount]]</f>
        <v>-0.34076090014302235</v>
      </c>
      <c r="S116" s="2">
        <f>SalesData[[#This Row],[Unit_Price]]-SalesData[[#This Row],[Unit_Cost]]</f>
        <v>23.829999999999927</v>
      </c>
      <c r="T116" s="10">
        <f>SalesData[[#This Row],[Unit_Margin]]/SalesData[[#This Row],[Unit_Price]]</f>
        <v>7.8369338941635478E-3</v>
      </c>
      <c r="U116" s="2" t="str">
        <f>IF(SalesData[[#This Row],[Unit_Margin]]&lt;0, "Negative margin", "Positive margin")</f>
        <v>Positive margin</v>
      </c>
      <c r="V116" s="2" t="str">
        <f>IF(SalesData[[#This Row],[Profit]]&lt;0, "Loss", "Profit")</f>
        <v>Loss</v>
      </c>
      <c r="W116" s="2">
        <f>SalesData[[#This Row],[Unit_Price]]*(1-SalesData[[#This Row],[Discount]])</f>
        <v>2250.1401999999998</v>
      </c>
      <c r="X116" s="2">
        <f>SalesData[[#This Row],[Effective_Unit_Price]]-SalesData[[#This Row],[Unit_Cost]]</f>
        <v>-766.75980000000027</v>
      </c>
      <c r="Y116" s="2" t="str">
        <f>IF(SalesData[[#This Row],[Effective_Unit_Margin]]&lt;0,"Loss per Unit","Positive per Unit")</f>
        <v>Loss per Unit</v>
      </c>
    </row>
    <row r="117" spans="1:25" x14ac:dyDescent="0.3">
      <c r="A117">
        <v>1063</v>
      </c>
      <c r="B117" s="1">
        <v>45139</v>
      </c>
      <c r="C117" t="s">
        <v>13</v>
      </c>
      <c r="D117" t="s">
        <v>24</v>
      </c>
      <c r="E117">
        <v>4</v>
      </c>
      <c r="F117" t="s">
        <v>34</v>
      </c>
      <c r="G117">
        <v>1046.26</v>
      </c>
      <c r="H117">
        <v>1475.29</v>
      </c>
      <c r="I117" t="s">
        <v>16</v>
      </c>
      <c r="J117" s="2">
        <v>0.09</v>
      </c>
      <c r="K117" t="s">
        <v>26</v>
      </c>
      <c r="L117" t="s">
        <v>21</v>
      </c>
      <c r="M117" t="s">
        <v>31</v>
      </c>
      <c r="N117">
        <f>SalesData[[#This Row],[Quantity_Sold]]*SalesData[[#This Row],[Unit_Cost]]</f>
        <v>4185.04</v>
      </c>
      <c r="O117">
        <f>SalesData[[#This Row],[Quantity_Sold]]*SalesData[[#This Row],[Unit_Price]]</f>
        <v>5901.16</v>
      </c>
      <c r="P117">
        <f>SalesData[[#This Row],[Gross_sales]]*(1-SalesData[[#This Row],[Discount]])</f>
        <v>5370.0555999999997</v>
      </c>
      <c r="Q117" s="2">
        <f>SalesData[[#This Row],[Sales_amount]]-SalesData[[#This Row],[Total_Cost]]</f>
        <v>1185.0155999999997</v>
      </c>
      <c r="R117" s="2">
        <f>SalesData[[#This Row],[Profit]]/SalesData[[#This Row],[Sales_amount]]</f>
        <v>0.22067101130200584</v>
      </c>
      <c r="S117" s="2">
        <f>SalesData[[#This Row],[Unit_Price]]-SalesData[[#This Row],[Unit_Cost]]</f>
        <v>429.03</v>
      </c>
      <c r="T117" s="10">
        <f>SalesData[[#This Row],[Unit_Margin]]/SalesData[[#This Row],[Unit_Price]]</f>
        <v>0.29081062028482535</v>
      </c>
      <c r="U117" s="2" t="str">
        <f>IF(SalesData[[#This Row],[Unit_Margin]]&lt;0, "Negative margin", "Positive margin")</f>
        <v>Positive margin</v>
      </c>
      <c r="V117" s="2" t="str">
        <f>IF(SalesData[[#This Row],[Profit]]&lt;0, "Loss", "Profit")</f>
        <v>Profit</v>
      </c>
      <c r="W117" s="2">
        <f>SalesData[[#This Row],[Unit_Price]]*(1-SalesData[[#This Row],[Discount]])</f>
        <v>1342.5138999999999</v>
      </c>
      <c r="X117" s="2">
        <f>SalesData[[#This Row],[Effective_Unit_Price]]-SalesData[[#This Row],[Unit_Cost]]</f>
        <v>296.25389999999993</v>
      </c>
      <c r="Y117" s="2" t="str">
        <f>IF(SalesData[[#This Row],[Effective_Unit_Margin]]&lt;0,"Loss per Unit","Positive per Unit")</f>
        <v>Positive per Unit</v>
      </c>
    </row>
    <row r="118" spans="1:25" x14ac:dyDescent="0.3">
      <c r="A118">
        <v>1011</v>
      </c>
      <c r="B118" s="1">
        <v>45091</v>
      </c>
      <c r="C118" t="s">
        <v>41</v>
      </c>
      <c r="D118" t="s">
        <v>24</v>
      </c>
      <c r="E118">
        <v>38</v>
      </c>
      <c r="F118" t="s">
        <v>15</v>
      </c>
      <c r="G118">
        <v>4456.67</v>
      </c>
      <c r="H118">
        <v>4642.46</v>
      </c>
      <c r="I118" t="s">
        <v>29</v>
      </c>
      <c r="J118" s="2">
        <v>0.06</v>
      </c>
      <c r="K118" t="s">
        <v>26</v>
      </c>
      <c r="L118" t="s">
        <v>18</v>
      </c>
      <c r="M118" t="s">
        <v>42</v>
      </c>
      <c r="N118">
        <f>SalesData[[#This Row],[Quantity_Sold]]*SalesData[[#This Row],[Unit_Cost]]</f>
        <v>169353.46</v>
      </c>
      <c r="O118">
        <f>SalesData[[#This Row],[Quantity_Sold]]*SalesData[[#This Row],[Unit_Price]]</f>
        <v>176413.48</v>
      </c>
      <c r="P118">
        <f>SalesData[[#This Row],[Gross_sales]]*(1-SalesData[[#This Row],[Discount]])</f>
        <v>165828.67120000001</v>
      </c>
      <c r="Q118" s="2">
        <f>SalesData[[#This Row],[Sales_amount]]-SalesData[[#This Row],[Total_Cost]]</f>
        <v>-3524.7887999999803</v>
      </c>
      <c r="R118" s="2">
        <f>SalesData[[#This Row],[Profit]]/SalesData[[#This Row],[Sales_amount]]</f>
        <v>-2.1255605405827917E-2</v>
      </c>
      <c r="S118" s="2">
        <f>SalesData[[#This Row],[Unit_Price]]-SalesData[[#This Row],[Unit_Cost]]</f>
        <v>185.78999999999996</v>
      </c>
      <c r="T118" s="10">
        <f>SalesData[[#This Row],[Unit_Margin]]/SalesData[[#This Row],[Unit_Price]]</f>
        <v>4.0019730918521637E-2</v>
      </c>
      <c r="U118" s="2" t="str">
        <f>IF(SalesData[[#This Row],[Unit_Margin]]&lt;0, "Negative margin", "Positive margin")</f>
        <v>Positive margin</v>
      </c>
      <c r="V118" s="2" t="str">
        <f>IF(SalesData[[#This Row],[Profit]]&lt;0, "Loss", "Profit")</f>
        <v>Loss</v>
      </c>
      <c r="W118" s="2">
        <f>SalesData[[#This Row],[Unit_Price]]*(1-SalesData[[#This Row],[Discount]])</f>
        <v>4363.9124000000002</v>
      </c>
      <c r="X118" s="2">
        <f>SalesData[[#This Row],[Effective_Unit_Price]]-SalesData[[#This Row],[Unit_Cost]]</f>
        <v>-92.757599999999911</v>
      </c>
      <c r="Y118" s="2" t="str">
        <f>IF(SalesData[[#This Row],[Effective_Unit_Margin]]&lt;0,"Loss per Unit","Positive per Unit")</f>
        <v>Loss per Unit</v>
      </c>
    </row>
    <row r="119" spans="1:25" x14ac:dyDescent="0.3">
      <c r="A119">
        <v>1081</v>
      </c>
      <c r="B119" s="1">
        <v>44931</v>
      </c>
      <c r="C119" t="s">
        <v>13</v>
      </c>
      <c r="D119" t="s">
        <v>24</v>
      </c>
      <c r="E119">
        <v>44</v>
      </c>
      <c r="F119" t="s">
        <v>25</v>
      </c>
      <c r="G119">
        <v>618.79</v>
      </c>
      <c r="H119">
        <v>938.04</v>
      </c>
      <c r="I119" t="s">
        <v>16</v>
      </c>
      <c r="J119" s="2">
        <v>0.03</v>
      </c>
      <c r="K119" t="s">
        <v>17</v>
      </c>
      <c r="L119" t="s">
        <v>18</v>
      </c>
      <c r="M119" t="s">
        <v>31</v>
      </c>
      <c r="N119">
        <f>SalesData[[#This Row],[Quantity_Sold]]*SalesData[[#This Row],[Unit_Cost]]</f>
        <v>27226.76</v>
      </c>
      <c r="O119">
        <f>SalesData[[#This Row],[Quantity_Sold]]*SalesData[[#This Row],[Unit_Price]]</f>
        <v>41273.759999999995</v>
      </c>
      <c r="P119">
        <f>SalesData[[#This Row],[Gross_sales]]*(1-SalesData[[#This Row],[Discount]])</f>
        <v>40035.547199999994</v>
      </c>
      <c r="Q119" s="2">
        <f>SalesData[[#This Row],[Sales_amount]]-SalesData[[#This Row],[Total_Cost]]</f>
        <v>12808.787199999995</v>
      </c>
      <c r="R119" s="2">
        <f>SalesData[[#This Row],[Profit]]/SalesData[[#This Row],[Sales_amount]]</f>
        <v>0.3199353598444134</v>
      </c>
      <c r="S119" s="2">
        <f>SalesData[[#This Row],[Unit_Price]]-SalesData[[#This Row],[Unit_Cost]]</f>
        <v>319.25</v>
      </c>
      <c r="T119" s="10">
        <f>SalesData[[#This Row],[Unit_Margin]]/SalesData[[#This Row],[Unit_Price]]</f>
        <v>0.34033729904908105</v>
      </c>
      <c r="U119" s="2" t="str">
        <f>IF(SalesData[[#This Row],[Unit_Margin]]&lt;0, "Negative margin", "Positive margin")</f>
        <v>Positive margin</v>
      </c>
      <c r="V119" s="2" t="str">
        <f>IF(SalesData[[#This Row],[Profit]]&lt;0, "Loss", "Profit")</f>
        <v>Profit</v>
      </c>
      <c r="W119" s="2">
        <f>SalesData[[#This Row],[Unit_Price]]*(1-SalesData[[#This Row],[Discount]])</f>
        <v>909.89879999999994</v>
      </c>
      <c r="X119" s="2">
        <f>SalesData[[#This Row],[Effective_Unit_Price]]-SalesData[[#This Row],[Unit_Cost]]</f>
        <v>291.10879999999997</v>
      </c>
      <c r="Y119" s="2" t="str">
        <f>IF(SalesData[[#This Row],[Effective_Unit_Margin]]&lt;0,"Loss per Unit","Positive per Unit")</f>
        <v>Positive per Unit</v>
      </c>
    </row>
    <row r="120" spans="1:25" x14ac:dyDescent="0.3">
      <c r="A120">
        <v>1008</v>
      </c>
      <c r="B120" s="1">
        <v>45265</v>
      </c>
      <c r="C120" t="s">
        <v>32</v>
      </c>
      <c r="D120" t="s">
        <v>33</v>
      </c>
      <c r="E120">
        <v>27</v>
      </c>
      <c r="F120" t="s">
        <v>34</v>
      </c>
      <c r="G120">
        <v>68.989999999999995</v>
      </c>
      <c r="H120">
        <v>429.29</v>
      </c>
      <c r="I120" t="s">
        <v>16</v>
      </c>
      <c r="J120" s="2">
        <v>0.18</v>
      </c>
      <c r="K120" t="s">
        <v>30</v>
      </c>
      <c r="L120" t="s">
        <v>21</v>
      </c>
      <c r="M120" t="s">
        <v>35</v>
      </c>
      <c r="N120">
        <f>SalesData[[#This Row],[Quantity_Sold]]*SalesData[[#This Row],[Unit_Cost]]</f>
        <v>1862.7299999999998</v>
      </c>
      <c r="O120">
        <f>SalesData[[#This Row],[Quantity_Sold]]*SalesData[[#This Row],[Unit_Price]]</f>
        <v>11590.83</v>
      </c>
      <c r="P120">
        <f>SalesData[[#This Row],[Gross_sales]]*(1-SalesData[[#This Row],[Discount]])</f>
        <v>9504.4806000000008</v>
      </c>
      <c r="Q120" s="2">
        <f>SalesData[[#This Row],[Sales_amount]]-SalesData[[#This Row],[Total_Cost]]</f>
        <v>7641.7506000000012</v>
      </c>
      <c r="R120" s="2">
        <f>SalesData[[#This Row],[Profit]]/SalesData[[#This Row],[Sales_amount]]</f>
        <v>0.80401559239333931</v>
      </c>
      <c r="S120" s="2">
        <f>SalesData[[#This Row],[Unit_Price]]-SalesData[[#This Row],[Unit_Cost]]</f>
        <v>360.3</v>
      </c>
      <c r="T120" s="10">
        <f>SalesData[[#This Row],[Unit_Margin]]/SalesData[[#This Row],[Unit_Price]]</f>
        <v>0.83929278576253818</v>
      </c>
      <c r="U120" s="2" t="str">
        <f>IF(SalesData[[#This Row],[Unit_Margin]]&lt;0, "Negative margin", "Positive margin")</f>
        <v>Positive margin</v>
      </c>
      <c r="V120" s="2" t="str">
        <f>IF(SalesData[[#This Row],[Profit]]&lt;0, "Loss", "Profit")</f>
        <v>Profit</v>
      </c>
      <c r="W120" s="2">
        <f>SalesData[[#This Row],[Unit_Price]]*(1-SalesData[[#This Row],[Discount]])</f>
        <v>352.01780000000002</v>
      </c>
      <c r="X120" s="2">
        <f>SalesData[[#This Row],[Effective_Unit_Price]]-SalesData[[#This Row],[Unit_Cost]]</f>
        <v>283.02780000000001</v>
      </c>
      <c r="Y120" s="2" t="str">
        <f>IF(SalesData[[#This Row],[Effective_Unit_Margin]]&lt;0,"Loss per Unit","Positive per Unit")</f>
        <v>Positive per Unit</v>
      </c>
    </row>
    <row r="121" spans="1:25" x14ac:dyDescent="0.3">
      <c r="A121">
        <v>1035</v>
      </c>
      <c r="B121" s="1">
        <v>45004</v>
      </c>
      <c r="C121" t="s">
        <v>13</v>
      </c>
      <c r="D121" t="s">
        <v>24</v>
      </c>
      <c r="E121">
        <v>9</v>
      </c>
      <c r="F121" t="s">
        <v>28</v>
      </c>
      <c r="G121">
        <v>2534.94</v>
      </c>
      <c r="H121">
        <v>2755.56</v>
      </c>
      <c r="I121" t="s">
        <v>16</v>
      </c>
      <c r="J121" s="2">
        <v>0.13</v>
      </c>
      <c r="K121" t="s">
        <v>30</v>
      </c>
      <c r="L121" t="s">
        <v>21</v>
      </c>
      <c r="M121" t="s">
        <v>31</v>
      </c>
      <c r="N121">
        <f>SalesData[[#This Row],[Quantity_Sold]]*SalesData[[#This Row],[Unit_Cost]]</f>
        <v>22814.46</v>
      </c>
      <c r="O121">
        <f>SalesData[[#This Row],[Quantity_Sold]]*SalesData[[#This Row],[Unit_Price]]</f>
        <v>24800.04</v>
      </c>
      <c r="P121">
        <f>SalesData[[#This Row],[Gross_sales]]*(1-SalesData[[#This Row],[Discount]])</f>
        <v>21576.034800000001</v>
      </c>
      <c r="Q121" s="2">
        <f>SalesData[[#This Row],[Sales_amount]]-SalesData[[#This Row],[Total_Cost]]</f>
        <v>-1238.4251999999979</v>
      </c>
      <c r="R121" s="2">
        <f>SalesData[[#This Row],[Profit]]/SalesData[[#This Row],[Sales_amount]]</f>
        <v>-5.7398183284353886E-2</v>
      </c>
      <c r="S121" s="2">
        <f>SalesData[[#This Row],[Unit_Price]]-SalesData[[#This Row],[Unit_Cost]]</f>
        <v>220.61999999999989</v>
      </c>
      <c r="T121" s="10">
        <f>SalesData[[#This Row],[Unit_Margin]]/SalesData[[#This Row],[Unit_Price]]</f>
        <v>8.0063580542611992E-2</v>
      </c>
      <c r="U121" s="2" t="str">
        <f>IF(SalesData[[#This Row],[Unit_Margin]]&lt;0, "Negative margin", "Positive margin")</f>
        <v>Positive margin</v>
      </c>
      <c r="V121" s="2" t="str">
        <f>IF(SalesData[[#This Row],[Profit]]&lt;0, "Loss", "Profit")</f>
        <v>Loss</v>
      </c>
      <c r="W121" s="2">
        <f>SalesData[[#This Row],[Unit_Price]]*(1-SalesData[[#This Row],[Discount]])</f>
        <v>2397.3371999999999</v>
      </c>
      <c r="X121" s="2">
        <f>SalesData[[#This Row],[Effective_Unit_Price]]-SalesData[[#This Row],[Unit_Cost]]</f>
        <v>-137.60280000000012</v>
      </c>
      <c r="Y121" s="2" t="str">
        <f>IF(SalesData[[#This Row],[Effective_Unit_Margin]]&lt;0,"Loss per Unit","Positive per Unit")</f>
        <v>Loss per Unit</v>
      </c>
    </row>
    <row r="122" spans="1:25" x14ac:dyDescent="0.3">
      <c r="A122">
        <v>1035</v>
      </c>
      <c r="B122" s="1">
        <v>44988</v>
      </c>
      <c r="C122" t="s">
        <v>13</v>
      </c>
      <c r="D122" t="s">
        <v>20</v>
      </c>
      <c r="E122">
        <v>47</v>
      </c>
      <c r="F122" t="s">
        <v>34</v>
      </c>
      <c r="G122">
        <v>2936.48</v>
      </c>
      <c r="H122">
        <v>3096.64</v>
      </c>
      <c r="I122" t="s">
        <v>29</v>
      </c>
      <c r="J122" s="2">
        <v>0.06</v>
      </c>
      <c r="K122" t="s">
        <v>26</v>
      </c>
      <c r="L122" t="s">
        <v>18</v>
      </c>
      <c r="M122" t="s">
        <v>22</v>
      </c>
      <c r="N122">
        <f>SalesData[[#This Row],[Quantity_Sold]]*SalesData[[#This Row],[Unit_Cost]]</f>
        <v>138014.56</v>
      </c>
      <c r="O122">
        <f>SalesData[[#This Row],[Quantity_Sold]]*SalesData[[#This Row],[Unit_Price]]</f>
        <v>145542.07999999999</v>
      </c>
      <c r="P122">
        <f>SalesData[[#This Row],[Gross_sales]]*(1-SalesData[[#This Row],[Discount]])</f>
        <v>136809.55519999997</v>
      </c>
      <c r="Q122" s="2">
        <f>SalesData[[#This Row],[Sales_amount]]-SalesData[[#This Row],[Total_Cost]]</f>
        <v>-1205.0048000000243</v>
      </c>
      <c r="R122" s="2">
        <f>SalesData[[#This Row],[Profit]]/SalesData[[#This Row],[Sales_amount]]</f>
        <v>-8.8078994061375655E-3</v>
      </c>
      <c r="S122" s="2">
        <f>SalesData[[#This Row],[Unit_Price]]-SalesData[[#This Row],[Unit_Cost]]</f>
        <v>160.15999999999985</v>
      </c>
      <c r="T122" s="10">
        <f>SalesData[[#This Row],[Unit_Margin]]/SalesData[[#This Row],[Unit_Price]]</f>
        <v>5.1720574558230814E-2</v>
      </c>
      <c r="U122" s="2" t="str">
        <f>IF(SalesData[[#This Row],[Unit_Margin]]&lt;0, "Negative margin", "Positive margin")</f>
        <v>Positive margin</v>
      </c>
      <c r="V122" s="2" t="str">
        <f>IF(SalesData[[#This Row],[Profit]]&lt;0, "Loss", "Profit")</f>
        <v>Loss</v>
      </c>
      <c r="W122" s="2">
        <f>SalesData[[#This Row],[Unit_Price]]*(1-SalesData[[#This Row],[Discount]])</f>
        <v>2910.8415999999997</v>
      </c>
      <c r="X122" s="2">
        <f>SalesData[[#This Row],[Effective_Unit_Price]]-SalesData[[#This Row],[Unit_Cost]]</f>
        <v>-25.638400000000274</v>
      </c>
      <c r="Y122" s="2" t="str">
        <f>IF(SalesData[[#This Row],[Effective_Unit_Margin]]&lt;0,"Loss per Unit","Positive per Unit")</f>
        <v>Loss per Unit</v>
      </c>
    </row>
    <row r="123" spans="1:25" x14ac:dyDescent="0.3">
      <c r="A123">
        <v>1033</v>
      </c>
      <c r="B123" s="1">
        <v>45058</v>
      </c>
      <c r="C123" t="s">
        <v>13</v>
      </c>
      <c r="D123" t="s">
        <v>14</v>
      </c>
      <c r="E123">
        <v>16</v>
      </c>
      <c r="F123" t="s">
        <v>15</v>
      </c>
      <c r="G123">
        <v>2915.88</v>
      </c>
      <c r="H123">
        <v>3397.36</v>
      </c>
      <c r="I123" t="s">
        <v>29</v>
      </c>
      <c r="J123" s="2">
        <v>0.2</v>
      </c>
      <c r="K123" t="s">
        <v>26</v>
      </c>
      <c r="L123" t="s">
        <v>21</v>
      </c>
      <c r="M123" t="s">
        <v>19</v>
      </c>
      <c r="N123">
        <f>SalesData[[#This Row],[Quantity_Sold]]*SalesData[[#This Row],[Unit_Cost]]</f>
        <v>46654.080000000002</v>
      </c>
      <c r="O123">
        <f>SalesData[[#This Row],[Quantity_Sold]]*SalesData[[#This Row],[Unit_Price]]</f>
        <v>54357.760000000002</v>
      </c>
      <c r="P123">
        <f>SalesData[[#This Row],[Gross_sales]]*(1-SalesData[[#This Row],[Discount]])</f>
        <v>43486.208000000006</v>
      </c>
      <c r="Q123" s="2">
        <f>SalesData[[#This Row],[Sales_amount]]-SalesData[[#This Row],[Total_Cost]]</f>
        <v>-3167.8719999999958</v>
      </c>
      <c r="R123" s="2">
        <f>SalesData[[#This Row],[Profit]]/SalesData[[#This Row],[Sales_amount]]</f>
        <v>-7.2847740598582317E-2</v>
      </c>
      <c r="S123" s="2">
        <f>SalesData[[#This Row],[Unit_Price]]-SalesData[[#This Row],[Unit_Cost]]</f>
        <v>481.48</v>
      </c>
      <c r="T123" s="10">
        <f>SalesData[[#This Row],[Unit_Margin]]/SalesData[[#This Row],[Unit_Price]]</f>
        <v>0.14172180752113406</v>
      </c>
      <c r="U123" s="2" t="str">
        <f>IF(SalesData[[#This Row],[Unit_Margin]]&lt;0, "Negative margin", "Positive margin")</f>
        <v>Positive margin</v>
      </c>
      <c r="V123" s="2" t="str">
        <f>IF(SalesData[[#This Row],[Profit]]&lt;0, "Loss", "Profit")</f>
        <v>Loss</v>
      </c>
      <c r="W123" s="2">
        <f>SalesData[[#This Row],[Unit_Price]]*(1-SalesData[[#This Row],[Discount]])</f>
        <v>2717.8880000000004</v>
      </c>
      <c r="X123" s="2">
        <f>SalesData[[#This Row],[Effective_Unit_Price]]-SalesData[[#This Row],[Unit_Cost]]</f>
        <v>-197.99199999999973</v>
      </c>
      <c r="Y123" s="2" t="str">
        <f>IF(SalesData[[#This Row],[Effective_Unit_Margin]]&lt;0,"Loss per Unit","Positive per Unit")</f>
        <v>Loss per Unit</v>
      </c>
    </row>
    <row r="124" spans="1:25" x14ac:dyDescent="0.3">
      <c r="A124">
        <v>1005</v>
      </c>
      <c r="B124" s="1">
        <v>45015</v>
      </c>
      <c r="C124" t="s">
        <v>41</v>
      </c>
      <c r="D124" t="s">
        <v>33</v>
      </c>
      <c r="E124">
        <v>12</v>
      </c>
      <c r="F124" t="s">
        <v>34</v>
      </c>
      <c r="G124">
        <v>319.83</v>
      </c>
      <c r="H124">
        <v>802.43</v>
      </c>
      <c r="I124" t="s">
        <v>29</v>
      </c>
      <c r="J124" s="2">
        <v>0.04</v>
      </c>
      <c r="K124" t="s">
        <v>30</v>
      </c>
      <c r="L124" t="s">
        <v>21</v>
      </c>
      <c r="M124" t="s">
        <v>51</v>
      </c>
      <c r="N124">
        <f>SalesData[[#This Row],[Quantity_Sold]]*SalesData[[#This Row],[Unit_Cost]]</f>
        <v>3837.96</v>
      </c>
      <c r="O124">
        <f>SalesData[[#This Row],[Quantity_Sold]]*SalesData[[#This Row],[Unit_Price]]</f>
        <v>9629.16</v>
      </c>
      <c r="P124">
        <f>SalesData[[#This Row],[Gross_sales]]*(1-SalesData[[#This Row],[Discount]])</f>
        <v>9243.9935999999998</v>
      </c>
      <c r="Q124" s="2">
        <f>SalesData[[#This Row],[Sales_amount]]-SalesData[[#This Row],[Total_Cost]]</f>
        <v>5406.0335999999998</v>
      </c>
      <c r="R124" s="2">
        <f>SalesData[[#This Row],[Profit]]/SalesData[[#This Row],[Sales_amount]]</f>
        <v>0.58481580947870837</v>
      </c>
      <c r="S124" s="2">
        <f>SalesData[[#This Row],[Unit_Price]]-SalesData[[#This Row],[Unit_Cost]]</f>
        <v>482.59999999999997</v>
      </c>
      <c r="T124" s="10">
        <f>SalesData[[#This Row],[Unit_Margin]]/SalesData[[#This Row],[Unit_Price]]</f>
        <v>0.60142317709956006</v>
      </c>
      <c r="U124" s="2" t="str">
        <f>IF(SalesData[[#This Row],[Unit_Margin]]&lt;0, "Negative margin", "Positive margin")</f>
        <v>Positive margin</v>
      </c>
      <c r="V124" s="2" t="str">
        <f>IF(SalesData[[#This Row],[Profit]]&lt;0, "Loss", "Profit")</f>
        <v>Profit</v>
      </c>
      <c r="W124" s="2">
        <f>SalesData[[#This Row],[Unit_Price]]*(1-SalesData[[#This Row],[Discount]])</f>
        <v>770.33279999999991</v>
      </c>
      <c r="X124" s="2">
        <f>SalesData[[#This Row],[Effective_Unit_Price]]-SalesData[[#This Row],[Unit_Cost]]</f>
        <v>450.50279999999992</v>
      </c>
      <c r="Y124" s="2" t="str">
        <f>IF(SalesData[[#This Row],[Effective_Unit_Margin]]&lt;0,"Loss per Unit","Positive per Unit")</f>
        <v>Positive per Unit</v>
      </c>
    </row>
    <row r="125" spans="1:25" x14ac:dyDescent="0.3">
      <c r="A125">
        <v>1041</v>
      </c>
      <c r="B125" s="1">
        <v>45163</v>
      </c>
      <c r="C125" t="s">
        <v>13</v>
      </c>
      <c r="D125" t="s">
        <v>24</v>
      </c>
      <c r="E125">
        <v>31</v>
      </c>
      <c r="F125" t="s">
        <v>25</v>
      </c>
      <c r="G125">
        <v>1604.52</v>
      </c>
      <c r="H125">
        <v>1756.34</v>
      </c>
      <c r="I125" t="s">
        <v>16</v>
      </c>
      <c r="J125" s="2">
        <v>0.17</v>
      </c>
      <c r="K125" t="s">
        <v>17</v>
      </c>
      <c r="L125" t="s">
        <v>21</v>
      </c>
      <c r="M125" t="s">
        <v>31</v>
      </c>
      <c r="N125">
        <f>SalesData[[#This Row],[Quantity_Sold]]*SalesData[[#This Row],[Unit_Cost]]</f>
        <v>49740.12</v>
      </c>
      <c r="O125">
        <f>SalesData[[#This Row],[Quantity_Sold]]*SalesData[[#This Row],[Unit_Price]]</f>
        <v>54446.54</v>
      </c>
      <c r="P125">
        <f>SalesData[[#This Row],[Gross_sales]]*(1-SalesData[[#This Row],[Discount]])</f>
        <v>45190.628199999999</v>
      </c>
      <c r="Q125" s="2">
        <f>SalesData[[#This Row],[Sales_amount]]-SalesData[[#This Row],[Total_Cost]]</f>
        <v>-4549.4918000000034</v>
      </c>
      <c r="R125" s="2">
        <f>SalesData[[#This Row],[Profit]]/SalesData[[#This Row],[Sales_amount]]</f>
        <v>-0.10067334713439552</v>
      </c>
      <c r="S125" s="2">
        <f>SalesData[[#This Row],[Unit_Price]]-SalesData[[#This Row],[Unit_Cost]]</f>
        <v>151.81999999999994</v>
      </c>
      <c r="T125" s="10">
        <f>SalesData[[#This Row],[Unit_Margin]]/SalesData[[#This Row],[Unit_Price]]</f>
        <v>8.6441121878451752E-2</v>
      </c>
      <c r="U125" s="2" t="str">
        <f>IF(SalesData[[#This Row],[Unit_Margin]]&lt;0, "Negative margin", "Positive margin")</f>
        <v>Positive margin</v>
      </c>
      <c r="V125" s="2" t="str">
        <f>IF(SalesData[[#This Row],[Profit]]&lt;0, "Loss", "Profit")</f>
        <v>Loss</v>
      </c>
      <c r="W125" s="2">
        <f>SalesData[[#This Row],[Unit_Price]]*(1-SalesData[[#This Row],[Discount]])</f>
        <v>1457.7621999999999</v>
      </c>
      <c r="X125" s="2">
        <f>SalesData[[#This Row],[Effective_Unit_Price]]-SalesData[[#This Row],[Unit_Cost]]</f>
        <v>-146.75780000000009</v>
      </c>
      <c r="Y125" s="2" t="str">
        <f>IF(SalesData[[#This Row],[Effective_Unit_Margin]]&lt;0,"Loss per Unit","Positive per Unit")</f>
        <v>Loss per Unit</v>
      </c>
    </row>
    <row r="126" spans="1:25" x14ac:dyDescent="0.3">
      <c r="A126">
        <v>1028</v>
      </c>
      <c r="B126" s="1">
        <v>44968</v>
      </c>
      <c r="C126" t="s">
        <v>41</v>
      </c>
      <c r="D126" t="s">
        <v>33</v>
      </c>
      <c r="E126">
        <v>24</v>
      </c>
      <c r="F126" t="s">
        <v>28</v>
      </c>
      <c r="G126">
        <v>2521.0300000000002</v>
      </c>
      <c r="H126">
        <v>2766.05</v>
      </c>
      <c r="I126" t="s">
        <v>16</v>
      </c>
      <c r="J126" s="2">
        <v>0.16</v>
      </c>
      <c r="K126" t="s">
        <v>26</v>
      </c>
      <c r="L126" t="s">
        <v>21</v>
      </c>
      <c r="M126" t="s">
        <v>51</v>
      </c>
      <c r="N126">
        <f>SalesData[[#This Row],[Quantity_Sold]]*SalesData[[#This Row],[Unit_Cost]]</f>
        <v>60504.72</v>
      </c>
      <c r="O126">
        <f>SalesData[[#This Row],[Quantity_Sold]]*SalesData[[#This Row],[Unit_Price]]</f>
        <v>66385.200000000012</v>
      </c>
      <c r="P126">
        <f>SalesData[[#This Row],[Gross_sales]]*(1-SalesData[[#This Row],[Discount]])</f>
        <v>55763.568000000007</v>
      </c>
      <c r="Q126" s="2">
        <f>SalesData[[#This Row],[Sales_amount]]-SalesData[[#This Row],[Total_Cost]]</f>
        <v>-4741.1519999999946</v>
      </c>
      <c r="R126" s="2">
        <f>SalesData[[#This Row],[Profit]]/SalesData[[#This Row],[Sales_amount]]</f>
        <v>-8.5022393115160674E-2</v>
      </c>
      <c r="S126" s="2">
        <f>SalesData[[#This Row],[Unit_Price]]-SalesData[[#This Row],[Unit_Cost]]</f>
        <v>245.01999999999998</v>
      </c>
      <c r="T126" s="10">
        <f>SalesData[[#This Row],[Unit_Margin]]/SalesData[[#This Row],[Unit_Price]]</f>
        <v>8.858118978326493E-2</v>
      </c>
      <c r="U126" s="2" t="str">
        <f>IF(SalesData[[#This Row],[Unit_Margin]]&lt;0, "Negative margin", "Positive margin")</f>
        <v>Positive margin</v>
      </c>
      <c r="V126" s="2" t="str">
        <f>IF(SalesData[[#This Row],[Profit]]&lt;0, "Loss", "Profit")</f>
        <v>Loss</v>
      </c>
      <c r="W126" s="2">
        <f>SalesData[[#This Row],[Unit_Price]]*(1-SalesData[[#This Row],[Discount]])</f>
        <v>2323.482</v>
      </c>
      <c r="X126" s="2">
        <f>SalesData[[#This Row],[Effective_Unit_Price]]-SalesData[[#This Row],[Unit_Cost]]</f>
        <v>-197.54800000000023</v>
      </c>
      <c r="Y126" s="2" t="str">
        <f>IF(SalesData[[#This Row],[Effective_Unit_Margin]]&lt;0,"Loss per Unit","Positive per Unit")</f>
        <v>Loss per Unit</v>
      </c>
    </row>
    <row r="127" spans="1:25" x14ac:dyDescent="0.3">
      <c r="A127">
        <v>1007</v>
      </c>
      <c r="B127" s="1">
        <v>45015</v>
      </c>
      <c r="C127" t="s">
        <v>23</v>
      </c>
      <c r="D127" t="s">
        <v>33</v>
      </c>
      <c r="E127">
        <v>14</v>
      </c>
      <c r="F127" t="s">
        <v>15</v>
      </c>
      <c r="G127">
        <v>1122.07</v>
      </c>
      <c r="H127">
        <v>1608.76</v>
      </c>
      <c r="I127" t="s">
        <v>29</v>
      </c>
      <c r="J127" s="2">
        <v>0.22</v>
      </c>
      <c r="K127" t="s">
        <v>17</v>
      </c>
      <c r="L127" t="s">
        <v>21</v>
      </c>
      <c r="M127" t="s">
        <v>49</v>
      </c>
      <c r="N127">
        <f>SalesData[[#This Row],[Quantity_Sold]]*SalesData[[#This Row],[Unit_Cost]]</f>
        <v>15708.98</v>
      </c>
      <c r="O127">
        <f>SalesData[[#This Row],[Quantity_Sold]]*SalesData[[#This Row],[Unit_Price]]</f>
        <v>22522.639999999999</v>
      </c>
      <c r="P127">
        <f>SalesData[[#This Row],[Gross_sales]]*(1-SalesData[[#This Row],[Discount]])</f>
        <v>17567.659200000002</v>
      </c>
      <c r="Q127" s="2">
        <f>SalesData[[#This Row],[Sales_amount]]-SalesData[[#This Row],[Total_Cost]]</f>
        <v>1858.6792000000023</v>
      </c>
      <c r="R127" s="2">
        <f>SalesData[[#This Row],[Profit]]/SalesData[[#This Row],[Sales_amount]]</f>
        <v>0.10580118721793066</v>
      </c>
      <c r="S127" s="2">
        <f>SalesData[[#This Row],[Unit_Price]]-SalesData[[#This Row],[Unit_Cost]]</f>
        <v>486.69000000000005</v>
      </c>
      <c r="T127" s="10">
        <f>SalesData[[#This Row],[Unit_Margin]]/SalesData[[#This Row],[Unit_Price]]</f>
        <v>0.30252492602998587</v>
      </c>
      <c r="U127" s="2" t="str">
        <f>IF(SalesData[[#This Row],[Unit_Margin]]&lt;0, "Negative margin", "Positive margin")</f>
        <v>Positive margin</v>
      </c>
      <c r="V127" s="2" t="str">
        <f>IF(SalesData[[#This Row],[Profit]]&lt;0, "Loss", "Profit")</f>
        <v>Profit</v>
      </c>
      <c r="W127" s="2">
        <f>SalesData[[#This Row],[Unit_Price]]*(1-SalesData[[#This Row],[Discount]])</f>
        <v>1254.8328000000001</v>
      </c>
      <c r="X127" s="2">
        <f>SalesData[[#This Row],[Effective_Unit_Price]]-SalesData[[#This Row],[Unit_Cost]]</f>
        <v>132.7628000000002</v>
      </c>
      <c r="Y127" s="2" t="str">
        <f>IF(SalesData[[#This Row],[Effective_Unit_Margin]]&lt;0,"Loss per Unit","Positive per Unit")</f>
        <v>Positive per Unit</v>
      </c>
    </row>
    <row r="128" spans="1:25" x14ac:dyDescent="0.3">
      <c r="A128">
        <v>1073</v>
      </c>
      <c r="B128" s="1">
        <v>45222</v>
      </c>
      <c r="C128" t="s">
        <v>32</v>
      </c>
      <c r="D128" t="s">
        <v>24</v>
      </c>
      <c r="E128">
        <v>45</v>
      </c>
      <c r="F128" t="s">
        <v>28</v>
      </c>
      <c r="G128">
        <v>4369.5</v>
      </c>
      <c r="H128">
        <v>4381.8900000000003</v>
      </c>
      <c r="I128" t="s">
        <v>16</v>
      </c>
      <c r="J128" s="2">
        <v>0.02</v>
      </c>
      <c r="K128" t="s">
        <v>30</v>
      </c>
      <c r="L128" t="s">
        <v>21</v>
      </c>
      <c r="M128" t="s">
        <v>43</v>
      </c>
      <c r="N128">
        <f>SalesData[[#This Row],[Quantity_Sold]]*SalesData[[#This Row],[Unit_Cost]]</f>
        <v>196627.5</v>
      </c>
      <c r="O128">
        <f>SalesData[[#This Row],[Quantity_Sold]]*SalesData[[#This Row],[Unit_Price]]</f>
        <v>197185.05000000002</v>
      </c>
      <c r="P128">
        <f>SalesData[[#This Row],[Gross_sales]]*(1-SalesData[[#This Row],[Discount]])</f>
        <v>193241.34900000002</v>
      </c>
      <c r="Q128" s="2">
        <f>SalesData[[#This Row],[Sales_amount]]-SalesData[[#This Row],[Total_Cost]]</f>
        <v>-3386.1509999999835</v>
      </c>
      <c r="R128" s="2">
        <f>SalesData[[#This Row],[Profit]]/SalesData[[#This Row],[Sales_amount]]</f>
        <v>-1.7522911206752045E-2</v>
      </c>
      <c r="S128" s="2">
        <f>SalesData[[#This Row],[Unit_Price]]-SalesData[[#This Row],[Unit_Cost]]</f>
        <v>12.390000000000327</v>
      </c>
      <c r="T128" s="10">
        <f>SalesData[[#This Row],[Unit_Margin]]/SalesData[[#This Row],[Unit_Price]]</f>
        <v>2.8275470173829845E-3</v>
      </c>
      <c r="U128" s="2" t="str">
        <f>IF(SalesData[[#This Row],[Unit_Margin]]&lt;0, "Negative margin", "Positive margin")</f>
        <v>Positive margin</v>
      </c>
      <c r="V128" s="2" t="str">
        <f>IF(SalesData[[#This Row],[Profit]]&lt;0, "Loss", "Profit")</f>
        <v>Loss</v>
      </c>
      <c r="W128" s="2">
        <f>SalesData[[#This Row],[Unit_Price]]*(1-SalesData[[#This Row],[Discount]])</f>
        <v>4294.2521999999999</v>
      </c>
      <c r="X128" s="2">
        <f>SalesData[[#This Row],[Effective_Unit_Price]]-SalesData[[#This Row],[Unit_Cost]]</f>
        <v>-75.247800000000097</v>
      </c>
      <c r="Y128" s="2" t="str">
        <f>IF(SalesData[[#This Row],[Effective_Unit_Margin]]&lt;0,"Loss per Unit","Positive per Unit")</f>
        <v>Loss per Unit</v>
      </c>
    </row>
    <row r="129" spans="1:25" x14ac:dyDescent="0.3">
      <c r="A129">
        <v>1072</v>
      </c>
      <c r="B129" s="1">
        <v>45254</v>
      </c>
      <c r="C129" t="s">
        <v>41</v>
      </c>
      <c r="D129" t="s">
        <v>33</v>
      </c>
      <c r="E129">
        <v>25</v>
      </c>
      <c r="F129" t="s">
        <v>28</v>
      </c>
      <c r="G129">
        <v>481.19</v>
      </c>
      <c r="H129">
        <v>693.4</v>
      </c>
      <c r="I129" t="s">
        <v>29</v>
      </c>
      <c r="J129" s="2">
        <v>0.27</v>
      </c>
      <c r="K129" t="s">
        <v>30</v>
      </c>
      <c r="L129" t="s">
        <v>21</v>
      </c>
      <c r="M129" t="s">
        <v>51</v>
      </c>
      <c r="N129">
        <f>SalesData[[#This Row],[Quantity_Sold]]*SalesData[[#This Row],[Unit_Cost]]</f>
        <v>12029.75</v>
      </c>
      <c r="O129">
        <f>SalesData[[#This Row],[Quantity_Sold]]*SalesData[[#This Row],[Unit_Price]]</f>
        <v>17335</v>
      </c>
      <c r="P129">
        <f>SalesData[[#This Row],[Gross_sales]]*(1-SalesData[[#This Row],[Discount]])</f>
        <v>12654.55</v>
      </c>
      <c r="Q129" s="2">
        <f>SalesData[[#This Row],[Sales_amount]]-SalesData[[#This Row],[Total_Cost]]</f>
        <v>624.79999999999927</v>
      </c>
      <c r="R129" s="2">
        <f>SalesData[[#This Row],[Profit]]/SalesData[[#This Row],[Sales_amount]]</f>
        <v>4.9373545483640216E-2</v>
      </c>
      <c r="S129" s="2">
        <f>SalesData[[#This Row],[Unit_Price]]-SalesData[[#This Row],[Unit_Cost]]</f>
        <v>212.20999999999998</v>
      </c>
      <c r="T129" s="10">
        <f>SalesData[[#This Row],[Unit_Margin]]/SalesData[[#This Row],[Unit_Price]]</f>
        <v>0.30604268820305736</v>
      </c>
      <c r="U129" s="2" t="str">
        <f>IF(SalesData[[#This Row],[Unit_Margin]]&lt;0, "Negative margin", "Positive margin")</f>
        <v>Positive margin</v>
      </c>
      <c r="V129" s="2" t="str">
        <f>IF(SalesData[[#This Row],[Profit]]&lt;0, "Loss", "Profit")</f>
        <v>Profit</v>
      </c>
      <c r="W129" s="2">
        <f>SalesData[[#This Row],[Unit_Price]]*(1-SalesData[[#This Row],[Discount]])</f>
        <v>506.18199999999996</v>
      </c>
      <c r="X129" s="2">
        <f>SalesData[[#This Row],[Effective_Unit_Price]]-SalesData[[#This Row],[Unit_Cost]]</f>
        <v>24.991999999999962</v>
      </c>
      <c r="Y129" s="2" t="str">
        <f>IF(SalesData[[#This Row],[Effective_Unit_Margin]]&lt;0,"Loss per Unit","Positive per Unit")</f>
        <v>Positive per Unit</v>
      </c>
    </row>
    <row r="130" spans="1:25" x14ac:dyDescent="0.3">
      <c r="A130">
        <v>1012</v>
      </c>
      <c r="B130" s="1">
        <v>45221</v>
      </c>
      <c r="C130" t="s">
        <v>23</v>
      </c>
      <c r="D130" t="s">
        <v>14</v>
      </c>
      <c r="E130">
        <v>34</v>
      </c>
      <c r="F130" t="s">
        <v>15</v>
      </c>
      <c r="G130">
        <v>2462.5500000000002</v>
      </c>
      <c r="H130">
        <v>2521.77</v>
      </c>
      <c r="I130" t="s">
        <v>29</v>
      </c>
      <c r="J130" s="2">
        <v>0.21</v>
      </c>
      <c r="K130" t="s">
        <v>26</v>
      </c>
      <c r="L130" t="s">
        <v>21</v>
      </c>
      <c r="M130" t="s">
        <v>44</v>
      </c>
      <c r="N130">
        <f>SalesData[[#This Row],[Quantity_Sold]]*SalesData[[#This Row],[Unit_Cost]]</f>
        <v>83726.700000000012</v>
      </c>
      <c r="O130">
        <f>SalesData[[#This Row],[Quantity_Sold]]*SalesData[[#This Row],[Unit_Price]]</f>
        <v>85740.18</v>
      </c>
      <c r="P130">
        <f>SalesData[[#This Row],[Gross_sales]]*(1-SalesData[[#This Row],[Discount]])</f>
        <v>67734.742199999993</v>
      </c>
      <c r="Q130" s="2">
        <f>SalesData[[#This Row],[Sales_amount]]-SalesData[[#This Row],[Total_Cost]]</f>
        <v>-15991.957800000018</v>
      </c>
      <c r="R130" s="2">
        <f>SalesData[[#This Row],[Profit]]/SalesData[[#This Row],[Sales_amount]]</f>
        <v>-0.23609682831272399</v>
      </c>
      <c r="S130" s="2">
        <f>SalesData[[#This Row],[Unit_Price]]-SalesData[[#This Row],[Unit_Cost]]</f>
        <v>59.2199999999998</v>
      </c>
      <c r="T130" s="10">
        <f>SalesData[[#This Row],[Unit_Margin]]/SalesData[[#This Row],[Unit_Price]]</f>
        <v>2.3483505632948206E-2</v>
      </c>
      <c r="U130" s="2" t="str">
        <f>IF(SalesData[[#This Row],[Unit_Margin]]&lt;0, "Negative margin", "Positive margin")</f>
        <v>Positive margin</v>
      </c>
      <c r="V130" s="2" t="str">
        <f>IF(SalesData[[#This Row],[Profit]]&lt;0, "Loss", "Profit")</f>
        <v>Loss</v>
      </c>
      <c r="W130" s="2">
        <f>SalesData[[#This Row],[Unit_Price]]*(1-SalesData[[#This Row],[Discount]])</f>
        <v>1992.1983</v>
      </c>
      <c r="X130" s="2">
        <f>SalesData[[#This Row],[Effective_Unit_Price]]-SalesData[[#This Row],[Unit_Cost]]</f>
        <v>-470.35170000000016</v>
      </c>
      <c r="Y130" s="2" t="str">
        <f>IF(SalesData[[#This Row],[Effective_Unit_Margin]]&lt;0,"Loss per Unit","Positive per Unit")</f>
        <v>Loss per Unit</v>
      </c>
    </row>
    <row r="131" spans="1:25" x14ac:dyDescent="0.3">
      <c r="A131">
        <v>1034</v>
      </c>
      <c r="B131" s="1">
        <v>45030</v>
      </c>
      <c r="C131" t="s">
        <v>41</v>
      </c>
      <c r="D131" t="s">
        <v>20</v>
      </c>
      <c r="E131">
        <v>3</v>
      </c>
      <c r="F131" t="s">
        <v>28</v>
      </c>
      <c r="G131">
        <v>3472.51</v>
      </c>
      <c r="H131">
        <v>3732</v>
      </c>
      <c r="I131" t="s">
        <v>29</v>
      </c>
      <c r="J131" s="2">
        <v>0.06</v>
      </c>
      <c r="K131" t="s">
        <v>17</v>
      </c>
      <c r="L131" t="s">
        <v>18</v>
      </c>
      <c r="M131" t="s">
        <v>50</v>
      </c>
      <c r="N131">
        <f>SalesData[[#This Row],[Quantity_Sold]]*SalesData[[#This Row],[Unit_Cost]]</f>
        <v>10417.530000000001</v>
      </c>
      <c r="O131">
        <f>SalesData[[#This Row],[Quantity_Sold]]*SalesData[[#This Row],[Unit_Price]]</f>
        <v>11196</v>
      </c>
      <c r="P131">
        <f>SalesData[[#This Row],[Gross_sales]]*(1-SalesData[[#This Row],[Discount]])</f>
        <v>10524.24</v>
      </c>
      <c r="Q131" s="2">
        <f>SalesData[[#This Row],[Sales_amount]]-SalesData[[#This Row],[Total_Cost]]</f>
        <v>106.70999999999913</v>
      </c>
      <c r="R131" s="2">
        <f>SalesData[[#This Row],[Profit]]/SalesData[[#This Row],[Sales_amount]]</f>
        <v>1.0139449499441207E-2</v>
      </c>
      <c r="S131" s="2">
        <f>SalesData[[#This Row],[Unit_Price]]-SalesData[[#This Row],[Unit_Cost]]</f>
        <v>259.48999999999978</v>
      </c>
      <c r="T131" s="10">
        <f>SalesData[[#This Row],[Unit_Margin]]/SalesData[[#This Row],[Unit_Price]]</f>
        <v>6.953108252947475E-2</v>
      </c>
      <c r="U131" s="2" t="str">
        <f>IF(SalesData[[#This Row],[Unit_Margin]]&lt;0, "Negative margin", "Positive margin")</f>
        <v>Positive margin</v>
      </c>
      <c r="V131" s="2" t="str">
        <f>IF(SalesData[[#This Row],[Profit]]&lt;0, "Loss", "Profit")</f>
        <v>Profit</v>
      </c>
      <c r="W131" s="2">
        <f>SalesData[[#This Row],[Unit_Price]]*(1-SalesData[[#This Row],[Discount]])</f>
        <v>3508.08</v>
      </c>
      <c r="X131" s="2">
        <f>SalesData[[#This Row],[Effective_Unit_Price]]-SalesData[[#This Row],[Unit_Cost]]</f>
        <v>35.569999999999709</v>
      </c>
      <c r="Y131" s="2" t="str">
        <f>IF(SalesData[[#This Row],[Effective_Unit_Margin]]&lt;0,"Loss per Unit","Positive per Unit")</f>
        <v>Positive per Unit</v>
      </c>
    </row>
    <row r="132" spans="1:25" x14ac:dyDescent="0.3">
      <c r="A132">
        <v>1033</v>
      </c>
      <c r="B132" s="1">
        <v>44940</v>
      </c>
      <c r="C132" t="s">
        <v>41</v>
      </c>
      <c r="D132" t="s">
        <v>20</v>
      </c>
      <c r="E132">
        <v>24</v>
      </c>
      <c r="F132" t="s">
        <v>28</v>
      </c>
      <c r="G132">
        <v>1345.67</v>
      </c>
      <c r="H132">
        <v>1367.76</v>
      </c>
      <c r="I132" t="s">
        <v>29</v>
      </c>
      <c r="J132" s="2">
        <v>0.06</v>
      </c>
      <c r="K132" t="s">
        <v>26</v>
      </c>
      <c r="L132" t="s">
        <v>18</v>
      </c>
      <c r="M132" t="s">
        <v>50</v>
      </c>
      <c r="N132">
        <f>SalesData[[#This Row],[Quantity_Sold]]*SalesData[[#This Row],[Unit_Cost]]</f>
        <v>32296.080000000002</v>
      </c>
      <c r="O132">
        <f>SalesData[[#This Row],[Quantity_Sold]]*SalesData[[#This Row],[Unit_Price]]</f>
        <v>32826.239999999998</v>
      </c>
      <c r="P132">
        <f>SalesData[[#This Row],[Gross_sales]]*(1-SalesData[[#This Row],[Discount]])</f>
        <v>30856.665599999997</v>
      </c>
      <c r="Q132" s="2">
        <f>SalesData[[#This Row],[Sales_amount]]-SalesData[[#This Row],[Total_Cost]]</f>
        <v>-1439.4144000000051</v>
      </c>
      <c r="R132" s="2">
        <f>SalesData[[#This Row],[Profit]]/SalesData[[#This Row],[Sales_amount]]</f>
        <v>-4.6648410384303E-2</v>
      </c>
      <c r="S132" s="2">
        <f>SalesData[[#This Row],[Unit_Price]]-SalesData[[#This Row],[Unit_Cost]]</f>
        <v>22.089999999999918</v>
      </c>
      <c r="T132" s="10">
        <f>SalesData[[#This Row],[Unit_Margin]]/SalesData[[#This Row],[Unit_Price]]</f>
        <v>1.6150494238755277E-2</v>
      </c>
      <c r="U132" s="2" t="str">
        <f>IF(SalesData[[#This Row],[Unit_Margin]]&lt;0, "Negative margin", "Positive margin")</f>
        <v>Positive margin</v>
      </c>
      <c r="V132" s="2" t="str">
        <f>IF(SalesData[[#This Row],[Profit]]&lt;0, "Loss", "Profit")</f>
        <v>Loss</v>
      </c>
      <c r="W132" s="2">
        <f>SalesData[[#This Row],[Unit_Price]]*(1-SalesData[[#This Row],[Discount]])</f>
        <v>1285.6943999999999</v>
      </c>
      <c r="X132" s="2">
        <f>SalesData[[#This Row],[Effective_Unit_Price]]-SalesData[[#This Row],[Unit_Cost]]</f>
        <v>-59.975600000000213</v>
      </c>
      <c r="Y132" s="2" t="str">
        <f>IF(SalesData[[#This Row],[Effective_Unit_Margin]]&lt;0,"Loss per Unit","Positive per Unit")</f>
        <v>Loss per Unit</v>
      </c>
    </row>
    <row r="133" spans="1:25" x14ac:dyDescent="0.3">
      <c r="A133">
        <v>1048</v>
      </c>
      <c r="B133" s="1">
        <v>45214</v>
      </c>
      <c r="C133" t="s">
        <v>32</v>
      </c>
      <c r="D133" t="s">
        <v>14</v>
      </c>
      <c r="E133">
        <v>42</v>
      </c>
      <c r="F133" t="s">
        <v>34</v>
      </c>
      <c r="G133">
        <v>3139.99</v>
      </c>
      <c r="H133">
        <v>3349.37</v>
      </c>
      <c r="I133" t="s">
        <v>16</v>
      </c>
      <c r="J133" s="2">
        <v>0.13</v>
      </c>
      <c r="K133" t="s">
        <v>30</v>
      </c>
      <c r="L133" t="s">
        <v>21</v>
      </c>
      <c r="M133" t="s">
        <v>52</v>
      </c>
      <c r="N133">
        <f>SalesData[[#This Row],[Quantity_Sold]]*SalesData[[#This Row],[Unit_Cost]]</f>
        <v>131879.57999999999</v>
      </c>
      <c r="O133">
        <f>SalesData[[#This Row],[Quantity_Sold]]*SalesData[[#This Row],[Unit_Price]]</f>
        <v>140673.54</v>
      </c>
      <c r="P133">
        <f>SalesData[[#This Row],[Gross_sales]]*(1-SalesData[[#This Row],[Discount]])</f>
        <v>122385.9798</v>
      </c>
      <c r="Q133" s="2">
        <f>SalesData[[#This Row],[Sales_amount]]-SalesData[[#This Row],[Total_Cost]]</f>
        <v>-9493.6001999999862</v>
      </c>
      <c r="R133" s="2">
        <f>SalesData[[#This Row],[Profit]]/SalesData[[#This Row],[Sales_amount]]</f>
        <v>-7.7570978436534821E-2</v>
      </c>
      <c r="S133" s="2">
        <f>SalesData[[#This Row],[Unit_Price]]-SalesData[[#This Row],[Unit_Cost]]</f>
        <v>209.38000000000011</v>
      </c>
      <c r="T133" s="10">
        <f>SalesData[[#This Row],[Unit_Margin]]/SalesData[[#This Row],[Unit_Price]]</f>
        <v>6.2513248760214649E-2</v>
      </c>
      <c r="U133" s="2" t="str">
        <f>IF(SalesData[[#This Row],[Unit_Margin]]&lt;0, "Negative margin", "Positive margin")</f>
        <v>Positive margin</v>
      </c>
      <c r="V133" s="2" t="str">
        <f>IF(SalesData[[#This Row],[Profit]]&lt;0, "Loss", "Profit")</f>
        <v>Loss</v>
      </c>
      <c r="W133" s="2">
        <f>SalesData[[#This Row],[Unit_Price]]*(1-SalesData[[#This Row],[Discount]])</f>
        <v>2913.9519</v>
      </c>
      <c r="X133" s="2">
        <f>SalesData[[#This Row],[Effective_Unit_Price]]-SalesData[[#This Row],[Unit_Cost]]</f>
        <v>-226.03809999999976</v>
      </c>
      <c r="Y133" s="2" t="str">
        <f>IF(SalesData[[#This Row],[Effective_Unit_Margin]]&lt;0,"Loss per Unit","Positive per Unit")</f>
        <v>Loss per Unit</v>
      </c>
    </row>
    <row r="134" spans="1:25" x14ac:dyDescent="0.3">
      <c r="A134">
        <v>1023</v>
      </c>
      <c r="B134" s="1">
        <v>45105</v>
      </c>
      <c r="C134" t="s">
        <v>37</v>
      </c>
      <c r="D134" t="s">
        <v>33</v>
      </c>
      <c r="E134">
        <v>9</v>
      </c>
      <c r="F134" t="s">
        <v>28</v>
      </c>
      <c r="G134">
        <v>4155.46</v>
      </c>
      <c r="H134">
        <v>4273.6000000000004</v>
      </c>
      <c r="I134" t="s">
        <v>16</v>
      </c>
      <c r="J134" s="2">
        <v>0.25</v>
      </c>
      <c r="K134" t="s">
        <v>17</v>
      </c>
      <c r="L134" t="s">
        <v>21</v>
      </c>
      <c r="M134" t="s">
        <v>47</v>
      </c>
      <c r="N134">
        <f>SalesData[[#This Row],[Quantity_Sold]]*SalesData[[#This Row],[Unit_Cost]]</f>
        <v>37399.14</v>
      </c>
      <c r="O134">
        <f>SalesData[[#This Row],[Quantity_Sold]]*SalesData[[#This Row],[Unit_Price]]</f>
        <v>38462.400000000001</v>
      </c>
      <c r="P134">
        <f>SalesData[[#This Row],[Gross_sales]]*(1-SalesData[[#This Row],[Discount]])</f>
        <v>28846.800000000003</v>
      </c>
      <c r="Q134" s="2">
        <f>SalesData[[#This Row],[Sales_amount]]-SalesData[[#This Row],[Total_Cost]]</f>
        <v>-8552.3399999999965</v>
      </c>
      <c r="R134" s="2">
        <f>SalesData[[#This Row],[Profit]]/SalesData[[#This Row],[Sales_amount]]</f>
        <v>-0.2964744789716709</v>
      </c>
      <c r="S134" s="2">
        <f>SalesData[[#This Row],[Unit_Price]]-SalesData[[#This Row],[Unit_Cost]]</f>
        <v>118.14000000000033</v>
      </c>
      <c r="T134" s="10">
        <f>SalesData[[#This Row],[Unit_Margin]]/SalesData[[#This Row],[Unit_Price]]</f>
        <v>2.7644140771246797E-2</v>
      </c>
      <c r="U134" s="2" t="str">
        <f>IF(SalesData[[#This Row],[Unit_Margin]]&lt;0, "Negative margin", "Positive margin")</f>
        <v>Positive margin</v>
      </c>
      <c r="V134" s="2" t="str">
        <f>IF(SalesData[[#This Row],[Profit]]&lt;0, "Loss", "Profit")</f>
        <v>Loss</v>
      </c>
      <c r="W134" s="2">
        <f>SalesData[[#This Row],[Unit_Price]]*(1-SalesData[[#This Row],[Discount]])</f>
        <v>3205.2000000000003</v>
      </c>
      <c r="X134" s="2">
        <f>SalesData[[#This Row],[Effective_Unit_Price]]-SalesData[[#This Row],[Unit_Cost]]</f>
        <v>-950.25999999999976</v>
      </c>
      <c r="Y134" s="2" t="str">
        <f>IF(SalesData[[#This Row],[Effective_Unit_Margin]]&lt;0,"Loss per Unit","Positive per Unit")</f>
        <v>Loss per Unit</v>
      </c>
    </row>
    <row r="135" spans="1:25" x14ac:dyDescent="0.3">
      <c r="A135">
        <v>1062</v>
      </c>
      <c r="B135" s="1">
        <v>45051</v>
      </c>
      <c r="C135" t="s">
        <v>37</v>
      </c>
      <c r="D135" t="s">
        <v>24</v>
      </c>
      <c r="E135">
        <v>26</v>
      </c>
      <c r="F135" t="s">
        <v>28</v>
      </c>
      <c r="G135">
        <v>992.17</v>
      </c>
      <c r="H135">
        <v>1263.49</v>
      </c>
      <c r="I135" t="s">
        <v>16</v>
      </c>
      <c r="J135" s="2">
        <v>0.25</v>
      </c>
      <c r="K135" t="s">
        <v>26</v>
      </c>
      <c r="L135" t="s">
        <v>21</v>
      </c>
      <c r="M135" t="s">
        <v>38</v>
      </c>
      <c r="N135">
        <f>SalesData[[#This Row],[Quantity_Sold]]*SalesData[[#This Row],[Unit_Cost]]</f>
        <v>25796.42</v>
      </c>
      <c r="O135">
        <f>SalesData[[#This Row],[Quantity_Sold]]*SalesData[[#This Row],[Unit_Price]]</f>
        <v>32850.74</v>
      </c>
      <c r="P135">
        <f>SalesData[[#This Row],[Gross_sales]]*(1-SalesData[[#This Row],[Discount]])</f>
        <v>24638.055</v>
      </c>
      <c r="Q135" s="2">
        <f>SalesData[[#This Row],[Sales_amount]]-SalesData[[#This Row],[Total_Cost]]</f>
        <v>-1158.364999999998</v>
      </c>
      <c r="R135" s="2">
        <f>SalesData[[#This Row],[Profit]]/SalesData[[#This Row],[Sales_amount]]</f>
        <v>-4.7015277788770175E-2</v>
      </c>
      <c r="S135" s="2">
        <f>SalesData[[#This Row],[Unit_Price]]-SalesData[[#This Row],[Unit_Cost]]</f>
        <v>271.32000000000005</v>
      </c>
      <c r="T135" s="10">
        <f>SalesData[[#This Row],[Unit_Margin]]/SalesData[[#This Row],[Unit_Price]]</f>
        <v>0.21473854165842235</v>
      </c>
      <c r="U135" s="2" t="str">
        <f>IF(SalesData[[#This Row],[Unit_Margin]]&lt;0, "Negative margin", "Positive margin")</f>
        <v>Positive margin</v>
      </c>
      <c r="V135" s="2" t="str">
        <f>IF(SalesData[[#This Row],[Profit]]&lt;0, "Loss", "Profit")</f>
        <v>Loss</v>
      </c>
      <c r="W135" s="2">
        <f>SalesData[[#This Row],[Unit_Price]]*(1-SalesData[[#This Row],[Discount]])</f>
        <v>947.61750000000006</v>
      </c>
      <c r="X135" s="2">
        <f>SalesData[[#This Row],[Effective_Unit_Price]]-SalesData[[#This Row],[Unit_Cost]]</f>
        <v>-44.552499999999895</v>
      </c>
      <c r="Y135" s="2" t="str">
        <f>IF(SalesData[[#This Row],[Effective_Unit_Margin]]&lt;0,"Loss per Unit","Positive per Unit")</f>
        <v>Loss per Unit</v>
      </c>
    </row>
    <row r="136" spans="1:25" x14ac:dyDescent="0.3">
      <c r="A136">
        <v>1088</v>
      </c>
      <c r="B136" s="1">
        <v>45279</v>
      </c>
      <c r="C136" t="s">
        <v>41</v>
      </c>
      <c r="D136" t="s">
        <v>33</v>
      </c>
      <c r="E136">
        <v>20</v>
      </c>
      <c r="F136" t="s">
        <v>28</v>
      </c>
      <c r="G136">
        <v>4590.24</v>
      </c>
      <c r="H136">
        <v>5088.28</v>
      </c>
      <c r="I136" t="s">
        <v>29</v>
      </c>
      <c r="J136" s="2">
        <v>0.16</v>
      </c>
      <c r="K136" t="s">
        <v>26</v>
      </c>
      <c r="L136" t="s">
        <v>21</v>
      </c>
      <c r="M136" t="s">
        <v>51</v>
      </c>
      <c r="N136">
        <f>SalesData[[#This Row],[Quantity_Sold]]*SalesData[[#This Row],[Unit_Cost]]</f>
        <v>91804.799999999988</v>
      </c>
      <c r="O136">
        <f>SalesData[[#This Row],[Quantity_Sold]]*SalesData[[#This Row],[Unit_Price]]</f>
        <v>101765.59999999999</v>
      </c>
      <c r="P136">
        <f>SalesData[[#This Row],[Gross_sales]]*(1-SalesData[[#This Row],[Discount]])</f>
        <v>85483.103999999992</v>
      </c>
      <c r="Q136" s="2">
        <f>SalesData[[#This Row],[Sales_amount]]-SalesData[[#This Row],[Total_Cost]]</f>
        <v>-6321.6959999999963</v>
      </c>
      <c r="R136" s="2">
        <f>SalesData[[#This Row],[Profit]]/SalesData[[#This Row],[Sales_amount]]</f>
        <v>-7.3952578979818009E-2</v>
      </c>
      <c r="S136" s="2">
        <f>SalesData[[#This Row],[Unit_Price]]-SalesData[[#This Row],[Unit_Cost]]</f>
        <v>498.03999999999996</v>
      </c>
      <c r="T136" s="10">
        <f>SalesData[[#This Row],[Unit_Margin]]/SalesData[[#This Row],[Unit_Price]]</f>
        <v>9.7879833656952839E-2</v>
      </c>
      <c r="U136" s="2" t="str">
        <f>IF(SalesData[[#This Row],[Unit_Margin]]&lt;0, "Negative margin", "Positive margin")</f>
        <v>Positive margin</v>
      </c>
      <c r="V136" s="2" t="str">
        <f>IF(SalesData[[#This Row],[Profit]]&lt;0, "Loss", "Profit")</f>
        <v>Loss</v>
      </c>
      <c r="W136" s="2">
        <f>SalesData[[#This Row],[Unit_Price]]*(1-SalesData[[#This Row],[Discount]])</f>
        <v>4274.1551999999992</v>
      </c>
      <c r="X136" s="2">
        <f>SalesData[[#This Row],[Effective_Unit_Price]]-SalesData[[#This Row],[Unit_Cost]]</f>
        <v>-316.08480000000054</v>
      </c>
      <c r="Y136" s="2" t="str">
        <f>IF(SalesData[[#This Row],[Effective_Unit_Margin]]&lt;0,"Loss per Unit","Positive per Unit")</f>
        <v>Loss per Unit</v>
      </c>
    </row>
    <row r="137" spans="1:25" x14ac:dyDescent="0.3">
      <c r="A137">
        <v>1037</v>
      </c>
      <c r="B137" s="1">
        <v>44949</v>
      </c>
      <c r="C137" t="s">
        <v>13</v>
      </c>
      <c r="D137" t="s">
        <v>14</v>
      </c>
      <c r="E137">
        <v>40</v>
      </c>
      <c r="F137" t="s">
        <v>28</v>
      </c>
      <c r="G137">
        <v>2790.11</v>
      </c>
      <c r="H137">
        <v>3192.37</v>
      </c>
      <c r="I137" t="s">
        <v>16</v>
      </c>
      <c r="J137" s="2">
        <v>0.26</v>
      </c>
      <c r="K137" t="s">
        <v>26</v>
      </c>
      <c r="L137" t="s">
        <v>18</v>
      </c>
      <c r="M137" t="s">
        <v>19</v>
      </c>
      <c r="N137">
        <f>SalesData[[#This Row],[Quantity_Sold]]*SalesData[[#This Row],[Unit_Cost]]</f>
        <v>111604.40000000001</v>
      </c>
      <c r="O137">
        <f>SalesData[[#This Row],[Quantity_Sold]]*SalesData[[#This Row],[Unit_Price]]</f>
        <v>127694.79999999999</v>
      </c>
      <c r="P137">
        <f>SalesData[[#This Row],[Gross_sales]]*(1-SalesData[[#This Row],[Discount]])</f>
        <v>94494.151999999987</v>
      </c>
      <c r="Q137" s="2">
        <f>SalesData[[#This Row],[Sales_amount]]-SalesData[[#This Row],[Total_Cost]]</f>
        <v>-17110.248000000021</v>
      </c>
      <c r="R137" s="2">
        <f>SalesData[[#This Row],[Profit]]/SalesData[[#This Row],[Sales_amount]]</f>
        <v>-0.18107203078556675</v>
      </c>
      <c r="S137" s="2">
        <f>SalesData[[#This Row],[Unit_Price]]-SalesData[[#This Row],[Unit_Cost]]</f>
        <v>402.25999999999976</v>
      </c>
      <c r="T137" s="10">
        <f>SalesData[[#This Row],[Unit_Margin]]/SalesData[[#This Row],[Unit_Price]]</f>
        <v>0.12600669721868071</v>
      </c>
      <c r="U137" s="2" t="str">
        <f>IF(SalesData[[#This Row],[Unit_Margin]]&lt;0, "Negative margin", "Positive margin")</f>
        <v>Positive margin</v>
      </c>
      <c r="V137" s="2" t="str">
        <f>IF(SalesData[[#This Row],[Profit]]&lt;0, "Loss", "Profit")</f>
        <v>Loss</v>
      </c>
      <c r="W137" s="2">
        <f>SalesData[[#This Row],[Unit_Price]]*(1-SalesData[[#This Row],[Discount]])</f>
        <v>2362.3537999999999</v>
      </c>
      <c r="X137" s="2">
        <f>SalesData[[#This Row],[Effective_Unit_Price]]-SalesData[[#This Row],[Unit_Cost]]</f>
        <v>-427.75620000000026</v>
      </c>
      <c r="Y137" s="2" t="str">
        <f>IF(SalesData[[#This Row],[Effective_Unit_Margin]]&lt;0,"Loss per Unit","Positive per Unit")</f>
        <v>Loss per Unit</v>
      </c>
    </row>
    <row r="138" spans="1:25" x14ac:dyDescent="0.3">
      <c r="A138">
        <v>1099</v>
      </c>
      <c r="B138" s="1">
        <v>44989</v>
      </c>
      <c r="C138" t="s">
        <v>23</v>
      </c>
      <c r="D138" t="s">
        <v>33</v>
      </c>
      <c r="E138">
        <v>10</v>
      </c>
      <c r="F138" t="s">
        <v>15</v>
      </c>
      <c r="G138">
        <v>1531.2</v>
      </c>
      <c r="H138">
        <v>1955.56</v>
      </c>
      <c r="I138" t="s">
        <v>29</v>
      </c>
      <c r="J138" s="2">
        <v>0</v>
      </c>
      <c r="K138" t="s">
        <v>30</v>
      </c>
      <c r="L138" t="s">
        <v>18</v>
      </c>
      <c r="M138" t="s">
        <v>49</v>
      </c>
      <c r="N138">
        <f>SalesData[[#This Row],[Quantity_Sold]]*SalesData[[#This Row],[Unit_Cost]]</f>
        <v>15312</v>
      </c>
      <c r="O138">
        <f>SalesData[[#This Row],[Quantity_Sold]]*SalesData[[#This Row],[Unit_Price]]</f>
        <v>19555.599999999999</v>
      </c>
      <c r="P138">
        <f>SalesData[[#This Row],[Gross_sales]]*(1-SalesData[[#This Row],[Discount]])</f>
        <v>19555.599999999999</v>
      </c>
      <c r="Q138" s="2">
        <f>SalesData[[#This Row],[Sales_amount]]-SalesData[[#This Row],[Total_Cost]]</f>
        <v>4243.5999999999985</v>
      </c>
      <c r="R138" s="2">
        <f>SalesData[[#This Row],[Profit]]/SalesData[[#This Row],[Sales_amount]]</f>
        <v>0.21700177954141006</v>
      </c>
      <c r="S138" s="2">
        <f>SalesData[[#This Row],[Unit_Price]]-SalesData[[#This Row],[Unit_Cost]]</f>
        <v>424.3599999999999</v>
      </c>
      <c r="T138" s="10">
        <f>SalesData[[#This Row],[Unit_Margin]]/SalesData[[#This Row],[Unit_Price]]</f>
        <v>0.21700177954141009</v>
      </c>
      <c r="U138" s="2" t="str">
        <f>IF(SalesData[[#This Row],[Unit_Margin]]&lt;0, "Negative margin", "Positive margin")</f>
        <v>Positive margin</v>
      </c>
      <c r="V138" s="2" t="str">
        <f>IF(SalesData[[#This Row],[Profit]]&lt;0, "Loss", "Profit")</f>
        <v>Profit</v>
      </c>
      <c r="W138" s="2">
        <f>SalesData[[#This Row],[Unit_Price]]*(1-SalesData[[#This Row],[Discount]])</f>
        <v>1955.56</v>
      </c>
      <c r="X138" s="2">
        <f>SalesData[[#This Row],[Effective_Unit_Price]]-SalesData[[#This Row],[Unit_Cost]]</f>
        <v>424.3599999999999</v>
      </c>
      <c r="Y138" s="2" t="str">
        <f>IF(SalesData[[#This Row],[Effective_Unit_Margin]]&lt;0,"Loss per Unit","Positive per Unit")</f>
        <v>Positive per Unit</v>
      </c>
    </row>
    <row r="139" spans="1:25" x14ac:dyDescent="0.3">
      <c r="A139">
        <v>1044</v>
      </c>
      <c r="B139" s="1">
        <v>45069</v>
      </c>
      <c r="C139" t="s">
        <v>13</v>
      </c>
      <c r="D139" t="s">
        <v>20</v>
      </c>
      <c r="E139">
        <v>19</v>
      </c>
      <c r="F139" t="s">
        <v>25</v>
      </c>
      <c r="G139">
        <v>2182.75</v>
      </c>
      <c r="H139">
        <v>2504.0299999999902</v>
      </c>
      <c r="I139" t="s">
        <v>29</v>
      </c>
      <c r="J139" s="2">
        <v>0.01</v>
      </c>
      <c r="K139" t="s">
        <v>26</v>
      </c>
      <c r="L139" t="s">
        <v>18</v>
      </c>
      <c r="M139" t="s">
        <v>22</v>
      </c>
      <c r="N139">
        <f>SalesData[[#This Row],[Quantity_Sold]]*SalesData[[#This Row],[Unit_Cost]]</f>
        <v>41472.25</v>
      </c>
      <c r="O139">
        <f>SalesData[[#This Row],[Quantity_Sold]]*SalesData[[#This Row],[Unit_Price]]</f>
        <v>47576.569999999811</v>
      </c>
      <c r="P139">
        <f>SalesData[[#This Row],[Gross_sales]]*(1-SalesData[[#This Row],[Discount]])</f>
        <v>47100.804299999814</v>
      </c>
      <c r="Q139" s="2">
        <f>SalesData[[#This Row],[Sales_amount]]-SalesData[[#This Row],[Total_Cost]]</f>
        <v>5628.5542999998142</v>
      </c>
      <c r="R139" s="2">
        <f>SalesData[[#This Row],[Profit]]/SalesData[[#This Row],[Sales_amount]]</f>
        <v>0.11950017380063797</v>
      </c>
      <c r="S139" s="2">
        <f>SalesData[[#This Row],[Unit_Price]]-SalesData[[#This Row],[Unit_Cost]]</f>
        <v>321.2799999999902</v>
      </c>
      <c r="T139" s="10">
        <f>SalesData[[#This Row],[Unit_Margin]]/SalesData[[#This Row],[Unit_Price]]</f>
        <v>0.12830517206263162</v>
      </c>
      <c r="U139" s="2" t="str">
        <f>IF(SalesData[[#This Row],[Unit_Margin]]&lt;0, "Negative margin", "Positive margin")</f>
        <v>Positive margin</v>
      </c>
      <c r="V139" s="2" t="str">
        <f>IF(SalesData[[#This Row],[Profit]]&lt;0, "Loss", "Profit")</f>
        <v>Profit</v>
      </c>
      <c r="W139" s="2">
        <f>SalesData[[#This Row],[Unit_Price]]*(1-SalesData[[#This Row],[Discount]])</f>
        <v>2478.9896999999901</v>
      </c>
      <c r="X139" s="2">
        <f>SalesData[[#This Row],[Effective_Unit_Price]]-SalesData[[#This Row],[Unit_Cost]]</f>
        <v>296.23969999999008</v>
      </c>
      <c r="Y139" s="2" t="str">
        <f>IF(SalesData[[#This Row],[Effective_Unit_Margin]]&lt;0,"Loss per Unit","Positive per Unit")</f>
        <v>Positive per Unit</v>
      </c>
    </row>
    <row r="140" spans="1:25" x14ac:dyDescent="0.3">
      <c r="A140">
        <v>1086</v>
      </c>
      <c r="B140" s="1">
        <v>45079</v>
      </c>
      <c r="C140" t="s">
        <v>13</v>
      </c>
      <c r="D140" t="s">
        <v>33</v>
      </c>
      <c r="E140">
        <v>3</v>
      </c>
      <c r="F140" t="s">
        <v>34</v>
      </c>
      <c r="G140">
        <v>1595.35</v>
      </c>
      <c r="H140">
        <v>1625.70999999999</v>
      </c>
      <c r="I140" t="s">
        <v>29</v>
      </c>
      <c r="J140" s="2">
        <v>0.27</v>
      </c>
      <c r="K140" t="s">
        <v>17</v>
      </c>
      <c r="L140" t="s">
        <v>18</v>
      </c>
      <c r="M140" t="s">
        <v>45</v>
      </c>
      <c r="N140">
        <f>SalesData[[#This Row],[Quantity_Sold]]*SalesData[[#This Row],[Unit_Cost]]</f>
        <v>4786.0499999999993</v>
      </c>
      <c r="O140">
        <f>SalesData[[#This Row],[Quantity_Sold]]*SalesData[[#This Row],[Unit_Price]]</f>
        <v>4877.1299999999701</v>
      </c>
      <c r="P140">
        <f>SalesData[[#This Row],[Gross_sales]]*(1-SalesData[[#This Row],[Discount]])</f>
        <v>3560.3048999999783</v>
      </c>
      <c r="Q140" s="2">
        <f>SalesData[[#This Row],[Sales_amount]]-SalesData[[#This Row],[Total_Cost]]</f>
        <v>-1225.745100000021</v>
      </c>
      <c r="R140" s="2">
        <f>SalesData[[#This Row],[Profit]]/SalesData[[#This Row],[Sales_amount]]</f>
        <v>-0.34428093504015023</v>
      </c>
      <c r="S140" s="2">
        <f>SalesData[[#This Row],[Unit_Price]]-SalesData[[#This Row],[Unit_Cost]]</f>
        <v>30.359999999990123</v>
      </c>
      <c r="T140" s="10">
        <f>SalesData[[#This Row],[Unit_Margin]]/SalesData[[#This Row],[Unit_Price]]</f>
        <v>1.8674917420690228E-2</v>
      </c>
      <c r="U140" s="2" t="str">
        <f>IF(SalesData[[#This Row],[Unit_Margin]]&lt;0, "Negative margin", "Positive margin")</f>
        <v>Positive margin</v>
      </c>
      <c r="V140" s="2" t="str">
        <f>IF(SalesData[[#This Row],[Profit]]&lt;0, "Loss", "Profit")</f>
        <v>Loss</v>
      </c>
      <c r="W140" s="2">
        <f>SalesData[[#This Row],[Unit_Price]]*(1-SalesData[[#This Row],[Discount]])</f>
        <v>1186.7682999999927</v>
      </c>
      <c r="X140" s="2">
        <f>SalesData[[#This Row],[Effective_Unit_Price]]-SalesData[[#This Row],[Unit_Cost]]</f>
        <v>-408.58170000000723</v>
      </c>
      <c r="Y140" s="2" t="str">
        <f>IF(SalesData[[#This Row],[Effective_Unit_Margin]]&lt;0,"Loss per Unit","Positive per Unit")</f>
        <v>Loss per Unit</v>
      </c>
    </row>
    <row r="141" spans="1:25" x14ac:dyDescent="0.3">
      <c r="A141">
        <v>1091</v>
      </c>
      <c r="B141" s="1">
        <v>45071</v>
      </c>
      <c r="C141" t="s">
        <v>41</v>
      </c>
      <c r="D141" t="s">
        <v>14</v>
      </c>
      <c r="E141">
        <v>24</v>
      </c>
      <c r="F141" t="s">
        <v>28</v>
      </c>
      <c r="G141">
        <v>3639.3</v>
      </c>
      <c r="H141">
        <v>3750.63</v>
      </c>
      <c r="I141" t="s">
        <v>29</v>
      </c>
      <c r="J141" s="2">
        <v>0.23</v>
      </c>
      <c r="K141" t="s">
        <v>26</v>
      </c>
      <c r="L141" t="s">
        <v>21</v>
      </c>
      <c r="M141" t="s">
        <v>48</v>
      </c>
      <c r="N141">
        <f>SalesData[[#This Row],[Quantity_Sold]]*SalesData[[#This Row],[Unit_Cost]]</f>
        <v>87343.200000000012</v>
      </c>
      <c r="O141">
        <f>SalesData[[#This Row],[Quantity_Sold]]*SalesData[[#This Row],[Unit_Price]]</f>
        <v>90015.12</v>
      </c>
      <c r="P141">
        <f>SalesData[[#This Row],[Gross_sales]]*(1-SalesData[[#This Row],[Discount]])</f>
        <v>69311.642399999997</v>
      </c>
      <c r="Q141" s="2">
        <f>SalesData[[#This Row],[Sales_amount]]-SalesData[[#This Row],[Total_Cost]]</f>
        <v>-18031.557600000015</v>
      </c>
      <c r="R141" s="2">
        <f>SalesData[[#This Row],[Profit]]/SalesData[[#This Row],[Sales_amount]]</f>
        <v>-0.26015193083925559</v>
      </c>
      <c r="S141" s="2">
        <f>SalesData[[#This Row],[Unit_Price]]-SalesData[[#This Row],[Unit_Cost]]</f>
        <v>111.32999999999993</v>
      </c>
      <c r="T141" s="10">
        <f>SalesData[[#This Row],[Unit_Margin]]/SalesData[[#This Row],[Unit_Price]]</f>
        <v>2.9683013253773347E-2</v>
      </c>
      <c r="U141" s="2" t="str">
        <f>IF(SalesData[[#This Row],[Unit_Margin]]&lt;0, "Negative margin", "Positive margin")</f>
        <v>Positive margin</v>
      </c>
      <c r="V141" s="2" t="str">
        <f>IF(SalesData[[#This Row],[Profit]]&lt;0, "Loss", "Profit")</f>
        <v>Loss</v>
      </c>
      <c r="W141" s="2">
        <f>SalesData[[#This Row],[Unit_Price]]*(1-SalesData[[#This Row],[Discount]])</f>
        <v>2887.9851000000003</v>
      </c>
      <c r="X141" s="2">
        <f>SalesData[[#This Row],[Effective_Unit_Price]]-SalesData[[#This Row],[Unit_Cost]]</f>
        <v>-751.31489999999985</v>
      </c>
      <c r="Y141" s="2" t="str">
        <f>IF(SalesData[[#This Row],[Effective_Unit_Margin]]&lt;0,"Loss per Unit","Positive per Unit")</f>
        <v>Loss per Unit</v>
      </c>
    </row>
    <row r="142" spans="1:25" x14ac:dyDescent="0.3">
      <c r="A142">
        <v>1035</v>
      </c>
      <c r="B142" s="1">
        <v>45151</v>
      </c>
      <c r="C142" t="s">
        <v>41</v>
      </c>
      <c r="D142" t="s">
        <v>20</v>
      </c>
      <c r="E142">
        <v>5</v>
      </c>
      <c r="F142" t="s">
        <v>28</v>
      </c>
      <c r="G142">
        <v>3991.69</v>
      </c>
      <c r="H142">
        <v>4454.97</v>
      </c>
      <c r="I142" t="s">
        <v>29</v>
      </c>
      <c r="J142" s="2">
        <v>0.14000000000000001</v>
      </c>
      <c r="K142" t="s">
        <v>30</v>
      </c>
      <c r="L142" t="s">
        <v>21</v>
      </c>
      <c r="M142" t="s">
        <v>50</v>
      </c>
      <c r="N142">
        <f>SalesData[[#This Row],[Quantity_Sold]]*SalesData[[#This Row],[Unit_Cost]]</f>
        <v>19958.45</v>
      </c>
      <c r="O142">
        <f>SalesData[[#This Row],[Quantity_Sold]]*SalesData[[#This Row],[Unit_Price]]</f>
        <v>22274.850000000002</v>
      </c>
      <c r="P142">
        <f>SalesData[[#This Row],[Gross_sales]]*(1-SalesData[[#This Row],[Discount]])</f>
        <v>19156.371000000003</v>
      </c>
      <c r="Q142" s="2">
        <f>SalesData[[#This Row],[Sales_amount]]-SalesData[[#This Row],[Total_Cost]]</f>
        <v>-802.0789999999979</v>
      </c>
      <c r="R142" s="2">
        <f>SalesData[[#This Row],[Profit]]/SalesData[[#This Row],[Sales_amount]]</f>
        <v>-4.1870091156618224E-2</v>
      </c>
      <c r="S142" s="2">
        <f>SalesData[[#This Row],[Unit_Price]]-SalesData[[#This Row],[Unit_Cost]]</f>
        <v>463.2800000000002</v>
      </c>
      <c r="T142" s="10">
        <f>SalesData[[#This Row],[Unit_Margin]]/SalesData[[#This Row],[Unit_Price]]</f>
        <v>0.10399172160530827</v>
      </c>
      <c r="U142" s="2" t="str">
        <f>IF(SalesData[[#This Row],[Unit_Margin]]&lt;0, "Negative margin", "Positive margin")</f>
        <v>Positive margin</v>
      </c>
      <c r="V142" s="2" t="str">
        <f>IF(SalesData[[#This Row],[Profit]]&lt;0, "Loss", "Profit")</f>
        <v>Loss</v>
      </c>
      <c r="W142" s="2">
        <f>SalesData[[#This Row],[Unit_Price]]*(1-SalesData[[#This Row],[Discount]])</f>
        <v>3831.2742000000003</v>
      </c>
      <c r="X142" s="2">
        <f>SalesData[[#This Row],[Effective_Unit_Price]]-SalesData[[#This Row],[Unit_Cost]]</f>
        <v>-160.41579999999976</v>
      </c>
      <c r="Y142" s="2" t="str">
        <f>IF(SalesData[[#This Row],[Effective_Unit_Margin]]&lt;0,"Loss per Unit","Positive per Unit")</f>
        <v>Loss per Unit</v>
      </c>
    </row>
    <row r="143" spans="1:25" x14ac:dyDescent="0.3">
      <c r="A143">
        <v>1065</v>
      </c>
      <c r="B143" s="1">
        <v>45235</v>
      </c>
      <c r="C143" t="s">
        <v>41</v>
      </c>
      <c r="D143" t="s">
        <v>33</v>
      </c>
      <c r="E143">
        <v>3</v>
      </c>
      <c r="F143" t="s">
        <v>15</v>
      </c>
      <c r="G143">
        <v>4173.04</v>
      </c>
      <c r="H143">
        <v>4362.4399999999996</v>
      </c>
      <c r="I143" t="s">
        <v>29</v>
      </c>
      <c r="J143" s="2">
        <v>0.23</v>
      </c>
      <c r="K143" t="s">
        <v>26</v>
      </c>
      <c r="L143" t="s">
        <v>21</v>
      </c>
      <c r="M143" t="s">
        <v>51</v>
      </c>
      <c r="N143">
        <f>SalesData[[#This Row],[Quantity_Sold]]*SalesData[[#This Row],[Unit_Cost]]</f>
        <v>12519.119999999999</v>
      </c>
      <c r="O143">
        <f>SalesData[[#This Row],[Quantity_Sold]]*SalesData[[#This Row],[Unit_Price]]</f>
        <v>13087.32</v>
      </c>
      <c r="P143">
        <f>SalesData[[#This Row],[Gross_sales]]*(1-SalesData[[#This Row],[Discount]])</f>
        <v>10077.2364</v>
      </c>
      <c r="Q143" s="2">
        <f>SalesData[[#This Row],[Sales_amount]]-SalesData[[#This Row],[Total_Cost]]</f>
        <v>-2441.8835999999992</v>
      </c>
      <c r="R143" s="2">
        <f>SalesData[[#This Row],[Profit]]/SalesData[[#This Row],[Sales_amount]]</f>
        <v>-0.24231679233008757</v>
      </c>
      <c r="S143" s="2">
        <f>SalesData[[#This Row],[Unit_Price]]-SalesData[[#This Row],[Unit_Cost]]</f>
        <v>189.39999999999964</v>
      </c>
      <c r="T143" s="10">
        <f>SalesData[[#This Row],[Unit_Margin]]/SalesData[[#This Row],[Unit_Price]]</f>
        <v>4.3416069905832438E-2</v>
      </c>
      <c r="U143" s="2" t="str">
        <f>IF(SalesData[[#This Row],[Unit_Margin]]&lt;0, "Negative margin", "Positive margin")</f>
        <v>Positive margin</v>
      </c>
      <c r="V143" s="2" t="str">
        <f>IF(SalesData[[#This Row],[Profit]]&lt;0, "Loss", "Profit")</f>
        <v>Loss</v>
      </c>
      <c r="W143" s="2">
        <f>SalesData[[#This Row],[Unit_Price]]*(1-SalesData[[#This Row],[Discount]])</f>
        <v>3359.0787999999998</v>
      </c>
      <c r="X143" s="2">
        <f>SalesData[[#This Row],[Effective_Unit_Price]]-SalesData[[#This Row],[Unit_Cost]]</f>
        <v>-813.96120000000019</v>
      </c>
      <c r="Y143" s="2" t="str">
        <f>IF(SalesData[[#This Row],[Effective_Unit_Margin]]&lt;0,"Loss per Unit","Positive per Unit")</f>
        <v>Loss per Unit</v>
      </c>
    </row>
    <row r="144" spans="1:25" x14ac:dyDescent="0.3">
      <c r="A144">
        <v>1099</v>
      </c>
      <c r="B144" s="1">
        <v>45030</v>
      </c>
      <c r="C144" t="s">
        <v>41</v>
      </c>
      <c r="D144" t="s">
        <v>33</v>
      </c>
      <c r="E144">
        <v>27</v>
      </c>
      <c r="F144" t="s">
        <v>25</v>
      </c>
      <c r="G144">
        <v>4929.55</v>
      </c>
      <c r="H144">
        <v>4990.33</v>
      </c>
      <c r="I144" t="s">
        <v>16</v>
      </c>
      <c r="J144" s="2">
        <v>0.28999999999999998</v>
      </c>
      <c r="K144" t="s">
        <v>30</v>
      </c>
      <c r="L144" t="s">
        <v>18</v>
      </c>
      <c r="M144" t="s">
        <v>51</v>
      </c>
      <c r="N144">
        <f>SalesData[[#This Row],[Quantity_Sold]]*SalesData[[#This Row],[Unit_Cost]]</f>
        <v>133097.85</v>
      </c>
      <c r="O144">
        <f>SalesData[[#This Row],[Quantity_Sold]]*SalesData[[#This Row],[Unit_Price]]</f>
        <v>134738.91</v>
      </c>
      <c r="P144">
        <f>SalesData[[#This Row],[Gross_sales]]*(1-SalesData[[#This Row],[Discount]])</f>
        <v>95664.626099999994</v>
      </c>
      <c r="Q144" s="2">
        <f>SalesData[[#This Row],[Sales_amount]]-SalesData[[#This Row],[Total_Cost]]</f>
        <v>-37433.223900000012</v>
      </c>
      <c r="R144" s="2">
        <f>SalesData[[#This Row],[Profit]]/SalesData[[#This Row],[Sales_amount]]</f>
        <v>-0.39129640104243313</v>
      </c>
      <c r="S144" s="2">
        <f>SalesData[[#This Row],[Unit_Price]]-SalesData[[#This Row],[Unit_Cost]]</f>
        <v>60.779999999999745</v>
      </c>
      <c r="T144" s="10">
        <f>SalesData[[#This Row],[Unit_Margin]]/SalesData[[#This Row],[Unit_Price]]</f>
        <v>1.2179555259872544E-2</v>
      </c>
      <c r="U144" s="2" t="str">
        <f>IF(SalesData[[#This Row],[Unit_Margin]]&lt;0, "Negative margin", "Positive margin")</f>
        <v>Positive margin</v>
      </c>
      <c r="V144" s="2" t="str">
        <f>IF(SalesData[[#This Row],[Profit]]&lt;0, "Loss", "Profit")</f>
        <v>Loss</v>
      </c>
      <c r="W144" s="2">
        <f>SalesData[[#This Row],[Unit_Price]]*(1-SalesData[[#This Row],[Discount]])</f>
        <v>3543.1342999999997</v>
      </c>
      <c r="X144" s="2">
        <f>SalesData[[#This Row],[Effective_Unit_Price]]-SalesData[[#This Row],[Unit_Cost]]</f>
        <v>-1386.4157000000005</v>
      </c>
      <c r="Y144" s="2" t="str">
        <f>IF(SalesData[[#This Row],[Effective_Unit_Margin]]&lt;0,"Loss per Unit","Positive per Unit")</f>
        <v>Loss per Unit</v>
      </c>
    </row>
    <row r="145" spans="1:25" x14ac:dyDescent="0.3">
      <c r="A145">
        <v>1047</v>
      </c>
      <c r="B145" s="1">
        <v>45030</v>
      </c>
      <c r="C145" t="s">
        <v>37</v>
      </c>
      <c r="D145" t="s">
        <v>20</v>
      </c>
      <c r="E145">
        <v>16</v>
      </c>
      <c r="F145" t="s">
        <v>28</v>
      </c>
      <c r="G145">
        <v>3966.86</v>
      </c>
      <c r="H145">
        <v>4321.04</v>
      </c>
      <c r="I145" t="s">
        <v>16</v>
      </c>
      <c r="J145" s="2">
        <v>0.23</v>
      </c>
      <c r="K145" t="s">
        <v>30</v>
      </c>
      <c r="L145" t="s">
        <v>21</v>
      </c>
      <c r="M145" t="s">
        <v>40</v>
      </c>
      <c r="N145">
        <f>SalesData[[#This Row],[Quantity_Sold]]*SalesData[[#This Row],[Unit_Cost]]</f>
        <v>63469.760000000002</v>
      </c>
      <c r="O145">
        <f>SalesData[[#This Row],[Quantity_Sold]]*SalesData[[#This Row],[Unit_Price]]</f>
        <v>69136.639999999999</v>
      </c>
      <c r="P145">
        <f>SalesData[[#This Row],[Gross_sales]]*(1-SalesData[[#This Row],[Discount]])</f>
        <v>53235.212800000001</v>
      </c>
      <c r="Q145" s="2">
        <f>SalesData[[#This Row],[Sales_amount]]-SalesData[[#This Row],[Total_Cost]]</f>
        <v>-10234.547200000001</v>
      </c>
      <c r="R145" s="2">
        <f>SalesData[[#This Row],[Profit]]/SalesData[[#This Row],[Sales_amount]]</f>
        <v>-0.19225145653968345</v>
      </c>
      <c r="S145" s="2">
        <f>SalesData[[#This Row],[Unit_Price]]-SalesData[[#This Row],[Unit_Cost]]</f>
        <v>354.17999999999984</v>
      </c>
      <c r="T145" s="10">
        <f>SalesData[[#This Row],[Unit_Margin]]/SalesData[[#This Row],[Unit_Price]]</f>
        <v>8.1966378464443712E-2</v>
      </c>
      <c r="U145" s="2" t="str">
        <f>IF(SalesData[[#This Row],[Unit_Margin]]&lt;0, "Negative margin", "Positive margin")</f>
        <v>Positive margin</v>
      </c>
      <c r="V145" s="2" t="str">
        <f>IF(SalesData[[#This Row],[Profit]]&lt;0, "Loss", "Profit")</f>
        <v>Loss</v>
      </c>
      <c r="W145" s="2">
        <f>SalesData[[#This Row],[Unit_Price]]*(1-SalesData[[#This Row],[Discount]])</f>
        <v>3327.2008000000001</v>
      </c>
      <c r="X145" s="2">
        <f>SalesData[[#This Row],[Effective_Unit_Price]]-SalesData[[#This Row],[Unit_Cost]]</f>
        <v>-639.65920000000006</v>
      </c>
      <c r="Y145" s="2" t="str">
        <f>IF(SalesData[[#This Row],[Effective_Unit_Margin]]&lt;0,"Loss per Unit","Positive per Unit")</f>
        <v>Loss per Unit</v>
      </c>
    </row>
    <row r="146" spans="1:25" x14ac:dyDescent="0.3">
      <c r="A146">
        <v>1078</v>
      </c>
      <c r="B146" s="1">
        <v>44965</v>
      </c>
      <c r="C146" t="s">
        <v>41</v>
      </c>
      <c r="D146" t="s">
        <v>24</v>
      </c>
      <c r="E146">
        <v>49</v>
      </c>
      <c r="F146" t="s">
        <v>15</v>
      </c>
      <c r="G146">
        <v>3026.85</v>
      </c>
      <c r="H146">
        <v>3183.58</v>
      </c>
      <c r="I146" t="s">
        <v>16</v>
      </c>
      <c r="J146" s="2">
        <v>0.25</v>
      </c>
      <c r="K146" t="s">
        <v>17</v>
      </c>
      <c r="L146" t="s">
        <v>21</v>
      </c>
      <c r="M146" t="s">
        <v>42</v>
      </c>
      <c r="N146">
        <f>SalesData[[#This Row],[Quantity_Sold]]*SalesData[[#This Row],[Unit_Cost]]</f>
        <v>148315.65</v>
      </c>
      <c r="O146">
        <f>SalesData[[#This Row],[Quantity_Sold]]*SalesData[[#This Row],[Unit_Price]]</f>
        <v>155995.41999999998</v>
      </c>
      <c r="P146">
        <f>SalesData[[#This Row],[Gross_sales]]*(1-SalesData[[#This Row],[Discount]])</f>
        <v>116996.56499999999</v>
      </c>
      <c r="Q146" s="2">
        <f>SalesData[[#This Row],[Sales_amount]]-SalesData[[#This Row],[Total_Cost]]</f>
        <v>-31319.085000000006</v>
      </c>
      <c r="R146" s="2">
        <f>SalesData[[#This Row],[Profit]]/SalesData[[#This Row],[Sales_amount]]</f>
        <v>-0.26769234635221989</v>
      </c>
      <c r="S146" s="2">
        <f>SalesData[[#This Row],[Unit_Price]]-SalesData[[#This Row],[Unit_Cost]]</f>
        <v>156.73000000000002</v>
      </c>
      <c r="T146" s="10">
        <f>SalesData[[#This Row],[Unit_Margin]]/SalesData[[#This Row],[Unit_Price]]</f>
        <v>4.9230740235835138E-2</v>
      </c>
      <c r="U146" s="2" t="str">
        <f>IF(SalesData[[#This Row],[Unit_Margin]]&lt;0, "Negative margin", "Positive margin")</f>
        <v>Positive margin</v>
      </c>
      <c r="V146" s="2" t="str">
        <f>IF(SalesData[[#This Row],[Profit]]&lt;0, "Loss", "Profit")</f>
        <v>Loss</v>
      </c>
      <c r="W146" s="2">
        <f>SalesData[[#This Row],[Unit_Price]]*(1-SalesData[[#This Row],[Discount]])</f>
        <v>2387.6849999999999</v>
      </c>
      <c r="X146" s="2">
        <f>SalesData[[#This Row],[Effective_Unit_Price]]-SalesData[[#This Row],[Unit_Cost]]</f>
        <v>-639.16499999999996</v>
      </c>
      <c r="Y146" s="2" t="str">
        <f>IF(SalesData[[#This Row],[Effective_Unit_Margin]]&lt;0,"Loss per Unit","Positive per Unit")</f>
        <v>Loss per Unit</v>
      </c>
    </row>
    <row r="147" spans="1:25" x14ac:dyDescent="0.3">
      <c r="A147">
        <v>1003</v>
      </c>
      <c r="B147" s="1">
        <v>45124</v>
      </c>
      <c r="C147" t="s">
        <v>37</v>
      </c>
      <c r="D147" t="s">
        <v>20</v>
      </c>
      <c r="E147">
        <v>15</v>
      </c>
      <c r="F147" t="s">
        <v>34</v>
      </c>
      <c r="G147">
        <v>1729.14</v>
      </c>
      <c r="H147">
        <v>1870.88</v>
      </c>
      <c r="I147" t="s">
        <v>16</v>
      </c>
      <c r="J147" s="2">
        <v>0.23</v>
      </c>
      <c r="K147" t="s">
        <v>17</v>
      </c>
      <c r="L147" t="s">
        <v>18</v>
      </c>
      <c r="M147" t="s">
        <v>40</v>
      </c>
      <c r="N147">
        <f>SalesData[[#This Row],[Quantity_Sold]]*SalesData[[#This Row],[Unit_Cost]]</f>
        <v>25937.100000000002</v>
      </c>
      <c r="O147">
        <f>SalesData[[#This Row],[Quantity_Sold]]*SalesData[[#This Row],[Unit_Price]]</f>
        <v>28063.200000000001</v>
      </c>
      <c r="P147">
        <f>SalesData[[#This Row],[Gross_sales]]*(1-SalesData[[#This Row],[Discount]])</f>
        <v>21608.664000000001</v>
      </c>
      <c r="Q147" s="2">
        <f>SalesData[[#This Row],[Sales_amount]]-SalesData[[#This Row],[Total_Cost]]</f>
        <v>-4328.4360000000015</v>
      </c>
      <c r="R147" s="2">
        <f>SalesData[[#This Row],[Profit]]/SalesData[[#This Row],[Sales_amount]]</f>
        <v>-0.20031020890509479</v>
      </c>
      <c r="S147" s="2">
        <f>SalesData[[#This Row],[Unit_Price]]-SalesData[[#This Row],[Unit_Cost]]</f>
        <v>141.74</v>
      </c>
      <c r="T147" s="10">
        <f>SalesData[[#This Row],[Unit_Margin]]/SalesData[[#This Row],[Unit_Price]]</f>
        <v>7.5761139143077055E-2</v>
      </c>
      <c r="U147" s="2" t="str">
        <f>IF(SalesData[[#This Row],[Unit_Margin]]&lt;0, "Negative margin", "Positive margin")</f>
        <v>Positive margin</v>
      </c>
      <c r="V147" s="2" t="str">
        <f>IF(SalesData[[#This Row],[Profit]]&lt;0, "Loss", "Profit")</f>
        <v>Loss</v>
      </c>
      <c r="W147" s="2">
        <f>SalesData[[#This Row],[Unit_Price]]*(1-SalesData[[#This Row],[Discount]])</f>
        <v>1440.5776000000001</v>
      </c>
      <c r="X147" s="2">
        <f>SalesData[[#This Row],[Effective_Unit_Price]]-SalesData[[#This Row],[Unit_Cost]]</f>
        <v>-288.56240000000003</v>
      </c>
      <c r="Y147" s="2" t="str">
        <f>IF(SalesData[[#This Row],[Effective_Unit_Margin]]&lt;0,"Loss per Unit","Positive per Unit")</f>
        <v>Loss per Unit</v>
      </c>
    </row>
    <row r="148" spans="1:25" x14ac:dyDescent="0.3">
      <c r="A148">
        <v>1001</v>
      </c>
      <c r="B148" s="1">
        <v>45060</v>
      </c>
      <c r="C148" t="s">
        <v>37</v>
      </c>
      <c r="D148" t="s">
        <v>24</v>
      </c>
      <c r="E148">
        <v>35</v>
      </c>
      <c r="F148" t="s">
        <v>34</v>
      </c>
      <c r="G148">
        <v>2745.75</v>
      </c>
      <c r="H148">
        <v>3244.76</v>
      </c>
      <c r="I148" t="s">
        <v>29</v>
      </c>
      <c r="J148" s="2">
        <v>0.05</v>
      </c>
      <c r="K148" t="s">
        <v>26</v>
      </c>
      <c r="L148" t="s">
        <v>18</v>
      </c>
      <c r="M148" t="s">
        <v>38</v>
      </c>
      <c r="N148">
        <f>SalesData[[#This Row],[Quantity_Sold]]*SalesData[[#This Row],[Unit_Cost]]</f>
        <v>96101.25</v>
      </c>
      <c r="O148">
        <f>SalesData[[#This Row],[Quantity_Sold]]*SalesData[[#This Row],[Unit_Price]]</f>
        <v>113566.6</v>
      </c>
      <c r="P148">
        <f>SalesData[[#This Row],[Gross_sales]]*(1-SalesData[[#This Row],[Discount]])</f>
        <v>107888.27</v>
      </c>
      <c r="Q148" s="2">
        <f>SalesData[[#This Row],[Sales_amount]]-SalesData[[#This Row],[Total_Cost]]</f>
        <v>11787.020000000004</v>
      </c>
      <c r="R148" s="2">
        <f>SalesData[[#This Row],[Profit]]/SalesData[[#This Row],[Sales_amount]]</f>
        <v>0.10925209941729536</v>
      </c>
      <c r="S148" s="2">
        <f>SalesData[[#This Row],[Unit_Price]]-SalesData[[#This Row],[Unit_Cost]]</f>
        <v>499.01000000000022</v>
      </c>
      <c r="T148" s="10">
        <f>SalesData[[#This Row],[Unit_Margin]]/SalesData[[#This Row],[Unit_Price]]</f>
        <v>0.15378949444643061</v>
      </c>
      <c r="U148" s="2" t="str">
        <f>IF(SalesData[[#This Row],[Unit_Margin]]&lt;0, "Negative margin", "Positive margin")</f>
        <v>Positive margin</v>
      </c>
      <c r="V148" s="2" t="str">
        <f>IF(SalesData[[#This Row],[Profit]]&lt;0, "Loss", "Profit")</f>
        <v>Profit</v>
      </c>
      <c r="W148" s="2">
        <f>SalesData[[#This Row],[Unit_Price]]*(1-SalesData[[#This Row],[Discount]])</f>
        <v>3082.5219999999999</v>
      </c>
      <c r="X148" s="2">
        <f>SalesData[[#This Row],[Effective_Unit_Price]]-SalesData[[#This Row],[Unit_Cost]]</f>
        <v>336.77199999999993</v>
      </c>
      <c r="Y148" s="2" t="str">
        <f>IF(SalesData[[#This Row],[Effective_Unit_Margin]]&lt;0,"Loss per Unit","Positive per Unit")</f>
        <v>Positive per Unit</v>
      </c>
    </row>
    <row r="149" spans="1:25" x14ac:dyDescent="0.3">
      <c r="A149">
        <v>1005</v>
      </c>
      <c r="B149" s="1">
        <v>44993</v>
      </c>
      <c r="C149" t="s">
        <v>41</v>
      </c>
      <c r="D149" t="s">
        <v>14</v>
      </c>
      <c r="E149">
        <v>12</v>
      </c>
      <c r="F149" t="s">
        <v>28</v>
      </c>
      <c r="G149">
        <v>253.29</v>
      </c>
      <c r="H149">
        <v>683.78</v>
      </c>
      <c r="I149" t="s">
        <v>29</v>
      </c>
      <c r="J149" s="2">
        <v>0.25</v>
      </c>
      <c r="K149" t="s">
        <v>30</v>
      </c>
      <c r="L149" t="s">
        <v>18</v>
      </c>
      <c r="M149" t="s">
        <v>48</v>
      </c>
      <c r="N149">
        <f>SalesData[[#This Row],[Quantity_Sold]]*SalesData[[#This Row],[Unit_Cost]]</f>
        <v>3039.48</v>
      </c>
      <c r="O149">
        <f>SalesData[[#This Row],[Quantity_Sold]]*SalesData[[#This Row],[Unit_Price]]</f>
        <v>8205.36</v>
      </c>
      <c r="P149">
        <f>SalesData[[#This Row],[Gross_sales]]*(1-SalesData[[#This Row],[Discount]])</f>
        <v>6154.02</v>
      </c>
      <c r="Q149" s="2">
        <f>SalesData[[#This Row],[Sales_amount]]-SalesData[[#This Row],[Total_Cost]]</f>
        <v>3114.5400000000004</v>
      </c>
      <c r="R149" s="2">
        <f>SalesData[[#This Row],[Profit]]/SalesData[[#This Row],[Sales_amount]]</f>
        <v>0.50609845271871068</v>
      </c>
      <c r="S149" s="2">
        <f>SalesData[[#This Row],[Unit_Price]]-SalesData[[#This Row],[Unit_Cost]]</f>
        <v>430.49</v>
      </c>
      <c r="T149" s="10">
        <f>SalesData[[#This Row],[Unit_Margin]]/SalesData[[#This Row],[Unit_Price]]</f>
        <v>0.62957383953903301</v>
      </c>
      <c r="U149" s="2" t="str">
        <f>IF(SalesData[[#This Row],[Unit_Margin]]&lt;0, "Negative margin", "Positive margin")</f>
        <v>Positive margin</v>
      </c>
      <c r="V149" s="2" t="str">
        <f>IF(SalesData[[#This Row],[Profit]]&lt;0, "Loss", "Profit")</f>
        <v>Profit</v>
      </c>
      <c r="W149" s="2">
        <f>SalesData[[#This Row],[Unit_Price]]*(1-SalesData[[#This Row],[Discount]])</f>
        <v>512.83500000000004</v>
      </c>
      <c r="X149" s="2">
        <f>SalesData[[#This Row],[Effective_Unit_Price]]-SalesData[[#This Row],[Unit_Cost]]</f>
        <v>259.54500000000007</v>
      </c>
      <c r="Y149" s="2" t="str">
        <f>IF(SalesData[[#This Row],[Effective_Unit_Margin]]&lt;0,"Loss per Unit","Positive per Unit")</f>
        <v>Positive per Unit</v>
      </c>
    </row>
    <row r="150" spans="1:25" x14ac:dyDescent="0.3">
      <c r="A150">
        <v>1090</v>
      </c>
      <c r="B150" s="1">
        <v>45105</v>
      </c>
      <c r="C150" t="s">
        <v>32</v>
      </c>
      <c r="D150" t="s">
        <v>14</v>
      </c>
      <c r="E150">
        <v>41</v>
      </c>
      <c r="F150" t="s">
        <v>28</v>
      </c>
      <c r="G150">
        <v>3736.88</v>
      </c>
      <c r="H150">
        <v>3946.77</v>
      </c>
      <c r="I150" t="s">
        <v>16</v>
      </c>
      <c r="J150" s="2">
        <v>0.06</v>
      </c>
      <c r="K150" t="s">
        <v>30</v>
      </c>
      <c r="L150" t="s">
        <v>18</v>
      </c>
      <c r="M150" t="s">
        <v>52</v>
      </c>
      <c r="N150">
        <f>SalesData[[#This Row],[Quantity_Sold]]*SalesData[[#This Row],[Unit_Cost]]</f>
        <v>153212.08000000002</v>
      </c>
      <c r="O150">
        <f>SalesData[[#This Row],[Quantity_Sold]]*SalesData[[#This Row],[Unit_Price]]</f>
        <v>161817.57</v>
      </c>
      <c r="P150">
        <f>SalesData[[#This Row],[Gross_sales]]*(1-SalesData[[#This Row],[Discount]])</f>
        <v>152108.51579999999</v>
      </c>
      <c r="Q150" s="2">
        <f>SalesData[[#This Row],[Sales_amount]]-SalesData[[#This Row],[Total_Cost]]</f>
        <v>-1103.5642000000225</v>
      </c>
      <c r="R150" s="2">
        <f>SalesData[[#This Row],[Profit]]/SalesData[[#This Row],[Sales_amount]]</f>
        <v>-7.2551112223791913E-3</v>
      </c>
      <c r="S150" s="2">
        <f>SalesData[[#This Row],[Unit_Price]]-SalesData[[#This Row],[Unit_Cost]]</f>
        <v>209.88999999999987</v>
      </c>
      <c r="T150" s="10">
        <f>SalesData[[#This Row],[Unit_Margin]]/SalesData[[#This Row],[Unit_Price]]</f>
        <v>5.3180195450963669E-2</v>
      </c>
      <c r="U150" s="2" t="str">
        <f>IF(SalesData[[#This Row],[Unit_Margin]]&lt;0, "Negative margin", "Positive margin")</f>
        <v>Positive margin</v>
      </c>
      <c r="V150" s="2" t="str">
        <f>IF(SalesData[[#This Row],[Profit]]&lt;0, "Loss", "Profit")</f>
        <v>Loss</v>
      </c>
      <c r="W150" s="2">
        <f>SalesData[[#This Row],[Unit_Price]]*(1-SalesData[[#This Row],[Discount]])</f>
        <v>3709.9638</v>
      </c>
      <c r="X150" s="2">
        <f>SalesData[[#This Row],[Effective_Unit_Price]]-SalesData[[#This Row],[Unit_Cost]]</f>
        <v>-26.916200000000117</v>
      </c>
      <c r="Y150" s="2" t="str">
        <f>IF(SalesData[[#This Row],[Effective_Unit_Margin]]&lt;0,"Loss per Unit","Positive per Unit")</f>
        <v>Loss per Unit</v>
      </c>
    </row>
    <row r="151" spans="1:25" x14ac:dyDescent="0.3">
      <c r="A151">
        <v>1014</v>
      </c>
      <c r="B151" s="1">
        <v>44968</v>
      </c>
      <c r="C151" t="s">
        <v>23</v>
      </c>
      <c r="D151" t="s">
        <v>20</v>
      </c>
      <c r="E151">
        <v>44</v>
      </c>
      <c r="F151" t="s">
        <v>25</v>
      </c>
      <c r="G151">
        <v>2257.48</v>
      </c>
      <c r="H151">
        <v>2747.81</v>
      </c>
      <c r="I151" t="s">
        <v>16</v>
      </c>
      <c r="J151" s="2">
        <v>0.27</v>
      </c>
      <c r="K151" t="s">
        <v>17</v>
      </c>
      <c r="L151" t="s">
        <v>18</v>
      </c>
      <c r="M151" t="s">
        <v>46</v>
      </c>
      <c r="N151">
        <f>SalesData[[#This Row],[Quantity_Sold]]*SalesData[[#This Row],[Unit_Cost]]</f>
        <v>99329.12</v>
      </c>
      <c r="O151">
        <f>SalesData[[#This Row],[Quantity_Sold]]*SalesData[[#This Row],[Unit_Price]]</f>
        <v>120903.64</v>
      </c>
      <c r="P151">
        <f>SalesData[[#This Row],[Gross_sales]]*(1-SalesData[[#This Row],[Discount]])</f>
        <v>88259.657200000001</v>
      </c>
      <c r="Q151" s="2">
        <f>SalesData[[#This Row],[Sales_amount]]-SalesData[[#This Row],[Total_Cost]]</f>
        <v>-11069.462799999994</v>
      </c>
      <c r="R151" s="2">
        <f>SalesData[[#This Row],[Profit]]/SalesData[[#This Row],[Sales_amount]]</f>
        <v>-0.12541928159675647</v>
      </c>
      <c r="S151" s="2">
        <f>SalesData[[#This Row],[Unit_Price]]-SalesData[[#This Row],[Unit_Cost]]</f>
        <v>490.32999999999993</v>
      </c>
      <c r="T151" s="10">
        <f>SalesData[[#This Row],[Unit_Margin]]/SalesData[[#This Row],[Unit_Price]]</f>
        <v>0.17844392443436771</v>
      </c>
      <c r="U151" s="2" t="str">
        <f>IF(SalesData[[#This Row],[Unit_Margin]]&lt;0, "Negative margin", "Positive margin")</f>
        <v>Positive margin</v>
      </c>
      <c r="V151" s="2" t="str">
        <f>IF(SalesData[[#This Row],[Profit]]&lt;0, "Loss", "Profit")</f>
        <v>Loss</v>
      </c>
      <c r="W151" s="2">
        <f>SalesData[[#This Row],[Unit_Price]]*(1-SalesData[[#This Row],[Discount]])</f>
        <v>2005.9013</v>
      </c>
      <c r="X151" s="2">
        <f>SalesData[[#This Row],[Effective_Unit_Price]]-SalesData[[#This Row],[Unit_Cost]]</f>
        <v>-251.57870000000003</v>
      </c>
      <c r="Y151" s="2" t="str">
        <f>IF(SalesData[[#This Row],[Effective_Unit_Margin]]&lt;0,"Loss per Unit","Positive per Unit")</f>
        <v>Loss per Unit</v>
      </c>
    </row>
    <row r="152" spans="1:25" x14ac:dyDescent="0.3">
      <c r="A152">
        <v>1027</v>
      </c>
      <c r="B152" s="1">
        <v>44941</v>
      </c>
      <c r="C152" t="s">
        <v>13</v>
      </c>
      <c r="D152" t="s">
        <v>20</v>
      </c>
      <c r="E152">
        <v>26</v>
      </c>
      <c r="F152" t="s">
        <v>25</v>
      </c>
      <c r="G152">
        <v>149.11000000000001</v>
      </c>
      <c r="H152">
        <v>477.67</v>
      </c>
      <c r="I152" t="s">
        <v>16</v>
      </c>
      <c r="J152" s="2">
        <v>0.14000000000000001</v>
      </c>
      <c r="K152" t="s">
        <v>17</v>
      </c>
      <c r="L152" t="s">
        <v>21</v>
      </c>
      <c r="M152" t="s">
        <v>22</v>
      </c>
      <c r="N152">
        <f>SalesData[[#This Row],[Quantity_Sold]]*SalesData[[#This Row],[Unit_Cost]]</f>
        <v>3876.8600000000006</v>
      </c>
      <c r="O152">
        <f>SalesData[[#This Row],[Quantity_Sold]]*SalesData[[#This Row],[Unit_Price]]</f>
        <v>12419.42</v>
      </c>
      <c r="P152">
        <f>SalesData[[#This Row],[Gross_sales]]*(1-SalesData[[#This Row],[Discount]])</f>
        <v>10680.7012</v>
      </c>
      <c r="Q152" s="2">
        <f>SalesData[[#This Row],[Sales_amount]]-SalesData[[#This Row],[Total_Cost]]</f>
        <v>6803.8411999999989</v>
      </c>
      <c r="R152" s="2">
        <f>SalesData[[#This Row],[Profit]]/SalesData[[#This Row],[Sales_amount]]</f>
        <v>0.63702195882045642</v>
      </c>
      <c r="S152" s="2">
        <f>SalesData[[#This Row],[Unit_Price]]-SalesData[[#This Row],[Unit_Cost]]</f>
        <v>328.56</v>
      </c>
      <c r="T152" s="10">
        <f>SalesData[[#This Row],[Unit_Margin]]/SalesData[[#This Row],[Unit_Price]]</f>
        <v>0.6878388845855925</v>
      </c>
      <c r="U152" s="2" t="str">
        <f>IF(SalesData[[#This Row],[Unit_Margin]]&lt;0, "Negative margin", "Positive margin")</f>
        <v>Positive margin</v>
      </c>
      <c r="V152" s="2" t="str">
        <f>IF(SalesData[[#This Row],[Profit]]&lt;0, "Loss", "Profit")</f>
        <v>Profit</v>
      </c>
      <c r="W152" s="2">
        <f>SalesData[[#This Row],[Unit_Price]]*(1-SalesData[[#This Row],[Discount]])</f>
        <v>410.7962</v>
      </c>
      <c r="X152" s="2">
        <f>SalesData[[#This Row],[Effective_Unit_Price]]-SalesData[[#This Row],[Unit_Cost]]</f>
        <v>261.68619999999999</v>
      </c>
      <c r="Y152" s="2" t="str">
        <f>IF(SalesData[[#This Row],[Effective_Unit_Margin]]&lt;0,"Loss per Unit","Positive per Unit")</f>
        <v>Positive per Unit</v>
      </c>
    </row>
    <row r="153" spans="1:25" x14ac:dyDescent="0.3">
      <c r="A153">
        <v>1009</v>
      </c>
      <c r="B153" s="1">
        <v>45037</v>
      </c>
      <c r="C153" t="s">
        <v>37</v>
      </c>
      <c r="D153" t="s">
        <v>14</v>
      </c>
      <c r="E153">
        <v>47</v>
      </c>
      <c r="F153" t="s">
        <v>28</v>
      </c>
      <c r="G153">
        <v>359.41</v>
      </c>
      <c r="H153">
        <v>733</v>
      </c>
      <c r="I153" t="s">
        <v>16</v>
      </c>
      <c r="J153" s="2">
        <v>0.2</v>
      </c>
      <c r="K153" t="s">
        <v>26</v>
      </c>
      <c r="L153" t="s">
        <v>21</v>
      </c>
      <c r="M153" t="s">
        <v>39</v>
      </c>
      <c r="N153">
        <f>SalesData[[#This Row],[Quantity_Sold]]*SalesData[[#This Row],[Unit_Cost]]</f>
        <v>16892.27</v>
      </c>
      <c r="O153">
        <f>SalesData[[#This Row],[Quantity_Sold]]*SalesData[[#This Row],[Unit_Price]]</f>
        <v>34451</v>
      </c>
      <c r="P153">
        <f>SalesData[[#This Row],[Gross_sales]]*(1-SalesData[[#This Row],[Discount]])</f>
        <v>27560.800000000003</v>
      </c>
      <c r="Q153" s="2">
        <f>SalesData[[#This Row],[Sales_amount]]-SalesData[[#This Row],[Total_Cost]]</f>
        <v>10668.530000000002</v>
      </c>
      <c r="R153" s="2">
        <f>SalesData[[#This Row],[Profit]]/SalesData[[#This Row],[Sales_amount]]</f>
        <v>0.38709072305593456</v>
      </c>
      <c r="S153" s="2">
        <f>SalesData[[#This Row],[Unit_Price]]-SalesData[[#This Row],[Unit_Cost]]</f>
        <v>373.59</v>
      </c>
      <c r="T153" s="10">
        <f>SalesData[[#This Row],[Unit_Margin]]/SalesData[[#This Row],[Unit_Price]]</f>
        <v>0.50967257844474756</v>
      </c>
      <c r="U153" s="2" t="str">
        <f>IF(SalesData[[#This Row],[Unit_Margin]]&lt;0, "Negative margin", "Positive margin")</f>
        <v>Positive margin</v>
      </c>
      <c r="V153" s="2" t="str">
        <f>IF(SalesData[[#This Row],[Profit]]&lt;0, "Loss", "Profit")</f>
        <v>Profit</v>
      </c>
      <c r="W153" s="2">
        <f>SalesData[[#This Row],[Unit_Price]]*(1-SalesData[[#This Row],[Discount]])</f>
        <v>586.4</v>
      </c>
      <c r="X153" s="2">
        <f>SalesData[[#This Row],[Effective_Unit_Price]]-SalesData[[#This Row],[Unit_Cost]]</f>
        <v>226.98999999999995</v>
      </c>
      <c r="Y153" s="2" t="str">
        <f>IF(SalesData[[#This Row],[Effective_Unit_Margin]]&lt;0,"Loss per Unit","Positive per Unit")</f>
        <v>Positive per Unit</v>
      </c>
    </row>
    <row r="154" spans="1:25" x14ac:dyDescent="0.3">
      <c r="A154">
        <v>1079</v>
      </c>
      <c r="B154" s="1">
        <v>45083</v>
      </c>
      <c r="C154" t="s">
        <v>23</v>
      </c>
      <c r="D154" t="s">
        <v>24</v>
      </c>
      <c r="E154">
        <v>34</v>
      </c>
      <c r="F154" t="s">
        <v>15</v>
      </c>
      <c r="G154">
        <v>1967.96</v>
      </c>
      <c r="H154">
        <v>1993.4</v>
      </c>
      <c r="I154" t="s">
        <v>16</v>
      </c>
      <c r="J154" s="2">
        <v>0.15</v>
      </c>
      <c r="K154" t="s">
        <v>30</v>
      </c>
      <c r="L154" t="s">
        <v>18</v>
      </c>
      <c r="M154" t="s">
        <v>27</v>
      </c>
      <c r="N154">
        <f>SalesData[[#This Row],[Quantity_Sold]]*SalesData[[#This Row],[Unit_Cost]]</f>
        <v>66910.64</v>
      </c>
      <c r="O154">
        <f>SalesData[[#This Row],[Quantity_Sold]]*SalesData[[#This Row],[Unit_Price]]</f>
        <v>67775.600000000006</v>
      </c>
      <c r="P154">
        <f>SalesData[[#This Row],[Gross_sales]]*(1-SalesData[[#This Row],[Discount]])</f>
        <v>57609.26</v>
      </c>
      <c r="Q154" s="2">
        <f>SalesData[[#This Row],[Sales_amount]]-SalesData[[#This Row],[Total_Cost]]</f>
        <v>-9301.3799999999974</v>
      </c>
      <c r="R154" s="2">
        <f>SalesData[[#This Row],[Profit]]/SalesData[[#This Row],[Sales_amount]]</f>
        <v>-0.1614563353183151</v>
      </c>
      <c r="S154" s="2">
        <f>SalesData[[#This Row],[Unit_Price]]-SalesData[[#This Row],[Unit_Cost]]</f>
        <v>25.440000000000055</v>
      </c>
      <c r="T154" s="10">
        <f>SalesData[[#This Row],[Unit_Margin]]/SalesData[[#This Row],[Unit_Price]]</f>
        <v>1.2762114979432153E-2</v>
      </c>
      <c r="U154" s="2" t="str">
        <f>IF(SalesData[[#This Row],[Unit_Margin]]&lt;0, "Negative margin", "Positive margin")</f>
        <v>Positive margin</v>
      </c>
      <c r="V154" s="2" t="str">
        <f>IF(SalesData[[#This Row],[Profit]]&lt;0, "Loss", "Profit")</f>
        <v>Loss</v>
      </c>
      <c r="W154" s="2">
        <f>SalesData[[#This Row],[Unit_Price]]*(1-SalesData[[#This Row],[Discount]])</f>
        <v>1694.39</v>
      </c>
      <c r="X154" s="2">
        <f>SalesData[[#This Row],[Effective_Unit_Price]]-SalesData[[#This Row],[Unit_Cost]]</f>
        <v>-273.56999999999994</v>
      </c>
      <c r="Y154" s="2" t="str">
        <f>IF(SalesData[[#This Row],[Effective_Unit_Margin]]&lt;0,"Loss per Unit","Positive per Unit")</f>
        <v>Loss per Unit</v>
      </c>
    </row>
    <row r="155" spans="1:25" x14ac:dyDescent="0.3">
      <c r="A155">
        <v>1015</v>
      </c>
      <c r="B155" s="1">
        <v>45215</v>
      </c>
      <c r="C155" t="s">
        <v>32</v>
      </c>
      <c r="D155" t="s">
        <v>14</v>
      </c>
      <c r="E155">
        <v>23</v>
      </c>
      <c r="F155" t="s">
        <v>25</v>
      </c>
      <c r="G155">
        <v>2937.94</v>
      </c>
      <c r="H155">
        <v>3007.53</v>
      </c>
      <c r="I155" t="s">
        <v>16</v>
      </c>
      <c r="J155" s="2">
        <v>0.03</v>
      </c>
      <c r="K155" t="s">
        <v>17</v>
      </c>
      <c r="L155" t="s">
        <v>21</v>
      </c>
      <c r="M155" t="s">
        <v>52</v>
      </c>
      <c r="N155">
        <f>SalesData[[#This Row],[Quantity_Sold]]*SalesData[[#This Row],[Unit_Cost]]</f>
        <v>67572.62</v>
      </c>
      <c r="O155">
        <f>SalesData[[#This Row],[Quantity_Sold]]*SalesData[[#This Row],[Unit_Price]]</f>
        <v>69173.19</v>
      </c>
      <c r="P155">
        <f>SalesData[[#This Row],[Gross_sales]]*(1-SalesData[[#This Row],[Discount]])</f>
        <v>67097.994300000006</v>
      </c>
      <c r="Q155" s="2">
        <f>SalesData[[#This Row],[Sales_amount]]-SalesData[[#This Row],[Total_Cost]]</f>
        <v>-474.62569999998959</v>
      </c>
      <c r="R155" s="2">
        <f>SalesData[[#This Row],[Profit]]/SalesData[[#This Row],[Sales_amount]]</f>
        <v>-7.0736197847867648E-3</v>
      </c>
      <c r="S155" s="2">
        <f>SalesData[[#This Row],[Unit_Price]]-SalesData[[#This Row],[Unit_Cost]]</f>
        <v>69.590000000000146</v>
      </c>
      <c r="T155" s="10">
        <f>SalesData[[#This Row],[Unit_Margin]]/SalesData[[#This Row],[Unit_Price]]</f>
        <v>2.3138588808756733E-2</v>
      </c>
      <c r="U155" s="2" t="str">
        <f>IF(SalesData[[#This Row],[Unit_Margin]]&lt;0, "Negative margin", "Positive margin")</f>
        <v>Positive margin</v>
      </c>
      <c r="V155" s="2" t="str">
        <f>IF(SalesData[[#This Row],[Profit]]&lt;0, "Loss", "Profit")</f>
        <v>Loss</v>
      </c>
      <c r="W155" s="2">
        <f>SalesData[[#This Row],[Unit_Price]]*(1-SalesData[[#This Row],[Discount]])</f>
        <v>2917.3041000000003</v>
      </c>
      <c r="X155" s="2">
        <f>SalesData[[#This Row],[Effective_Unit_Price]]-SalesData[[#This Row],[Unit_Cost]]</f>
        <v>-20.635899999999765</v>
      </c>
      <c r="Y155" s="2" t="str">
        <f>IF(SalesData[[#This Row],[Effective_Unit_Margin]]&lt;0,"Loss per Unit","Positive per Unit")</f>
        <v>Loss per Unit</v>
      </c>
    </row>
    <row r="156" spans="1:25" x14ac:dyDescent="0.3">
      <c r="A156">
        <v>1090</v>
      </c>
      <c r="B156" s="1">
        <v>45157</v>
      </c>
      <c r="C156" t="s">
        <v>13</v>
      </c>
      <c r="D156" t="s">
        <v>20</v>
      </c>
      <c r="E156">
        <v>31</v>
      </c>
      <c r="F156" t="s">
        <v>28</v>
      </c>
      <c r="G156">
        <v>2347.81</v>
      </c>
      <c r="H156">
        <v>2668.02</v>
      </c>
      <c r="I156" t="s">
        <v>16</v>
      </c>
      <c r="J156" s="2">
        <v>0.09</v>
      </c>
      <c r="K156" t="s">
        <v>26</v>
      </c>
      <c r="L156" t="s">
        <v>21</v>
      </c>
      <c r="M156" t="s">
        <v>22</v>
      </c>
      <c r="N156">
        <f>SalesData[[#This Row],[Quantity_Sold]]*SalesData[[#This Row],[Unit_Cost]]</f>
        <v>72782.11</v>
      </c>
      <c r="O156">
        <f>SalesData[[#This Row],[Quantity_Sold]]*SalesData[[#This Row],[Unit_Price]]</f>
        <v>82708.62</v>
      </c>
      <c r="P156">
        <f>SalesData[[#This Row],[Gross_sales]]*(1-SalesData[[#This Row],[Discount]])</f>
        <v>75264.844199999992</v>
      </c>
      <c r="Q156" s="2">
        <f>SalesData[[#This Row],[Sales_amount]]-SalesData[[#This Row],[Total_Cost]]</f>
        <v>2482.7341999999917</v>
      </c>
      <c r="R156" s="2">
        <f>SalesData[[#This Row],[Profit]]/SalesData[[#This Row],[Sales_amount]]</f>
        <v>3.2986638401890055E-2</v>
      </c>
      <c r="S156" s="2">
        <f>SalesData[[#This Row],[Unit_Price]]-SalesData[[#This Row],[Unit_Cost]]</f>
        <v>320.21000000000004</v>
      </c>
      <c r="T156" s="10">
        <f>SalesData[[#This Row],[Unit_Margin]]/SalesData[[#This Row],[Unit_Price]]</f>
        <v>0.12001784094572006</v>
      </c>
      <c r="U156" s="2" t="str">
        <f>IF(SalesData[[#This Row],[Unit_Margin]]&lt;0, "Negative margin", "Positive margin")</f>
        <v>Positive margin</v>
      </c>
      <c r="V156" s="2" t="str">
        <f>IF(SalesData[[#This Row],[Profit]]&lt;0, "Loss", "Profit")</f>
        <v>Profit</v>
      </c>
      <c r="W156" s="2">
        <f>SalesData[[#This Row],[Unit_Price]]*(1-SalesData[[#This Row],[Discount]])</f>
        <v>2427.8982000000001</v>
      </c>
      <c r="X156" s="2">
        <f>SalesData[[#This Row],[Effective_Unit_Price]]-SalesData[[#This Row],[Unit_Cost]]</f>
        <v>80.088200000000143</v>
      </c>
      <c r="Y156" s="2" t="str">
        <f>IF(SalesData[[#This Row],[Effective_Unit_Margin]]&lt;0,"Loss per Unit","Positive per Unit")</f>
        <v>Positive per Unit</v>
      </c>
    </row>
    <row r="157" spans="1:25" x14ac:dyDescent="0.3">
      <c r="A157">
        <v>1042</v>
      </c>
      <c r="B157" s="1">
        <v>45083</v>
      </c>
      <c r="C157" t="s">
        <v>13</v>
      </c>
      <c r="D157" t="s">
        <v>14</v>
      </c>
      <c r="E157">
        <v>20</v>
      </c>
      <c r="F157" t="s">
        <v>25</v>
      </c>
      <c r="G157">
        <v>3115.06</v>
      </c>
      <c r="H157">
        <v>3565.58</v>
      </c>
      <c r="I157" t="s">
        <v>16</v>
      </c>
      <c r="J157" s="2">
        <v>0.3</v>
      </c>
      <c r="K157" t="s">
        <v>30</v>
      </c>
      <c r="L157" t="s">
        <v>21</v>
      </c>
      <c r="M157" t="s">
        <v>19</v>
      </c>
      <c r="N157">
        <f>SalesData[[#This Row],[Quantity_Sold]]*SalesData[[#This Row],[Unit_Cost]]</f>
        <v>62301.2</v>
      </c>
      <c r="O157">
        <f>SalesData[[#This Row],[Quantity_Sold]]*SalesData[[#This Row],[Unit_Price]]</f>
        <v>71311.600000000006</v>
      </c>
      <c r="P157">
        <f>SalesData[[#This Row],[Gross_sales]]*(1-SalesData[[#This Row],[Discount]])</f>
        <v>49918.12</v>
      </c>
      <c r="Q157" s="2">
        <f>SalesData[[#This Row],[Sales_amount]]-SalesData[[#This Row],[Total_Cost]]</f>
        <v>-12383.079999999994</v>
      </c>
      <c r="R157" s="2">
        <f>SalesData[[#This Row],[Profit]]/SalesData[[#This Row],[Sales_amount]]</f>
        <v>-0.24806783588805015</v>
      </c>
      <c r="S157" s="2">
        <f>SalesData[[#This Row],[Unit_Price]]-SalesData[[#This Row],[Unit_Cost]]</f>
        <v>450.52</v>
      </c>
      <c r="T157" s="10">
        <f>SalesData[[#This Row],[Unit_Margin]]/SalesData[[#This Row],[Unit_Price]]</f>
        <v>0.1263525148783648</v>
      </c>
      <c r="U157" s="2" t="str">
        <f>IF(SalesData[[#This Row],[Unit_Margin]]&lt;0, "Negative margin", "Positive margin")</f>
        <v>Positive margin</v>
      </c>
      <c r="V157" s="2" t="str">
        <f>IF(SalesData[[#This Row],[Profit]]&lt;0, "Loss", "Profit")</f>
        <v>Loss</v>
      </c>
      <c r="W157" s="2">
        <f>SalesData[[#This Row],[Unit_Price]]*(1-SalesData[[#This Row],[Discount]])</f>
        <v>2495.9059999999999</v>
      </c>
      <c r="X157" s="2">
        <f>SalesData[[#This Row],[Effective_Unit_Price]]-SalesData[[#This Row],[Unit_Cost]]</f>
        <v>-619.154</v>
      </c>
      <c r="Y157" s="2" t="str">
        <f>IF(SalesData[[#This Row],[Effective_Unit_Margin]]&lt;0,"Loss per Unit","Positive per Unit")</f>
        <v>Loss per Unit</v>
      </c>
    </row>
    <row r="158" spans="1:25" x14ac:dyDescent="0.3">
      <c r="A158">
        <v>1077</v>
      </c>
      <c r="B158" s="1">
        <v>44964</v>
      </c>
      <c r="C158" t="s">
        <v>37</v>
      </c>
      <c r="D158" t="s">
        <v>20</v>
      </c>
      <c r="E158">
        <v>12</v>
      </c>
      <c r="F158" t="s">
        <v>28</v>
      </c>
      <c r="G158">
        <v>2427.46</v>
      </c>
      <c r="H158">
        <v>2743.09</v>
      </c>
      <c r="I158" t="s">
        <v>29</v>
      </c>
      <c r="J158" s="2">
        <v>0.28999999999999998</v>
      </c>
      <c r="K158" t="s">
        <v>30</v>
      </c>
      <c r="L158" t="s">
        <v>21</v>
      </c>
      <c r="M158" t="s">
        <v>40</v>
      </c>
      <c r="N158">
        <f>SalesData[[#This Row],[Quantity_Sold]]*SalesData[[#This Row],[Unit_Cost]]</f>
        <v>29129.52</v>
      </c>
      <c r="O158">
        <f>SalesData[[#This Row],[Quantity_Sold]]*SalesData[[#This Row],[Unit_Price]]</f>
        <v>32917.08</v>
      </c>
      <c r="P158">
        <f>SalesData[[#This Row],[Gross_sales]]*(1-SalesData[[#This Row],[Discount]])</f>
        <v>23371.126800000002</v>
      </c>
      <c r="Q158" s="2">
        <f>SalesData[[#This Row],[Sales_amount]]-SalesData[[#This Row],[Total_Cost]]</f>
        <v>-5758.3931999999986</v>
      </c>
      <c r="R158" s="2">
        <f>SalesData[[#This Row],[Profit]]/SalesData[[#This Row],[Sales_amount]]</f>
        <v>-0.24638919848742588</v>
      </c>
      <c r="S158" s="2">
        <f>SalesData[[#This Row],[Unit_Price]]-SalesData[[#This Row],[Unit_Cost]]</f>
        <v>315.63000000000011</v>
      </c>
      <c r="T158" s="10">
        <f>SalesData[[#This Row],[Unit_Margin]]/SalesData[[#This Row],[Unit_Price]]</f>
        <v>0.11506366907392761</v>
      </c>
      <c r="U158" s="2" t="str">
        <f>IF(SalesData[[#This Row],[Unit_Margin]]&lt;0, "Negative margin", "Positive margin")</f>
        <v>Positive margin</v>
      </c>
      <c r="V158" s="2" t="str">
        <f>IF(SalesData[[#This Row],[Profit]]&lt;0, "Loss", "Profit")</f>
        <v>Loss</v>
      </c>
      <c r="W158" s="2">
        <f>SalesData[[#This Row],[Unit_Price]]*(1-SalesData[[#This Row],[Discount]])</f>
        <v>1947.5939000000001</v>
      </c>
      <c r="X158" s="2">
        <f>SalesData[[#This Row],[Effective_Unit_Price]]-SalesData[[#This Row],[Unit_Cost]]</f>
        <v>-479.86609999999996</v>
      </c>
      <c r="Y158" s="2" t="str">
        <f>IF(SalesData[[#This Row],[Effective_Unit_Margin]]&lt;0,"Loss per Unit","Positive per Unit")</f>
        <v>Loss per Unit</v>
      </c>
    </row>
    <row r="159" spans="1:25" x14ac:dyDescent="0.3">
      <c r="A159">
        <v>1051</v>
      </c>
      <c r="B159" s="1">
        <v>45023</v>
      </c>
      <c r="C159" t="s">
        <v>41</v>
      </c>
      <c r="D159" t="s">
        <v>20</v>
      </c>
      <c r="E159">
        <v>23</v>
      </c>
      <c r="F159" t="s">
        <v>34</v>
      </c>
      <c r="G159">
        <v>3325.43</v>
      </c>
      <c r="H159">
        <v>3401.1</v>
      </c>
      <c r="I159" t="s">
        <v>29</v>
      </c>
      <c r="J159" s="2">
        <v>0.1</v>
      </c>
      <c r="K159" t="s">
        <v>17</v>
      </c>
      <c r="L159" t="s">
        <v>18</v>
      </c>
      <c r="M159" t="s">
        <v>50</v>
      </c>
      <c r="N159">
        <f>SalesData[[#This Row],[Quantity_Sold]]*SalesData[[#This Row],[Unit_Cost]]</f>
        <v>76484.89</v>
      </c>
      <c r="O159">
        <f>SalesData[[#This Row],[Quantity_Sold]]*SalesData[[#This Row],[Unit_Price]]</f>
        <v>78225.3</v>
      </c>
      <c r="P159">
        <f>SalesData[[#This Row],[Gross_sales]]*(1-SalesData[[#This Row],[Discount]])</f>
        <v>70402.77</v>
      </c>
      <c r="Q159" s="2">
        <f>SalesData[[#This Row],[Sales_amount]]-SalesData[[#This Row],[Total_Cost]]</f>
        <v>-6082.1199999999953</v>
      </c>
      <c r="R159" s="2">
        <f>SalesData[[#This Row],[Profit]]/SalesData[[#This Row],[Sales_amount]]</f>
        <v>-8.6390350834207166E-2</v>
      </c>
      <c r="S159" s="2">
        <f>SalesData[[#This Row],[Unit_Price]]-SalesData[[#This Row],[Unit_Cost]]</f>
        <v>75.670000000000073</v>
      </c>
      <c r="T159" s="10">
        <f>SalesData[[#This Row],[Unit_Margin]]/SalesData[[#This Row],[Unit_Price]]</f>
        <v>2.2248684249213512E-2</v>
      </c>
      <c r="U159" s="2" t="str">
        <f>IF(SalesData[[#This Row],[Unit_Margin]]&lt;0, "Negative margin", "Positive margin")</f>
        <v>Positive margin</v>
      </c>
      <c r="V159" s="2" t="str">
        <f>IF(SalesData[[#This Row],[Profit]]&lt;0, "Loss", "Profit")</f>
        <v>Loss</v>
      </c>
      <c r="W159" s="2">
        <f>SalesData[[#This Row],[Unit_Price]]*(1-SalesData[[#This Row],[Discount]])</f>
        <v>3060.99</v>
      </c>
      <c r="X159" s="2">
        <f>SalesData[[#This Row],[Effective_Unit_Price]]-SalesData[[#This Row],[Unit_Cost]]</f>
        <v>-264.44000000000005</v>
      </c>
      <c r="Y159" s="2" t="str">
        <f>IF(SalesData[[#This Row],[Effective_Unit_Margin]]&lt;0,"Loss per Unit","Positive per Unit")</f>
        <v>Loss per Unit</v>
      </c>
    </row>
    <row r="160" spans="1:25" x14ac:dyDescent="0.3">
      <c r="A160">
        <v>1063</v>
      </c>
      <c r="B160" s="1">
        <v>45215</v>
      </c>
      <c r="C160" t="s">
        <v>32</v>
      </c>
      <c r="D160" t="s">
        <v>14</v>
      </c>
      <c r="E160">
        <v>4</v>
      </c>
      <c r="F160" t="s">
        <v>28</v>
      </c>
      <c r="G160">
        <v>1134.67</v>
      </c>
      <c r="H160">
        <v>1201.3900000000001</v>
      </c>
      <c r="I160" t="s">
        <v>29</v>
      </c>
      <c r="J160" s="2">
        <v>0.3</v>
      </c>
      <c r="K160" t="s">
        <v>26</v>
      </c>
      <c r="L160" t="s">
        <v>21</v>
      </c>
      <c r="M160" t="s">
        <v>52</v>
      </c>
      <c r="N160">
        <f>SalesData[[#This Row],[Quantity_Sold]]*SalesData[[#This Row],[Unit_Cost]]</f>
        <v>4538.68</v>
      </c>
      <c r="O160">
        <f>SalesData[[#This Row],[Quantity_Sold]]*SalesData[[#This Row],[Unit_Price]]</f>
        <v>4805.5600000000004</v>
      </c>
      <c r="P160">
        <f>SalesData[[#This Row],[Gross_sales]]*(1-SalesData[[#This Row],[Discount]])</f>
        <v>3363.8920000000003</v>
      </c>
      <c r="Q160" s="2">
        <f>SalesData[[#This Row],[Sales_amount]]-SalesData[[#This Row],[Total_Cost]]</f>
        <v>-1174.788</v>
      </c>
      <c r="R160" s="2">
        <f>SalesData[[#This Row],[Profit]]/SalesData[[#This Row],[Sales_amount]]</f>
        <v>-0.34923475545588262</v>
      </c>
      <c r="S160" s="2">
        <f>SalesData[[#This Row],[Unit_Price]]-SalesData[[#This Row],[Unit_Cost]]</f>
        <v>66.720000000000027</v>
      </c>
      <c r="T160" s="10">
        <f>SalesData[[#This Row],[Unit_Margin]]/SalesData[[#This Row],[Unit_Price]]</f>
        <v>5.5535671180882165E-2</v>
      </c>
      <c r="U160" s="2" t="str">
        <f>IF(SalesData[[#This Row],[Unit_Margin]]&lt;0, "Negative margin", "Positive margin")</f>
        <v>Positive margin</v>
      </c>
      <c r="V160" s="2" t="str">
        <f>IF(SalesData[[#This Row],[Profit]]&lt;0, "Loss", "Profit")</f>
        <v>Loss</v>
      </c>
      <c r="W160" s="2">
        <f>SalesData[[#This Row],[Unit_Price]]*(1-SalesData[[#This Row],[Discount]])</f>
        <v>840.97300000000007</v>
      </c>
      <c r="X160" s="2">
        <f>SalesData[[#This Row],[Effective_Unit_Price]]-SalesData[[#This Row],[Unit_Cost]]</f>
        <v>-293.697</v>
      </c>
      <c r="Y160" s="2" t="str">
        <f>IF(SalesData[[#This Row],[Effective_Unit_Margin]]&lt;0,"Loss per Unit","Positive per Unit")</f>
        <v>Loss per Unit</v>
      </c>
    </row>
    <row r="161" spans="1:25" x14ac:dyDescent="0.3">
      <c r="A161">
        <v>1096</v>
      </c>
      <c r="B161" s="1">
        <v>45180</v>
      </c>
      <c r="C161" t="s">
        <v>37</v>
      </c>
      <c r="D161" t="s">
        <v>24</v>
      </c>
      <c r="E161">
        <v>23</v>
      </c>
      <c r="F161" t="s">
        <v>34</v>
      </c>
      <c r="G161">
        <v>608.57000000000005</v>
      </c>
      <c r="H161">
        <v>1032.22</v>
      </c>
      <c r="I161" t="s">
        <v>29</v>
      </c>
      <c r="J161" s="2">
        <v>0.25</v>
      </c>
      <c r="K161" t="s">
        <v>17</v>
      </c>
      <c r="L161" t="s">
        <v>21</v>
      </c>
      <c r="M161" t="s">
        <v>38</v>
      </c>
      <c r="N161">
        <f>SalesData[[#This Row],[Quantity_Sold]]*SalesData[[#This Row],[Unit_Cost]]</f>
        <v>13997.11</v>
      </c>
      <c r="O161">
        <f>SalesData[[#This Row],[Quantity_Sold]]*SalesData[[#This Row],[Unit_Price]]</f>
        <v>23741.06</v>
      </c>
      <c r="P161">
        <f>SalesData[[#This Row],[Gross_sales]]*(1-SalesData[[#This Row],[Discount]])</f>
        <v>17805.795000000002</v>
      </c>
      <c r="Q161" s="2">
        <f>SalesData[[#This Row],[Sales_amount]]-SalesData[[#This Row],[Total_Cost]]</f>
        <v>3808.6850000000013</v>
      </c>
      <c r="R161" s="2">
        <f>SalesData[[#This Row],[Profit]]/SalesData[[#This Row],[Sales_amount]]</f>
        <v>0.21390142928187147</v>
      </c>
      <c r="S161" s="2">
        <f>SalesData[[#This Row],[Unit_Price]]-SalesData[[#This Row],[Unit_Cost]]</f>
        <v>423.65</v>
      </c>
      <c r="T161" s="10">
        <f>SalesData[[#This Row],[Unit_Margin]]/SalesData[[#This Row],[Unit_Price]]</f>
        <v>0.41042607196140357</v>
      </c>
      <c r="U161" s="2" t="str">
        <f>IF(SalesData[[#This Row],[Unit_Margin]]&lt;0, "Negative margin", "Positive margin")</f>
        <v>Positive margin</v>
      </c>
      <c r="V161" s="2" t="str">
        <f>IF(SalesData[[#This Row],[Profit]]&lt;0, "Loss", "Profit")</f>
        <v>Profit</v>
      </c>
      <c r="W161" s="2">
        <f>SalesData[[#This Row],[Unit_Price]]*(1-SalesData[[#This Row],[Discount]])</f>
        <v>774.16499999999996</v>
      </c>
      <c r="X161" s="2">
        <f>SalesData[[#This Row],[Effective_Unit_Price]]-SalesData[[#This Row],[Unit_Cost]]</f>
        <v>165.59499999999991</v>
      </c>
      <c r="Y161" s="2" t="str">
        <f>IF(SalesData[[#This Row],[Effective_Unit_Margin]]&lt;0,"Loss per Unit","Positive per Unit")</f>
        <v>Positive per Unit</v>
      </c>
    </row>
    <row r="162" spans="1:25" x14ac:dyDescent="0.3">
      <c r="A162">
        <v>1052</v>
      </c>
      <c r="B162" s="1">
        <v>45122</v>
      </c>
      <c r="C162" t="s">
        <v>32</v>
      </c>
      <c r="D162" t="s">
        <v>33</v>
      </c>
      <c r="E162">
        <v>48</v>
      </c>
      <c r="F162" t="s">
        <v>25</v>
      </c>
      <c r="G162">
        <v>3002.35</v>
      </c>
      <c r="H162">
        <v>3080.61</v>
      </c>
      <c r="I162" t="s">
        <v>16</v>
      </c>
      <c r="J162" s="2">
        <v>0.18</v>
      </c>
      <c r="K162" t="s">
        <v>26</v>
      </c>
      <c r="L162" t="s">
        <v>21</v>
      </c>
      <c r="M162" t="s">
        <v>35</v>
      </c>
      <c r="N162">
        <f>SalesData[[#This Row],[Quantity_Sold]]*SalesData[[#This Row],[Unit_Cost]]</f>
        <v>144112.79999999999</v>
      </c>
      <c r="O162">
        <f>SalesData[[#This Row],[Quantity_Sold]]*SalesData[[#This Row],[Unit_Price]]</f>
        <v>147869.28</v>
      </c>
      <c r="P162">
        <f>SalesData[[#This Row],[Gross_sales]]*(1-SalesData[[#This Row],[Discount]])</f>
        <v>121252.80960000001</v>
      </c>
      <c r="Q162" s="2">
        <f>SalesData[[#This Row],[Sales_amount]]-SalesData[[#This Row],[Total_Cost]]</f>
        <v>-22859.990399999981</v>
      </c>
      <c r="R162" s="2">
        <f>SalesData[[#This Row],[Profit]]/SalesData[[#This Row],[Sales_amount]]</f>
        <v>-0.18853163465170525</v>
      </c>
      <c r="S162" s="2">
        <f>SalesData[[#This Row],[Unit_Price]]-SalesData[[#This Row],[Unit_Cost]]</f>
        <v>78.260000000000218</v>
      </c>
      <c r="T162" s="10">
        <f>SalesData[[#This Row],[Unit_Margin]]/SalesData[[#This Row],[Unit_Price]]</f>
        <v>2.5404059585601622E-2</v>
      </c>
      <c r="U162" s="2" t="str">
        <f>IF(SalesData[[#This Row],[Unit_Margin]]&lt;0, "Negative margin", "Positive margin")</f>
        <v>Positive margin</v>
      </c>
      <c r="V162" s="2" t="str">
        <f>IF(SalesData[[#This Row],[Profit]]&lt;0, "Loss", "Profit")</f>
        <v>Loss</v>
      </c>
      <c r="W162" s="2">
        <f>SalesData[[#This Row],[Unit_Price]]*(1-SalesData[[#This Row],[Discount]])</f>
        <v>2526.1002000000003</v>
      </c>
      <c r="X162" s="2">
        <f>SalesData[[#This Row],[Effective_Unit_Price]]-SalesData[[#This Row],[Unit_Cost]]</f>
        <v>-476.2497999999996</v>
      </c>
      <c r="Y162" s="2" t="str">
        <f>IF(SalesData[[#This Row],[Effective_Unit_Margin]]&lt;0,"Loss per Unit","Positive per Unit")</f>
        <v>Loss per Unit</v>
      </c>
    </row>
    <row r="163" spans="1:25" x14ac:dyDescent="0.3">
      <c r="A163">
        <v>1096</v>
      </c>
      <c r="B163" s="1">
        <v>45012</v>
      </c>
      <c r="C163" t="s">
        <v>41</v>
      </c>
      <c r="D163" t="s">
        <v>14</v>
      </c>
      <c r="E163">
        <v>48</v>
      </c>
      <c r="F163" t="s">
        <v>28</v>
      </c>
      <c r="G163">
        <v>2449.21</v>
      </c>
      <c r="H163">
        <v>2714.12</v>
      </c>
      <c r="I163" t="s">
        <v>29</v>
      </c>
      <c r="J163" s="2">
        <v>0.01</v>
      </c>
      <c r="K163" t="s">
        <v>30</v>
      </c>
      <c r="L163" t="s">
        <v>18</v>
      </c>
      <c r="M163" t="s">
        <v>48</v>
      </c>
      <c r="N163">
        <f>SalesData[[#This Row],[Quantity_Sold]]*SalesData[[#This Row],[Unit_Cost]]</f>
        <v>117562.08</v>
      </c>
      <c r="O163">
        <f>SalesData[[#This Row],[Quantity_Sold]]*SalesData[[#This Row],[Unit_Price]]</f>
        <v>130277.75999999999</v>
      </c>
      <c r="P163">
        <f>SalesData[[#This Row],[Gross_sales]]*(1-SalesData[[#This Row],[Discount]])</f>
        <v>128974.98239999999</v>
      </c>
      <c r="Q163" s="2">
        <f>SalesData[[#This Row],[Sales_amount]]-SalesData[[#This Row],[Total_Cost]]</f>
        <v>11412.902399999992</v>
      </c>
      <c r="R163" s="2">
        <f>SalesData[[#This Row],[Profit]]/SalesData[[#This Row],[Sales_amount]]</f>
        <v>8.8489272784734979E-2</v>
      </c>
      <c r="S163" s="2">
        <f>SalesData[[#This Row],[Unit_Price]]-SalesData[[#This Row],[Unit_Cost]]</f>
        <v>264.90999999999985</v>
      </c>
      <c r="T163" s="10">
        <f>SalesData[[#This Row],[Unit_Margin]]/SalesData[[#This Row],[Unit_Price]]</f>
        <v>9.7604380056887638E-2</v>
      </c>
      <c r="U163" s="2" t="str">
        <f>IF(SalesData[[#This Row],[Unit_Margin]]&lt;0, "Negative margin", "Positive margin")</f>
        <v>Positive margin</v>
      </c>
      <c r="V163" s="2" t="str">
        <f>IF(SalesData[[#This Row],[Profit]]&lt;0, "Loss", "Profit")</f>
        <v>Profit</v>
      </c>
      <c r="W163" s="2">
        <f>SalesData[[#This Row],[Unit_Price]]*(1-SalesData[[#This Row],[Discount]])</f>
        <v>2686.9787999999999</v>
      </c>
      <c r="X163" s="2">
        <f>SalesData[[#This Row],[Effective_Unit_Price]]-SalesData[[#This Row],[Unit_Cost]]</f>
        <v>237.76879999999983</v>
      </c>
      <c r="Y163" s="2" t="str">
        <f>IF(SalesData[[#This Row],[Effective_Unit_Margin]]&lt;0,"Loss per Unit","Positive per Unit")</f>
        <v>Positive per Unit</v>
      </c>
    </row>
    <row r="164" spans="1:25" x14ac:dyDescent="0.3">
      <c r="A164">
        <v>1004</v>
      </c>
      <c r="B164" s="1">
        <v>45248</v>
      </c>
      <c r="C164" t="s">
        <v>41</v>
      </c>
      <c r="D164" t="s">
        <v>33</v>
      </c>
      <c r="E164">
        <v>1</v>
      </c>
      <c r="F164" t="s">
        <v>25</v>
      </c>
      <c r="G164">
        <v>182.99</v>
      </c>
      <c r="H164">
        <v>211.18</v>
      </c>
      <c r="I164" t="s">
        <v>16</v>
      </c>
      <c r="J164" s="2">
        <v>0.27</v>
      </c>
      <c r="K164" t="s">
        <v>26</v>
      </c>
      <c r="L164" t="s">
        <v>21</v>
      </c>
      <c r="M164" t="s">
        <v>51</v>
      </c>
      <c r="N164">
        <f>SalesData[[#This Row],[Quantity_Sold]]*SalesData[[#This Row],[Unit_Cost]]</f>
        <v>182.99</v>
      </c>
      <c r="O164">
        <f>SalesData[[#This Row],[Quantity_Sold]]*SalesData[[#This Row],[Unit_Price]]</f>
        <v>211.18</v>
      </c>
      <c r="P164">
        <f>SalesData[[#This Row],[Gross_sales]]*(1-SalesData[[#This Row],[Discount]])</f>
        <v>154.16140000000001</v>
      </c>
      <c r="Q164" s="2">
        <f>SalesData[[#This Row],[Sales_amount]]-SalesData[[#This Row],[Total_Cost]]</f>
        <v>-28.828599999999994</v>
      </c>
      <c r="R164" s="2">
        <f>SalesData[[#This Row],[Profit]]/SalesData[[#This Row],[Sales_amount]]</f>
        <v>-0.18700271274132171</v>
      </c>
      <c r="S164" s="2">
        <f>SalesData[[#This Row],[Unit_Price]]-SalesData[[#This Row],[Unit_Cost]]</f>
        <v>28.189999999999998</v>
      </c>
      <c r="T164" s="10">
        <f>SalesData[[#This Row],[Unit_Margin]]/SalesData[[#This Row],[Unit_Price]]</f>
        <v>0.13348801969883511</v>
      </c>
      <c r="U164" s="2" t="str">
        <f>IF(SalesData[[#This Row],[Unit_Margin]]&lt;0, "Negative margin", "Positive margin")</f>
        <v>Positive margin</v>
      </c>
      <c r="V164" s="2" t="str">
        <f>IF(SalesData[[#This Row],[Profit]]&lt;0, "Loss", "Profit")</f>
        <v>Loss</v>
      </c>
      <c r="W164" s="2">
        <f>SalesData[[#This Row],[Unit_Price]]*(1-SalesData[[#This Row],[Discount]])</f>
        <v>154.16140000000001</v>
      </c>
      <c r="X164" s="2">
        <f>SalesData[[#This Row],[Effective_Unit_Price]]-SalesData[[#This Row],[Unit_Cost]]</f>
        <v>-28.828599999999994</v>
      </c>
      <c r="Y164" s="2" t="str">
        <f>IF(SalesData[[#This Row],[Effective_Unit_Margin]]&lt;0,"Loss per Unit","Positive per Unit")</f>
        <v>Loss per Unit</v>
      </c>
    </row>
    <row r="165" spans="1:25" x14ac:dyDescent="0.3">
      <c r="A165">
        <v>1094</v>
      </c>
      <c r="B165" s="1">
        <v>44936</v>
      </c>
      <c r="C165" t="s">
        <v>37</v>
      </c>
      <c r="D165" t="s">
        <v>14</v>
      </c>
      <c r="E165">
        <v>25</v>
      </c>
      <c r="F165" t="s">
        <v>34</v>
      </c>
      <c r="G165">
        <v>1933.39</v>
      </c>
      <c r="H165">
        <v>1982.92</v>
      </c>
      <c r="I165" t="s">
        <v>29</v>
      </c>
      <c r="J165" s="2">
        <v>0.17</v>
      </c>
      <c r="K165" t="s">
        <v>26</v>
      </c>
      <c r="L165" t="s">
        <v>18</v>
      </c>
      <c r="M165" t="s">
        <v>39</v>
      </c>
      <c r="N165">
        <f>SalesData[[#This Row],[Quantity_Sold]]*SalesData[[#This Row],[Unit_Cost]]</f>
        <v>48334.75</v>
      </c>
      <c r="O165">
        <f>SalesData[[#This Row],[Quantity_Sold]]*SalesData[[#This Row],[Unit_Price]]</f>
        <v>49573</v>
      </c>
      <c r="P165">
        <f>SalesData[[#This Row],[Gross_sales]]*(1-SalesData[[#This Row],[Discount]])</f>
        <v>41145.589999999997</v>
      </c>
      <c r="Q165" s="2">
        <f>SalesData[[#This Row],[Sales_amount]]-SalesData[[#This Row],[Total_Cost]]</f>
        <v>-7189.1600000000035</v>
      </c>
      <c r="R165" s="2">
        <f>SalesData[[#This Row],[Profit]]/SalesData[[#This Row],[Sales_amount]]</f>
        <v>-0.17472492191751302</v>
      </c>
      <c r="S165" s="2">
        <f>SalesData[[#This Row],[Unit_Price]]-SalesData[[#This Row],[Unit_Cost]]</f>
        <v>49.529999999999973</v>
      </c>
      <c r="T165" s="10">
        <f>SalesData[[#This Row],[Unit_Margin]]/SalesData[[#This Row],[Unit_Price]]</f>
        <v>2.4978314808464269E-2</v>
      </c>
      <c r="U165" s="2" t="str">
        <f>IF(SalesData[[#This Row],[Unit_Margin]]&lt;0, "Negative margin", "Positive margin")</f>
        <v>Positive margin</v>
      </c>
      <c r="V165" s="2" t="str">
        <f>IF(SalesData[[#This Row],[Profit]]&lt;0, "Loss", "Profit")</f>
        <v>Loss</v>
      </c>
      <c r="W165" s="2">
        <f>SalesData[[#This Row],[Unit_Price]]*(1-SalesData[[#This Row],[Discount]])</f>
        <v>1645.8235999999999</v>
      </c>
      <c r="X165" s="2">
        <f>SalesData[[#This Row],[Effective_Unit_Price]]-SalesData[[#This Row],[Unit_Cost]]</f>
        <v>-287.56640000000016</v>
      </c>
      <c r="Y165" s="2" t="str">
        <f>IF(SalesData[[#This Row],[Effective_Unit_Margin]]&lt;0,"Loss per Unit","Positive per Unit")</f>
        <v>Loss per Unit</v>
      </c>
    </row>
    <row r="166" spans="1:25" x14ac:dyDescent="0.3">
      <c r="A166">
        <v>1023</v>
      </c>
      <c r="B166" s="1">
        <v>44931</v>
      </c>
      <c r="C166" t="s">
        <v>41</v>
      </c>
      <c r="D166" t="s">
        <v>33</v>
      </c>
      <c r="E166">
        <v>2</v>
      </c>
      <c r="F166" t="s">
        <v>28</v>
      </c>
      <c r="G166">
        <v>575.32000000000005</v>
      </c>
      <c r="H166">
        <v>914.77</v>
      </c>
      <c r="I166" t="s">
        <v>16</v>
      </c>
      <c r="J166" s="2">
        <v>0.26</v>
      </c>
      <c r="K166" t="s">
        <v>26</v>
      </c>
      <c r="L166" t="s">
        <v>18</v>
      </c>
      <c r="M166" t="s">
        <v>51</v>
      </c>
      <c r="N166">
        <f>SalesData[[#This Row],[Quantity_Sold]]*SalesData[[#This Row],[Unit_Cost]]</f>
        <v>1150.6400000000001</v>
      </c>
      <c r="O166">
        <f>SalesData[[#This Row],[Quantity_Sold]]*SalesData[[#This Row],[Unit_Price]]</f>
        <v>1829.54</v>
      </c>
      <c r="P166">
        <f>SalesData[[#This Row],[Gross_sales]]*(1-SalesData[[#This Row],[Discount]])</f>
        <v>1353.8596</v>
      </c>
      <c r="Q166" s="2">
        <f>SalesData[[#This Row],[Sales_amount]]-SalesData[[#This Row],[Total_Cost]]</f>
        <v>203.2195999999999</v>
      </c>
      <c r="R166" s="2">
        <f>SalesData[[#This Row],[Profit]]/SalesData[[#This Row],[Sales_amount]]</f>
        <v>0.15010389555903722</v>
      </c>
      <c r="S166" s="2">
        <f>SalesData[[#This Row],[Unit_Price]]-SalesData[[#This Row],[Unit_Cost]]</f>
        <v>339.44999999999993</v>
      </c>
      <c r="T166" s="10">
        <f>SalesData[[#This Row],[Unit_Margin]]/SalesData[[#This Row],[Unit_Price]]</f>
        <v>0.37107688271368755</v>
      </c>
      <c r="U166" s="2" t="str">
        <f>IF(SalesData[[#This Row],[Unit_Margin]]&lt;0, "Negative margin", "Positive margin")</f>
        <v>Positive margin</v>
      </c>
      <c r="V166" s="2" t="str">
        <f>IF(SalesData[[#This Row],[Profit]]&lt;0, "Loss", "Profit")</f>
        <v>Profit</v>
      </c>
      <c r="W166" s="2">
        <f>SalesData[[#This Row],[Unit_Price]]*(1-SalesData[[#This Row],[Discount]])</f>
        <v>676.9298</v>
      </c>
      <c r="X166" s="2">
        <f>SalesData[[#This Row],[Effective_Unit_Price]]-SalesData[[#This Row],[Unit_Cost]]</f>
        <v>101.60979999999995</v>
      </c>
      <c r="Y166" s="2" t="str">
        <f>IF(SalesData[[#This Row],[Effective_Unit_Margin]]&lt;0,"Loss per Unit","Positive per Unit")</f>
        <v>Positive per Unit</v>
      </c>
    </row>
    <row r="167" spans="1:25" x14ac:dyDescent="0.3">
      <c r="A167">
        <v>1015</v>
      </c>
      <c r="B167" s="1">
        <v>45049</v>
      </c>
      <c r="C167" t="s">
        <v>23</v>
      </c>
      <c r="D167" t="s">
        <v>24</v>
      </c>
      <c r="E167">
        <v>30</v>
      </c>
      <c r="F167" t="s">
        <v>25</v>
      </c>
      <c r="G167">
        <v>2680.22</v>
      </c>
      <c r="H167">
        <v>3027.9199999999901</v>
      </c>
      <c r="I167" t="s">
        <v>16</v>
      </c>
      <c r="J167" s="2">
        <v>0.25</v>
      </c>
      <c r="K167" t="s">
        <v>26</v>
      </c>
      <c r="L167" t="s">
        <v>18</v>
      </c>
      <c r="M167" t="s">
        <v>27</v>
      </c>
      <c r="N167">
        <f>SalesData[[#This Row],[Quantity_Sold]]*SalesData[[#This Row],[Unit_Cost]]</f>
        <v>80406.599999999991</v>
      </c>
      <c r="O167">
        <f>SalesData[[#This Row],[Quantity_Sold]]*SalesData[[#This Row],[Unit_Price]]</f>
        <v>90837.5999999997</v>
      </c>
      <c r="P167">
        <f>SalesData[[#This Row],[Gross_sales]]*(1-SalesData[[#This Row],[Discount]])</f>
        <v>68128.199999999779</v>
      </c>
      <c r="Q167" s="2">
        <f>SalesData[[#This Row],[Sales_amount]]-SalesData[[#This Row],[Total_Cost]]</f>
        <v>-12278.400000000212</v>
      </c>
      <c r="R167" s="2">
        <f>SalesData[[#This Row],[Profit]]/SalesData[[#This Row],[Sales_amount]]</f>
        <v>-0.18022492888407815</v>
      </c>
      <c r="S167" s="2">
        <f>SalesData[[#This Row],[Unit_Price]]-SalesData[[#This Row],[Unit_Cost]]</f>
        <v>347.69999999999027</v>
      </c>
      <c r="T167" s="10">
        <f>SalesData[[#This Row],[Unit_Margin]]/SalesData[[#This Row],[Unit_Price]]</f>
        <v>0.11483130333694133</v>
      </c>
      <c r="U167" s="2" t="str">
        <f>IF(SalesData[[#This Row],[Unit_Margin]]&lt;0, "Negative margin", "Positive margin")</f>
        <v>Positive margin</v>
      </c>
      <c r="V167" s="2" t="str">
        <f>IF(SalesData[[#This Row],[Profit]]&lt;0, "Loss", "Profit")</f>
        <v>Loss</v>
      </c>
      <c r="W167" s="2">
        <f>SalesData[[#This Row],[Unit_Price]]*(1-SalesData[[#This Row],[Discount]])</f>
        <v>2270.9399999999923</v>
      </c>
      <c r="X167" s="2">
        <f>SalesData[[#This Row],[Effective_Unit_Price]]-SalesData[[#This Row],[Unit_Cost]]</f>
        <v>-409.28000000000748</v>
      </c>
      <c r="Y167" s="2" t="str">
        <f>IF(SalesData[[#This Row],[Effective_Unit_Margin]]&lt;0,"Loss per Unit","Positive per Unit")</f>
        <v>Loss per Unit</v>
      </c>
    </row>
    <row r="168" spans="1:25" x14ac:dyDescent="0.3">
      <c r="A168">
        <v>1043</v>
      </c>
      <c r="B168" s="1">
        <v>45256</v>
      </c>
      <c r="C168" t="s">
        <v>13</v>
      </c>
      <c r="D168" t="s">
        <v>24</v>
      </c>
      <c r="E168">
        <v>3</v>
      </c>
      <c r="F168" t="s">
        <v>34</v>
      </c>
      <c r="G168">
        <v>2009.1</v>
      </c>
      <c r="H168">
        <v>2186.42</v>
      </c>
      <c r="I168" t="s">
        <v>29</v>
      </c>
      <c r="J168" s="2">
        <v>0.25</v>
      </c>
      <c r="K168" t="s">
        <v>26</v>
      </c>
      <c r="L168" t="s">
        <v>18</v>
      </c>
      <c r="M168" t="s">
        <v>31</v>
      </c>
      <c r="N168">
        <f>SalesData[[#This Row],[Quantity_Sold]]*SalesData[[#This Row],[Unit_Cost]]</f>
        <v>6027.2999999999993</v>
      </c>
      <c r="O168">
        <f>SalesData[[#This Row],[Quantity_Sold]]*SalesData[[#This Row],[Unit_Price]]</f>
        <v>6559.26</v>
      </c>
      <c r="P168">
        <f>SalesData[[#This Row],[Gross_sales]]*(1-SalesData[[#This Row],[Discount]])</f>
        <v>4919.4449999999997</v>
      </c>
      <c r="Q168" s="2">
        <f>SalesData[[#This Row],[Sales_amount]]-SalesData[[#This Row],[Total_Cost]]</f>
        <v>-1107.8549999999996</v>
      </c>
      <c r="R168" s="2">
        <f>SalesData[[#This Row],[Profit]]/SalesData[[#This Row],[Sales_amount]]</f>
        <v>-0.22519918405429873</v>
      </c>
      <c r="S168" s="2">
        <f>SalesData[[#This Row],[Unit_Price]]-SalesData[[#This Row],[Unit_Cost]]</f>
        <v>177.32000000000016</v>
      </c>
      <c r="T168" s="10">
        <f>SalesData[[#This Row],[Unit_Margin]]/SalesData[[#This Row],[Unit_Price]]</f>
        <v>8.1100611959275967E-2</v>
      </c>
      <c r="U168" s="2" t="str">
        <f>IF(SalesData[[#This Row],[Unit_Margin]]&lt;0, "Negative margin", "Positive margin")</f>
        <v>Positive margin</v>
      </c>
      <c r="V168" s="2" t="str">
        <f>IF(SalesData[[#This Row],[Profit]]&lt;0, "Loss", "Profit")</f>
        <v>Loss</v>
      </c>
      <c r="W168" s="2">
        <f>SalesData[[#This Row],[Unit_Price]]*(1-SalesData[[#This Row],[Discount]])</f>
        <v>1639.8150000000001</v>
      </c>
      <c r="X168" s="2">
        <f>SalesData[[#This Row],[Effective_Unit_Price]]-SalesData[[#This Row],[Unit_Cost]]</f>
        <v>-369.28499999999985</v>
      </c>
      <c r="Y168" s="2" t="str">
        <f>IF(SalesData[[#This Row],[Effective_Unit_Margin]]&lt;0,"Loss per Unit","Positive per Unit")</f>
        <v>Loss per Unit</v>
      </c>
    </row>
    <row r="169" spans="1:25" x14ac:dyDescent="0.3">
      <c r="A169">
        <v>1029</v>
      </c>
      <c r="B169" s="1">
        <v>45279</v>
      </c>
      <c r="C169" t="s">
        <v>37</v>
      </c>
      <c r="D169" t="s">
        <v>14</v>
      </c>
      <c r="E169">
        <v>21</v>
      </c>
      <c r="F169" t="s">
        <v>25</v>
      </c>
      <c r="G169">
        <v>3085.1</v>
      </c>
      <c r="H169">
        <v>3200.75</v>
      </c>
      <c r="I169" t="s">
        <v>29</v>
      </c>
      <c r="J169" s="2">
        <v>0.21</v>
      </c>
      <c r="K169" t="s">
        <v>17</v>
      </c>
      <c r="L169" t="s">
        <v>21</v>
      </c>
      <c r="M169" t="s">
        <v>39</v>
      </c>
      <c r="N169">
        <f>SalesData[[#This Row],[Quantity_Sold]]*SalesData[[#This Row],[Unit_Cost]]</f>
        <v>64787.1</v>
      </c>
      <c r="O169">
        <f>SalesData[[#This Row],[Quantity_Sold]]*SalesData[[#This Row],[Unit_Price]]</f>
        <v>67215.75</v>
      </c>
      <c r="P169">
        <f>SalesData[[#This Row],[Gross_sales]]*(1-SalesData[[#This Row],[Discount]])</f>
        <v>53100.442500000005</v>
      </c>
      <c r="Q169" s="2">
        <f>SalesData[[#This Row],[Sales_amount]]-SalesData[[#This Row],[Total_Cost]]</f>
        <v>-11686.657499999994</v>
      </c>
      <c r="R169" s="2">
        <f>SalesData[[#This Row],[Profit]]/SalesData[[#This Row],[Sales_amount]]</f>
        <v>-0.22008587781542485</v>
      </c>
      <c r="S169" s="2">
        <f>SalesData[[#This Row],[Unit_Price]]-SalesData[[#This Row],[Unit_Cost]]</f>
        <v>115.65000000000009</v>
      </c>
      <c r="T169" s="10">
        <f>SalesData[[#This Row],[Unit_Margin]]/SalesData[[#This Row],[Unit_Price]]</f>
        <v>3.6132156525814293E-2</v>
      </c>
      <c r="U169" s="2" t="str">
        <f>IF(SalesData[[#This Row],[Unit_Margin]]&lt;0, "Negative margin", "Positive margin")</f>
        <v>Positive margin</v>
      </c>
      <c r="V169" s="2" t="str">
        <f>IF(SalesData[[#This Row],[Profit]]&lt;0, "Loss", "Profit")</f>
        <v>Loss</v>
      </c>
      <c r="W169" s="2">
        <f>SalesData[[#This Row],[Unit_Price]]*(1-SalesData[[#This Row],[Discount]])</f>
        <v>2528.5925000000002</v>
      </c>
      <c r="X169" s="2">
        <f>SalesData[[#This Row],[Effective_Unit_Price]]-SalesData[[#This Row],[Unit_Cost]]</f>
        <v>-556.50749999999971</v>
      </c>
      <c r="Y169" s="2" t="str">
        <f>IF(SalesData[[#This Row],[Effective_Unit_Margin]]&lt;0,"Loss per Unit","Positive per Unit")</f>
        <v>Loss per Unit</v>
      </c>
    </row>
    <row r="170" spans="1:25" x14ac:dyDescent="0.3">
      <c r="A170">
        <v>1036</v>
      </c>
      <c r="B170" s="1">
        <v>45044</v>
      </c>
      <c r="C170" t="s">
        <v>32</v>
      </c>
      <c r="D170" t="s">
        <v>20</v>
      </c>
      <c r="E170">
        <v>25</v>
      </c>
      <c r="F170" t="s">
        <v>15</v>
      </c>
      <c r="G170">
        <v>4037.73</v>
      </c>
      <c r="H170">
        <v>4446.45</v>
      </c>
      <c r="I170" t="s">
        <v>16</v>
      </c>
      <c r="J170" s="2">
        <v>0.09</v>
      </c>
      <c r="K170" t="s">
        <v>26</v>
      </c>
      <c r="L170" t="s">
        <v>18</v>
      </c>
      <c r="M170" t="s">
        <v>36</v>
      </c>
      <c r="N170">
        <f>SalesData[[#This Row],[Quantity_Sold]]*SalesData[[#This Row],[Unit_Cost]]</f>
        <v>100943.25</v>
      </c>
      <c r="O170">
        <f>SalesData[[#This Row],[Quantity_Sold]]*SalesData[[#This Row],[Unit_Price]]</f>
        <v>111161.25</v>
      </c>
      <c r="P170">
        <f>SalesData[[#This Row],[Gross_sales]]*(1-SalesData[[#This Row],[Discount]])</f>
        <v>101156.7375</v>
      </c>
      <c r="Q170" s="2">
        <f>SalesData[[#This Row],[Sales_amount]]-SalesData[[#This Row],[Total_Cost]]</f>
        <v>213.48750000000291</v>
      </c>
      <c r="R170" s="2">
        <f>SalesData[[#This Row],[Profit]]/SalesData[[#This Row],[Sales_amount]]</f>
        <v>2.1104624889667178E-3</v>
      </c>
      <c r="S170" s="2">
        <f>SalesData[[#This Row],[Unit_Price]]-SalesData[[#This Row],[Unit_Cost]]</f>
        <v>408.7199999999998</v>
      </c>
      <c r="T170" s="10">
        <f>SalesData[[#This Row],[Unit_Margin]]/SalesData[[#This Row],[Unit_Price]]</f>
        <v>9.1920520864959651E-2</v>
      </c>
      <c r="U170" s="2" t="str">
        <f>IF(SalesData[[#This Row],[Unit_Margin]]&lt;0, "Negative margin", "Positive margin")</f>
        <v>Positive margin</v>
      </c>
      <c r="V170" s="2" t="str">
        <f>IF(SalesData[[#This Row],[Profit]]&lt;0, "Loss", "Profit")</f>
        <v>Profit</v>
      </c>
      <c r="W170" s="2">
        <f>SalesData[[#This Row],[Unit_Price]]*(1-SalesData[[#This Row],[Discount]])</f>
        <v>4046.2694999999999</v>
      </c>
      <c r="X170" s="2">
        <f>SalesData[[#This Row],[Effective_Unit_Price]]-SalesData[[#This Row],[Unit_Cost]]</f>
        <v>8.5394999999998618</v>
      </c>
      <c r="Y170" s="2" t="str">
        <f>IF(SalesData[[#This Row],[Effective_Unit_Margin]]&lt;0,"Loss per Unit","Positive per Unit")</f>
        <v>Positive per Unit</v>
      </c>
    </row>
    <row r="171" spans="1:25" x14ac:dyDescent="0.3">
      <c r="A171">
        <v>1013</v>
      </c>
      <c r="B171" s="1">
        <v>45220</v>
      </c>
      <c r="C171" t="s">
        <v>23</v>
      </c>
      <c r="D171" t="s">
        <v>33</v>
      </c>
      <c r="E171">
        <v>20</v>
      </c>
      <c r="F171" t="s">
        <v>34</v>
      </c>
      <c r="G171">
        <v>1533.36</v>
      </c>
      <c r="H171">
        <v>1649.73999999999</v>
      </c>
      <c r="I171" t="s">
        <v>16</v>
      </c>
      <c r="J171" s="2">
        <v>0.1</v>
      </c>
      <c r="K171" t="s">
        <v>26</v>
      </c>
      <c r="L171" t="s">
        <v>18</v>
      </c>
      <c r="M171" t="s">
        <v>49</v>
      </c>
      <c r="N171">
        <f>SalesData[[#This Row],[Quantity_Sold]]*SalesData[[#This Row],[Unit_Cost]]</f>
        <v>30667.199999999997</v>
      </c>
      <c r="O171">
        <f>SalesData[[#This Row],[Quantity_Sold]]*SalesData[[#This Row],[Unit_Price]]</f>
        <v>32994.799999999799</v>
      </c>
      <c r="P171">
        <f>SalesData[[#This Row],[Gross_sales]]*(1-SalesData[[#This Row],[Discount]])</f>
        <v>29695.319999999821</v>
      </c>
      <c r="Q171" s="2">
        <f>SalesData[[#This Row],[Sales_amount]]-SalesData[[#This Row],[Total_Cost]]</f>
        <v>-971.88000000017564</v>
      </c>
      <c r="R171" s="2">
        <f>SalesData[[#This Row],[Profit]]/SalesData[[#This Row],[Sales_amount]]</f>
        <v>-3.2728389524011914E-2</v>
      </c>
      <c r="S171" s="2">
        <f>SalesData[[#This Row],[Unit_Price]]-SalesData[[#This Row],[Unit_Cost]]</f>
        <v>116.3799999999901</v>
      </c>
      <c r="T171" s="10">
        <f>SalesData[[#This Row],[Unit_Margin]]/SalesData[[#This Row],[Unit_Price]]</f>
        <v>7.0544449428389208E-2</v>
      </c>
      <c r="U171" s="2" t="str">
        <f>IF(SalesData[[#This Row],[Unit_Margin]]&lt;0, "Negative margin", "Positive margin")</f>
        <v>Positive margin</v>
      </c>
      <c r="V171" s="2" t="str">
        <f>IF(SalesData[[#This Row],[Profit]]&lt;0, "Loss", "Profit")</f>
        <v>Loss</v>
      </c>
      <c r="W171" s="2">
        <f>SalesData[[#This Row],[Unit_Price]]*(1-SalesData[[#This Row],[Discount]])</f>
        <v>1484.765999999991</v>
      </c>
      <c r="X171" s="2">
        <f>SalesData[[#This Row],[Effective_Unit_Price]]-SalesData[[#This Row],[Unit_Cost]]</f>
        <v>-48.594000000008919</v>
      </c>
      <c r="Y171" s="2" t="str">
        <f>IF(SalesData[[#This Row],[Effective_Unit_Margin]]&lt;0,"Loss per Unit","Positive per Unit")</f>
        <v>Loss per Unit</v>
      </c>
    </row>
    <row r="172" spans="1:25" x14ac:dyDescent="0.3">
      <c r="A172">
        <v>1032</v>
      </c>
      <c r="B172" s="1">
        <v>45085</v>
      </c>
      <c r="C172" t="s">
        <v>37</v>
      </c>
      <c r="D172" t="s">
        <v>20</v>
      </c>
      <c r="E172">
        <v>49</v>
      </c>
      <c r="F172" t="s">
        <v>34</v>
      </c>
      <c r="G172">
        <v>4812.41</v>
      </c>
      <c r="H172">
        <v>5088</v>
      </c>
      <c r="I172" t="s">
        <v>16</v>
      </c>
      <c r="J172" s="2">
        <v>0.09</v>
      </c>
      <c r="K172" t="s">
        <v>30</v>
      </c>
      <c r="L172" t="s">
        <v>18</v>
      </c>
      <c r="M172" t="s">
        <v>40</v>
      </c>
      <c r="N172">
        <f>SalesData[[#This Row],[Quantity_Sold]]*SalesData[[#This Row],[Unit_Cost]]</f>
        <v>235808.09</v>
      </c>
      <c r="O172">
        <f>SalesData[[#This Row],[Quantity_Sold]]*SalesData[[#This Row],[Unit_Price]]</f>
        <v>249312</v>
      </c>
      <c r="P172">
        <f>SalesData[[#This Row],[Gross_sales]]*(1-SalesData[[#This Row],[Discount]])</f>
        <v>226873.92</v>
      </c>
      <c r="Q172" s="2">
        <f>SalesData[[#This Row],[Sales_amount]]-SalesData[[#This Row],[Total_Cost]]</f>
        <v>-8934.1699999999837</v>
      </c>
      <c r="R172" s="2">
        <f>SalesData[[#This Row],[Profit]]/SalesData[[#This Row],[Sales_amount]]</f>
        <v>-3.9379449167184943E-2</v>
      </c>
      <c r="S172" s="2">
        <f>SalesData[[#This Row],[Unit_Price]]-SalesData[[#This Row],[Unit_Cost]]</f>
        <v>275.59000000000015</v>
      </c>
      <c r="T172" s="10">
        <f>SalesData[[#This Row],[Unit_Margin]]/SalesData[[#This Row],[Unit_Price]]</f>
        <v>5.4164701257861665E-2</v>
      </c>
      <c r="U172" s="2" t="str">
        <f>IF(SalesData[[#This Row],[Unit_Margin]]&lt;0, "Negative margin", "Positive margin")</f>
        <v>Positive margin</v>
      </c>
      <c r="V172" s="2" t="str">
        <f>IF(SalesData[[#This Row],[Profit]]&lt;0, "Loss", "Profit")</f>
        <v>Loss</v>
      </c>
      <c r="W172" s="2">
        <f>SalesData[[#This Row],[Unit_Price]]*(1-SalesData[[#This Row],[Discount]])</f>
        <v>4630.08</v>
      </c>
      <c r="X172" s="2">
        <f>SalesData[[#This Row],[Effective_Unit_Price]]-SalesData[[#This Row],[Unit_Cost]]</f>
        <v>-182.32999999999993</v>
      </c>
      <c r="Y172" s="2" t="str">
        <f>IF(SalesData[[#This Row],[Effective_Unit_Margin]]&lt;0,"Loss per Unit","Positive per Unit")</f>
        <v>Loss per Unit</v>
      </c>
    </row>
    <row r="173" spans="1:25" x14ac:dyDescent="0.3">
      <c r="A173">
        <v>1071</v>
      </c>
      <c r="B173" s="1">
        <v>45229</v>
      </c>
      <c r="C173" t="s">
        <v>41</v>
      </c>
      <c r="D173" t="s">
        <v>20</v>
      </c>
      <c r="E173">
        <v>22</v>
      </c>
      <c r="F173" t="s">
        <v>34</v>
      </c>
      <c r="G173">
        <v>2701.39</v>
      </c>
      <c r="H173">
        <v>3185.81</v>
      </c>
      <c r="I173" t="s">
        <v>29</v>
      </c>
      <c r="J173" s="2">
        <v>0.01</v>
      </c>
      <c r="K173" t="s">
        <v>26</v>
      </c>
      <c r="L173" t="s">
        <v>18</v>
      </c>
      <c r="M173" t="s">
        <v>50</v>
      </c>
      <c r="N173">
        <f>SalesData[[#This Row],[Quantity_Sold]]*SalesData[[#This Row],[Unit_Cost]]</f>
        <v>59430.579999999994</v>
      </c>
      <c r="O173">
        <f>SalesData[[#This Row],[Quantity_Sold]]*SalesData[[#This Row],[Unit_Price]]</f>
        <v>70087.819999999992</v>
      </c>
      <c r="P173">
        <f>SalesData[[#This Row],[Gross_sales]]*(1-SalesData[[#This Row],[Discount]])</f>
        <v>69386.941799999986</v>
      </c>
      <c r="Q173" s="2">
        <f>SalesData[[#This Row],[Sales_amount]]-SalesData[[#This Row],[Total_Cost]]</f>
        <v>9956.3617999999915</v>
      </c>
      <c r="R173" s="2">
        <f>SalesData[[#This Row],[Profit]]/SalesData[[#This Row],[Sales_amount]]</f>
        <v>0.14349042545639321</v>
      </c>
      <c r="S173" s="2">
        <f>SalesData[[#This Row],[Unit_Price]]-SalesData[[#This Row],[Unit_Cost]]</f>
        <v>484.42000000000007</v>
      </c>
      <c r="T173" s="10">
        <f>SalesData[[#This Row],[Unit_Margin]]/SalesData[[#This Row],[Unit_Price]]</f>
        <v>0.15205552120182939</v>
      </c>
      <c r="U173" s="2" t="str">
        <f>IF(SalesData[[#This Row],[Unit_Margin]]&lt;0, "Negative margin", "Positive margin")</f>
        <v>Positive margin</v>
      </c>
      <c r="V173" s="2" t="str">
        <f>IF(SalesData[[#This Row],[Profit]]&lt;0, "Loss", "Profit")</f>
        <v>Profit</v>
      </c>
      <c r="W173" s="2">
        <f>SalesData[[#This Row],[Unit_Price]]*(1-SalesData[[#This Row],[Discount]])</f>
        <v>3153.9519</v>
      </c>
      <c r="X173" s="2">
        <f>SalesData[[#This Row],[Effective_Unit_Price]]-SalesData[[#This Row],[Unit_Cost]]</f>
        <v>452.56190000000015</v>
      </c>
      <c r="Y173" s="2" t="str">
        <f>IF(SalesData[[#This Row],[Effective_Unit_Margin]]&lt;0,"Loss per Unit","Positive per Unit")</f>
        <v>Positive per Unit</v>
      </c>
    </row>
    <row r="174" spans="1:25" x14ac:dyDescent="0.3">
      <c r="A174">
        <v>1059</v>
      </c>
      <c r="B174" s="1">
        <v>45154</v>
      </c>
      <c r="C174" t="s">
        <v>41</v>
      </c>
      <c r="D174" t="s">
        <v>20</v>
      </c>
      <c r="E174">
        <v>21</v>
      </c>
      <c r="F174" t="s">
        <v>28</v>
      </c>
      <c r="G174">
        <v>3110.54</v>
      </c>
      <c r="H174">
        <v>3192.99</v>
      </c>
      <c r="I174" t="s">
        <v>29</v>
      </c>
      <c r="J174" s="2">
        <v>0.17</v>
      </c>
      <c r="K174" t="s">
        <v>30</v>
      </c>
      <c r="L174" t="s">
        <v>18</v>
      </c>
      <c r="M174" t="s">
        <v>50</v>
      </c>
      <c r="N174">
        <f>SalesData[[#This Row],[Quantity_Sold]]*SalesData[[#This Row],[Unit_Cost]]</f>
        <v>65321.34</v>
      </c>
      <c r="O174">
        <f>SalesData[[#This Row],[Quantity_Sold]]*SalesData[[#This Row],[Unit_Price]]</f>
        <v>67052.789999999994</v>
      </c>
      <c r="P174">
        <f>SalesData[[#This Row],[Gross_sales]]*(1-SalesData[[#This Row],[Discount]])</f>
        <v>55653.815699999992</v>
      </c>
      <c r="Q174" s="2">
        <f>SalesData[[#This Row],[Sales_amount]]-SalesData[[#This Row],[Total_Cost]]</f>
        <v>-9667.5243000000046</v>
      </c>
      <c r="R174" s="2">
        <f>SalesData[[#This Row],[Profit]]/SalesData[[#This Row],[Sales_amount]]</f>
        <v>-0.17370820272436424</v>
      </c>
      <c r="S174" s="2">
        <f>SalesData[[#This Row],[Unit_Price]]-SalesData[[#This Row],[Unit_Cost]]</f>
        <v>82.449999999999818</v>
      </c>
      <c r="T174" s="10">
        <f>SalesData[[#This Row],[Unit_Margin]]/SalesData[[#This Row],[Unit_Price]]</f>
        <v>2.5822191738777703E-2</v>
      </c>
      <c r="U174" s="2" t="str">
        <f>IF(SalesData[[#This Row],[Unit_Margin]]&lt;0, "Negative margin", "Positive margin")</f>
        <v>Positive margin</v>
      </c>
      <c r="V174" s="2" t="str">
        <f>IF(SalesData[[#This Row],[Profit]]&lt;0, "Loss", "Profit")</f>
        <v>Loss</v>
      </c>
      <c r="W174" s="2">
        <f>SalesData[[#This Row],[Unit_Price]]*(1-SalesData[[#This Row],[Discount]])</f>
        <v>2650.1816999999996</v>
      </c>
      <c r="X174" s="2">
        <f>SalesData[[#This Row],[Effective_Unit_Price]]-SalesData[[#This Row],[Unit_Cost]]</f>
        <v>-460.35830000000033</v>
      </c>
      <c r="Y174" s="2" t="str">
        <f>IF(SalesData[[#This Row],[Effective_Unit_Margin]]&lt;0,"Loss per Unit","Positive per Unit")</f>
        <v>Loss per Unit</v>
      </c>
    </row>
    <row r="175" spans="1:25" x14ac:dyDescent="0.3">
      <c r="A175">
        <v>1086</v>
      </c>
      <c r="B175" s="1">
        <v>45291</v>
      </c>
      <c r="C175" t="s">
        <v>41</v>
      </c>
      <c r="D175" t="s">
        <v>24</v>
      </c>
      <c r="E175">
        <v>33</v>
      </c>
      <c r="F175" t="s">
        <v>28</v>
      </c>
      <c r="G175">
        <v>3419.33</v>
      </c>
      <c r="H175">
        <v>3890.3599999999901</v>
      </c>
      <c r="I175" t="s">
        <v>16</v>
      </c>
      <c r="J175" s="2">
        <v>0.21</v>
      </c>
      <c r="K175" t="s">
        <v>17</v>
      </c>
      <c r="L175" t="s">
        <v>21</v>
      </c>
      <c r="M175" t="s">
        <v>42</v>
      </c>
      <c r="N175">
        <f>SalesData[[#This Row],[Quantity_Sold]]*SalesData[[#This Row],[Unit_Cost]]</f>
        <v>112837.89</v>
      </c>
      <c r="O175">
        <f>SalesData[[#This Row],[Quantity_Sold]]*SalesData[[#This Row],[Unit_Price]]</f>
        <v>128381.87999999967</v>
      </c>
      <c r="P175">
        <f>SalesData[[#This Row],[Gross_sales]]*(1-SalesData[[#This Row],[Discount]])</f>
        <v>101421.68519999975</v>
      </c>
      <c r="Q175" s="2">
        <f>SalesData[[#This Row],[Sales_amount]]-SalesData[[#This Row],[Total_Cost]]</f>
        <v>-11416.204800000254</v>
      </c>
      <c r="R175" s="2">
        <f>SalesData[[#This Row],[Profit]]/SalesData[[#This Row],[Sales_amount]]</f>
        <v>-0.1125617739193342</v>
      </c>
      <c r="S175" s="2">
        <f>SalesData[[#This Row],[Unit_Price]]-SalesData[[#This Row],[Unit_Cost]]</f>
        <v>471.0299999999902</v>
      </c>
      <c r="T175" s="10">
        <f>SalesData[[#This Row],[Unit_Margin]]/SalesData[[#This Row],[Unit_Price]]</f>
        <v>0.12107619860372598</v>
      </c>
      <c r="U175" s="2" t="str">
        <f>IF(SalesData[[#This Row],[Unit_Margin]]&lt;0, "Negative margin", "Positive margin")</f>
        <v>Positive margin</v>
      </c>
      <c r="V175" s="2" t="str">
        <f>IF(SalesData[[#This Row],[Profit]]&lt;0, "Loss", "Profit")</f>
        <v>Loss</v>
      </c>
      <c r="W175" s="2">
        <f>SalesData[[#This Row],[Unit_Price]]*(1-SalesData[[#This Row],[Discount]])</f>
        <v>3073.3843999999922</v>
      </c>
      <c r="X175" s="2">
        <f>SalesData[[#This Row],[Effective_Unit_Price]]-SalesData[[#This Row],[Unit_Cost]]</f>
        <v>-345.94560000000774</v>
      </c>
      <c r="Y175" s="2" t="str">
        <f>IF(SalesData[[#This Row],[Effective_Unit_Margin]]&lt;0,"Loss per Unit","Positive per Unit")</f>
        <v>Loss per Unit</v>
      </c>
    </row>
    <row r="176" spans="1:25" x14ac:dyDescent="0.3">
      <c r="A176">
        <v>1028</v>
      </c>
      <c r="B176" s="1">
        <v>45142</v>
      </c>
      <c r="C176" t="s">
        <v>41</v>
      </c>
      <c r="D176" t="s">
        <v>14</v>
      </c>
      <c r="E176">
        <v>38</v>
      </c>
      <c r="F176" t="s">
        <v>28</v>
      </c>
      <c r="G176">
        <v>3350.32</v>
      </c>
      <c r="H176">
        <v>3449.94</v>
      </c>
      <c r="I176" t="s">
        <v>29</v>
      </c>
      <c r="J176" s="2">
        <v>0.26</v>
      </c>
      <c r="K176" t="s">
        <v>17</v>
      </c>
      <c r="L176" t="s">
        <v>18</v>
      </c>
      <c r="M176" t="s">
        <v>48</v>
      </c>
      <c r="N176">
        <f>SalesData[[#This Row],[Quantity_Sold]]*SalesData[[#This Row],[Unit_Cost]]</f>
        <v>127312.16</v>
      </c>
      <c r="O176">
        <f>SalesData[[#This Row],[Quantity_Sold]]*SalesData[[#This Row],[Unit_Price]]</f>
        <v>131097.72</v>
      </c>
      <c r="P176">
        <f>SalesData[[#This Row],[Gross_sales]]*(1-SalesData[[#This Row],[Discount]])</f>
        <v>97012.3128</v>
      </c>
      <c r="Q176" s="2">
        <f>SalesData[[#This Row],[Sales_amount]]-SalesData[[#This Row],[Total_Cost]]</f>
        <v>-30299.847200000004</v>
      </c>
      <c r="R176" s="2">
        <f>SalesData[[#This Row],[Profit]]/SalesData[[#This Row],[Sales_amount]]</f>
        <v>-0.31232991282731282</v>
      </c>
      <c r="S176" s="2">
        <f>SalesData[[#This Row],[Unit_Price]]-SalesData[[#This Row],[Unit_Cost]]</f>
        <v>99.619999999999891</v>
      </c>
      <c r="T176" s="10">
        <f>SalesData[[#This Row],[Unit_Margin]]/SalesData[[#This Row],[Unit_Price]]</f>
        <v>2.887586450778851E-2</v>
      </c>
      <c r="U176" s="2" t="str">
        <f>IF(SalesData[[#This Row],[Unit_Margin]]&lt;0, "Negative margin", "Positive margin")</f>
        <v>Positive margin</v>
      </c>
      <c r="V176" s="2" t="str">
        <f>IF(SalesData[[#This Row],[Profit]]&lt;0, "Loss", "Profit")</f>
        <v>Loss</v>
      </c>
      <c r="W176" s="2">
        <f>SalesData[[#This Row],[Unit_Price]]*(1-SalesData[[#This Row],[Discount]])</f>
        <v>2552.9556000000002</v>
      </c>
      <c r="X176" s="2">
        <f>SalesData[[#This Row],[Effective_Unit_Price]]-SalesData[[#This Row],[Unit_Cost]]</f>
        <v>-797.36439999999993</v>
      </c>
      <c r="Y176" s="2" t="str">
        <f>IF(SalesData[[#This Row],[Effective_Unit_Margin]]&lt;0,"Loss per Unit","Positive per Unit")</f>
        <v>Loss per Unit</v>
      </c>
    </row>
    <row r="177" spans="1:25" x14ac:dyDescent="0.3">
      <c r="A177">
        <v>1066</v>
      </c>
      <c r="B177" s="1">
        <v>45110</v>
      </c>
      <c r="C177" t="s">
        <v>32</v>
      </c>
      <c r="D177" t="s">
        <v>14</v>
      </c>
      <c r="E177">
        <v>15</v>
      </c>
      <c r="F177" t="s">
        <v>15</v>
      </c>
      <c r="G177">
        <v>2579.31</v>
      </c>
      <c r="H177">
        <v>2867.36</v>
      </c>
      <c r="I177" t="s">
        <v>16</v>
      </c>
      <c r="J177" s="2">
        <v>0.04</v>
      </c>
      <c r="K177" t="s">
        <v>26</v>
      </c>
      <c r="L177" t="s">
        <v>21</v>
      </c>
      <c r="M177" t="s">
        <v>52</v>
      </c>
      <c r="N177">
        <f>SalesData[[#This Row],[Quantity_Sold]]*SalesData[[#This Row],[Unit_Cost]]</f>
        <v>38689.65</v>
      </c>
      <c r="O177">
        <f>SalesData[[#This Row],[Quantity_Sold]]*SalesData[[#This Row],[Unit_Price]]</f>
        <v>43010.400000000001</v>
      </c>
      <c r="P177">
        <f>SalesData[[#This Row],[Gross_sales]]*(1-SalesData[[#This Row],[Discount]])</f>
        <v>41289.983999999997</v>
      </c>
      <c r="Q177" s="2">
        <f>SalesData[[#This Row],[Sales_amount]]-SalesData[[#This Row],[Total_Cost]]</f>
        <v>2600.3339999999953</v>
      </c>
      <c r="R177" s="2">
        <f>SalesData[[#This Row],[Profit]]/SalesData[[#This Row],[Sales_amount]]</f>
        <v>6.2977355476814795E-2</v>
      </c>
      <c r="S177" s="2">
        <f>SalesData[[#This Row],[Unit_Price]]-SalesData[[#This Row],[Unit_Cost]]</f>
        <v>288.05000000000018</v>
      </c>
      <c r="T177" s="10">
        <f>SalesData[[#This Row],[Unit_Margin]]/SalesData[[#This Row],[Unit_Price]]</f>
        <v>0.10045826125774238</v>
      </c>
      <c r="U177" s="2" t="str">
        <f>IF(SalesData[[#This Row],[Unit_Margin]]&lt;0, "Negative margin", "Positive margin")</f>
        <v>Positive margin</v>
      </c>
      <c r="V177" s="2" t="str">
        <f>IF(SalesData[[#This Row],[Profit]]&lt;0, "Loss", "Profit")</f>
        <v>Profit</v>
      </c>
      <c r="W177" s="2">
        <f>SalesData[[#This Row],[Unit_Price]]*(1-SalesData[[#This Row],[Discount]])</f>
        <v>2752.6655999999998</v>
      </c>
      <c r="X177" s="2">
        <f>SalesData[[#This Row],[Effective_Unit_Price]]-SalesData[[#This Row],[Unit_Cost]]</f>
        <v>173.35559999999987</v>
      </c>
      <c r="Y177" s="2" t="str">
        <f>IF(SalesData[[#This Row],[Effective_Unit_Margin]]&lt;0,"Loss per Unit","Positive per Unit")</f>
        <v>Positive per Unit</v>
      </c>
    </row>
    <row r="178" spans="1:25" x14ac:dyDescent="0.3">
      <c r="A178">
        <v>1042</v>
      </c>
      <c r="B178" s="1">
        <v>44941</v>
      </c>
      <c r="C178" t="s">
        <v>23</v>
      </c>
      <c r="D178" t="s">
        <v>24</v>
      </c>
      <c r="E178">
        <v>46</v>
      </c>
      <c r="F178" t="s">
        <v>15</v>
      </c>
      <c r="G178">
        <v>2172.38</v>
      </c>
      <c r="H178">
        <v>2367.11</v>
      </c>
      <c r="I178" t="s">
        <v>29</v>
      </c>
      <c r="J178" s="2">
        <v>0.16</v>
      </c>
      <c r="K178" t="s">
        <v>17</v>
      </c>
      <c r="L178" t="s">
        <v>21</v>
      </c>
      <c r="M178" t="s">
        <v>27</v>
      </c>
      <c r="N178">
        <f>SalesData[[#This Row],[Quantity_Sold]]*SalesData[[#This Row],[Unit_Cost]]</f>
        <v>99929.48000000001</v>
      </c>
      <c r="O178">
        <f>SalesData[[#This Row],[Quantity_Sold]]*SalesData[[#This Row],[Unit_Price]]</f>
        <v>108887.06000000001</v>
      </c>
      <c r="P178">
        <f>SalesData[[#This Row],[Gross_sales]]*(1-SalesData[[#This Row],[Discount]])</f>
        <v>91465.130400000009</v>
      </c>
      <c r="Q178" s="2">
        <f>SalesData[[#This Row],[Sales_amount]]-SalesData[[#This Row],[Total_Cost]]</f>
        <v>-8464.3496000000014</v>
      </c>
      <c r="R178" s="2">
        <f>SalesData[[#This Row],[Profit]]/SalesData[[#This Row],[Sales_amount]]</f>
        <v>-9.2541819630970537E-2</v>
      </c>
      <c r="S178" s="2">
        <f>SalesData[[#This Row],[Unit_Price]]-SalesData[[#This Row],[Unit_Cost]]</f>
        <v>194.73000000000002</v>
      </c>
      <c r="T178" s="10">
        <f>SalesData[[#This Row],[Unit_Margin]]/SalesData[[#This Row],[Unit_Price]]</f>
        <v>8.2264871509984752E-2</v>
      </c>
      <c r="U178" s="2" t="str">
        <f>IF(SalesData[[#This Row],[Unit_Margin]]&lt;0, "Negative margin", "Positive margin")</f>
        <v>Positive margin</v>
      </c>
      <c r="V178" s="2" t="str">
        <f>IF(SalesData[[#This Row],[Profit]]&lt;0, "Loss", "Profit")</f>
        <v>Loss</v>
      </c>
      <c r="W178" s="2">
        <f>SalesData[[#This Row],[Unit_Price]]*(1-SalesData[[#This Row],[Discount]])</f>
        <v>1988.3724</v>
      </c>
      <c r="X178" s="2">
        <f>SalesData[[#This Row],[Effective_Unit_Price]]-SalesData[[#This Row],[Unit_Cost]]</f>
        <v>-184.00760000000014</v>
      </c>
      <c r="Y178" s="2" t="str">
        <f>IF(SalesData[[#This Row],[Effective_Unit_Margin]]&lt;0,"Loss per Unit","Positive per Unit")</f>
        <v>Loss per Unit</v>
      </c>
    </row>
    <row r="179" spans="1:25" x14ac:dyDescent="0.3">
      <c r="A179">
        <v>1045</v>
      </c>
      <c r="B179" s="1">
        <v>45083</v>
      </c>
      <c r="C179" t="s">
        <v>13</v>
      </c>
      <c r="D179" t="s">
        <v>24</v>
      </c>
      <c r="E179">
        <v>15</v>
      </c>
      <c r="F179" t="s">
        <v>34</v>
      </c>
      <c r="G179">
        <v>316.22000000000003</v>
      </c>
      <c r="H179">
        <v>799.04</v>
      </c>
      <c r="I179" t="s">
        <v>29</v>
      </c>
      <c r="J179" s="2">
        <v>0</v>
      </c>
      <c r="K179" t="s">
        <v>26</v>
      </c>
      <c r="L179" t="s">
        <v>18</v>
      </c>
      <c r="M179" t="s">
        <v>31</v>
      </c>
      <c r="N179">
        <f>SalesData[[#This Row],[Quantity_Sold]]*SalesData[[#This Row],[Unit_Cost]]</f>
        <v>4743.3</v>
      </c>
      <c r="O179">
        <f>SalesData[[#This Row],[Quantity_Sold]]*SalesData[[#This Row],[Unit_Price]]</f>
        <v>11985.599999999999</v>
      </c>
      <c r="P179">
        <f>SalesData[[#This Row],[Gross_sales]]*(1-SalesData[[#This Row],[Discount]])</f>
        <v>11985.599999999999</v>
      </c>
      <c r="Q179" s="2">
        <f>SalesData[[#This Row],[Sales_amount]]-SalesData[[#This Row],[Total_Cost]]</f>
        <v>7242.2999999999984</v>
      </c>
      <c r="R179" s="2">
        <f>SalesData[[#This Row],[Profit]]/SalesData[[#This Row],[Sales_amount]]</f>
        <v>0.60425010012014413</v>
      </c>
      <c r="S179" s="2">
        <f>SalesData[[#This Row],[Unit_Price]]-SalesData[[#This Row],[Unit_Cost]]</f>
        <v>482.81999999999994</v>
      </c>
      <c r="T179" s="10">
        <f>SalesData[[#This Row],[Unit_Margin]]/SalesData[[#This Row],[Unit_Price]]</f>
        <v>0.60425010012014413</v>
      </c>
      <c r="U179" s="2" t="str">
        <f>IF(SalesData[[#This Row],[Unit_Margin]]&lt;0, "Negative margin", "Positive margin")</f>
        <v>Positive margin</v>
      </c>
      <c r="V179" s="2" t="str">
        <f>IF(SalesData[[#This Row],[Profit]]&lt;0, "Loss", "Profit")</f>
        <v>Profit</v>
      </c>
      <c r="W179" s="2">
        <f>SalesData[[#This Row],[Unit_Price]]*(1-SalesData[[#This Row],[Discount]])</f>
        <v>799.04</v>
      </c>
      <c r="X179" s="2">
        <f>SalesData[[#This Row],[Effective_Unit_Price]]-SalesData[[#This Row],[Unit_Cost]]</f>
        <v>482.81999999999994</v>
      </c>
      <c r="Y179" s="2" t="str">
        <f>IF(SalesData[[#This Row],[Effective_Unit_Margin]]&lt;0,"Loss per Unit","Positive per Unit")</f>
        <v>Positive per Unit</v>
      </c>
    </row>
    <row r="180" spans="1:25" x14ac:dyDescent="0.3">
      <c r="A180">
        <v>1062</v>
      </c>
      <c r="B180" s="1">
        <v>45062</v>
      </c>
      <c r="C180" t="s">
        <v>32</v>
      </c>
      <c r="D180" t="s">
        <v>14</v>
      </c>
      <c r="E180">
        <v>46</v>
      </c>
      <c r="F180" t="s">
        <v>15</v>
      </c>
      <c r="G180">
        <v>159.32</v>
      </c>
      <c r="H180">
        <v>303.36</v>
      </c>
      <c r="I180" t="s">
        <v>29</v>
      </c>
      <c r="J180" s="2">
        <v>0.03</v>
      </c>
      <c r="K180" t="s">
        <v>17</v>
      </c>
      <c r="L180" t="s">
        <v>21</v>
      </c>
      <c r="M180" t="s">
        <v>52</v>
      </c>
      <c r="N180">
        <f>SalesData[[#This Row],[Quantity_Sold]]*SalesData[[#This Row],[Unit_Cost]]</f>
        <v>7328.7199999999993</v>
      </c>
      <c r="O180">
        <f>SalesData[[#This Row],[Quantity_Sold]]*SalesData[[#This Row],[Unit_Price]]</f>
        <v>13954.560000000001</v>
      </c>
      <c r="P180">
        <f>SalesData[[#This Row],[Gross_sales]]*(1-SalesData[[#This Row],[Discount]])</f>
        <v>13535.923200000001</v>
      </c>
      <c r="Q180" s="2">
        <f>SalesData[[#This Row],[Sales_amount]]-SalesData[[#This Row],[Total_Cost]]</f>
        <v>6207.2032000000017</v>
      </c>
      <c r="R180" s="2">
        <f>SalesData[[#This Row],[Profit]]/SalesData[[#This Row],[Sales_amount]]</f>
        <v>0.45857257818956904</v>
      </c>
      <c r="S180" s="2">
        <f>SalesData[[#This Row],[Unit_Price]]-SalesData[[#This Row],[Unit_Cost]]</f>
        <v>144.04000000000002</v>
      </c>
      <c r="T180" s="10">
        <f>SalesData[[#This Row],[Unit_Margin]]/SalesData[[#This Row],[Unit_Price]]</f>
        <v>0.47481540084388191</v>
      </c>
      <c r="U180" s="2" t="str">
        <f>IF(SalesData[[#This Row],[Unit_Margin]]&lt;0, "Negative margin", "Positive margin")</f>
        <v>Positive margin</v>
      </c>
      <c r="V180" s="2" t="str">
        <f>IF(SalesData[[#This Row],[Profit]]&lt;0, "Loss", "Profit")</f>
        <v>Profit</v>
      </c>
      <c r="W180" s="2">
        <f>SalesData[[#This Row],[Unit_Price]]*(1-SalesData[[#This Row],[Discount]])</f>
        <v>294.25920000000002</v>
      </c>
      <c r="X180" s="2">
        <f>SalesData[[#This Row],[Effective_Unit_Price]]-SalesData[[#This Row],[Unit_Cost]]</f>
        <v>134.93920000000003</v>
      </c>
      <c r="Y180" s="2" t="str">
        <f>IF(SalesData[[#This Row],[Effective_Unit_Margin]]&lt;0,"Loss per Unit","Positive per Unit")</f>
        <v>Positive per Unit</v>
      </c>
    </row>
    <row r="181" spans="1:25" x14ac:dyDescent="0.3">
      <c r="A181">
        <v>1057</v>
      </c>
      <c r="B181" s="1">
        <v>45187</v>
      </c>
      <c r="C181" t="s">
        <v>32</v>
      </c>
      <c r="D181" t="s">
        <v>20</v>
      </c>
      <c r="E181">
        <v>25</v>
      </c>
      <c r="F181" t="s">
        <v>25</v>
      </c>
      <c r="G181">
        <v>1821.91</v>
      </c>
      <c r="H181">
        <v>2027.74</v>
      </c>
      <c r="I181" t="s">
        <v>29</v>
      </c>
      <c r="J181" s="2">
        <v>0.02</v>
      </c>
      <c r="K181" t="s">
        <v>26</v>
      </c>
      <c r="L181" t="s">
        <v>21</v>
      </c>
      <c r="M181" t="s">
        <v>36</v>
      </c>
      <c r="N181">
        <f>SalesData[[#This Row],[Quantity_Sold]]*SalesData[[#This Row],[Unit_Cost]]</f>
        <v>45547.75</v>
      </c>
      <c r="O181">
        <f>SalesData[[#This Row],[Quantity_Sold]]*SalesData[[#This Row],[Unit_Price]]</f>
        <v>50693.5</v>
      </c>
      <c r="P181">
        <f>SalesData[[#This Row],[Gross_sales]]*(1-SalesData[[#This Row],[Discount]])</f>
        <v>49679.63</v>
      </c>
      <c r="Q181" s="2">
        <f>SalesData[[#This Row],[Sales_amount]]-SalesData[[#This Row],[Total_Cost]]</f>
        <v>4131.8799999999974</v>
      </c>
      <c r="R181" s="2">
        <f>SalesData[[#This Row],[Profit]]/SalesData[[#This Row],[Sales_amount]]</f>
        <v>8.3170506704659392E-2</v>
      </c>
      <c r="S181" s="2">
        <f>SalesData[[#This Row],[Unit_Price]]-SalesData[[#This Row],[Unit_Cost]]</f>
        <v>205.82999999999993</v>
      </c>
      <c r="T181" s="10">
        <f>SalesData[[#This Row],[Unit_Margin]]/SalesData[[#This Row],[Unit_Price]]</f>
        <v>0.10150709657056621</v>
      </c>
      <c r="U181" s="2" t="str">
        <f>IF(SalesData[[#This Row],[Unit_Margin]]&lt;0, "Negative margin", "Positive margin")</f>
        <v>Positive margin</v>
      </c>
      <c r="V181" s="2" t="str">
        <f>IF(SalesData[[#This Row],[Profit]]&lt;0, "Loss", "Profit")</f>
        <v>Profit</v>
      </c>
      <c r="W181" s="2">
        <f>SalesData[[#This Row],[Unit_Price]]*(1-SalesData[[#This Row],[Discount]])</f>
        <v>1987.1851999999999</v>
      </c>
      <c r="X181" s="2">
        <f>SalesData[[#This Row],[Effective_Unit_Price]]-SalesData[[#This Row],[Unit_Cost]]</f>
        <v>165.27519999999981</v>
      </c>
      <c r="Y181" s="2" t="str">
        <f>IF(SalesData[[#This Row],[Effective_Unit_Margin]]&lt;0,"Loss per Unit","Positive per Unit")</f>
        <v>Positive per Unit</v>
      </c>
    </row>
    <row r="182" spans="1:25" x14ac:dyDescent="0.3">
      <c r="A182">
        <v>1006</v>
      </c>
      <c r="B182" s="1">
        <v>45083</v>
      </c>
      <c r="C182" t="s">
        <v>13</v>
      </c>
      <c r="D182" t="s">
        <v>33</v>
      </c>
      <c r="E182">
        <v>21</v>
      </c>
      <c r="F182" t="s">
        <v>34</v>
      </c>
      <c r="G182">
        <v>1701.62</v>
      </c>
      <c r="H182">
        <v>2193.2199999999998</v>
      </c>
      <c r="I182" t="s">
        <v>29</v>
      </c>
      <c r="J182" s="2">
        <v>0.22</v>
      </c>
      <c r="K182" t="s">
        <v>26</v>
      </c>
      <c r="L182" t="s">
        <v>21</v>
      </c>
      <c r="M182" t="s">
        <v>45</v>
      </c>
      <c r="N182">
        <f>SalesData[[#This Row],[Quantity_Sold]]*SalesData[[#This Row],[Unit_Cost]]</f>
        <v>35734.019999999997</v>
      </c>
      <c r="O182">
        <f>SalesData[[#This Row],[Quantity_Sold]]*SalesData[[#This Row],[Unit_Price]]</f>
        <v>46057.619999999995</v>
      </c>
      <c r="P182">
        <f>SalesData[[#This Row],[Gross_sales]]*(1-SalesData[[#This Row],[Discount]])</f>
        <v>35924.943599999999</v>
      </c>
      <c r="Q182" s="2">
        <f>SalesData[[#This Row],[Sales_amount]]-SalesData[[#This Row],[Total_Cost]]</f>
        <v>190.9236000000019</v>
      </c>
      <c r="R182" s="2">
        <f>SalesData[[#This Row],[Profit]]/SalesData[[#This Row],[Sales_amount]]</f>
        <v>5.3145135626601761E-3</v>
      </c>
      <c r="S182" s="2">
        <f>SalesData[[#This Row],[Unit_Price]]-SalesData[[#This Row],[Unit_Cost]]</f>
        <v>491.59999999999991</v>
      </c>
      <c r="T182" s="10">
        <f>SalesData[[#This Row],[Unit_Margin]]/SalesData[[#This Row],[Unit_Price]]</f>
        <v>0.22414532057887487</v>
      </c>
      <c r="U182" s="2" t="str">
        <f>IF(SalesData[[#This Row],[Unit_Margin]]&lt;0, "Negative margin", "Positive margin")</f>
        <v>Positive margin</v>
      </c>
      <c r="V182" s="2" t="str">
        <f>IF(SalesData[[#This Row],[Profit]]&lt;0, "Loss", "Profit")</f>
        <v>Profit</v>
      </c>
      <c r="W182" s="2">
        <f>SalesData[[#This Row],[Unit_Price]]*(1-SalesData[[#This Row],[Discount]])</f>
        <v>1710.7115999999999</v>
      </c>
      <c r="X182" s="2">
        <f>SalesData[[#This Row],[Effective_Unit_Price]]-SalesData[[#This Row],[Unit_Cost]]</f>
        <v>9.0915999999999713</v>
      </c>
      <c r="Y182" s="2" t="str">
        <f>IF(SalesData[[#This Row],[Effective_Unit_Margin]]&lt;0,"Loss per Unit","Positive per Unit")</f>
        <v>Positive per Unit</v>
      </c>
    </row>
    <row r="183" spans="1:25" x14ac:dyDescent="0.3">
      <c r="A183">
        <v>1028</v>
      </c>
      <c r="B183" s="1">
        <v>44973</v>
      </c>
      <c r="C183" t="s">
        <v>13</v>
      </c>
      <c r="D183" t="s">
        <v>33</v>
      </c>
      <c r="E183">
        <v>24</v>
      </c>
      <c r="F183" t="s">
        <v>34</v>
      </c>
      <c r="G183">
        <v>1969.09</v>
      </c>
      <c r="H183">
        <v>2241.96</v>
      </c>
      <c r="I183" t="s">
        <v>16</v>
      </c>
      <c r="J183" s="2">
        <v>0.02</v>
      </c>
      <c r="K183" t="s">
        <v>30</v>
      </c>
      <c r="L183" t="s">
        <v>18</v>
      </c>
      <c r="M183" t="s">
        <v>45</v>
      </c>
      <c r="N183">
        <f>SalesData[[#This Row],[Quantity_Sold]]*SalesData[[#This Row],[Unit_Cost]]</f>
        <v>47258.159999999996</v>
      </c>
      <c r="O183">
        <f>SalesData[[#This Row],[Quantity_Sold]]*SalesData[[#This Row],[Unit_Price]]</f>
        <v>53807.040000000001</v>
      </c>
      <c r="P183">
        <f>SalesData[[#This Row],[Gross_sales]]*(1-SalesData[[#This Row],[Discount]])</f>
        <v>52730.8992</v>
      </c>
      <c r="Q183" s="2">
        <f>SalesData[[#This Row],[Sales_amount]]-SalesData[[#This Row],[Total_Cost]]</f>
        <v>5472.7392000000036</v>
      </c>
      <c r="R183" s="2">
        <f>SalesData[[#This Row],[Profit]]/SalesData[[#This Row],[Sales_amount]]</f>
        <v>0.10378619145565421</v>
      </c>
      <c r="S183" s="2">
        <f>SalesData[[#This Row],[Unit_Price]]-SalesData[[#This Row],[Unit_Cost]]</f>
        <v>272.87000000000012</v>
      </c>
      <c r="T183" s="10">
        <f>SalesData[[#This Row],[Unit_Margin]]/SalesData[[#This Row],[Unit_Price]]</f>
        <v>0.12171046762654111</v>
      </c>
      <c r="U183" s="2" t="str">
        <f>IF(SalesData[[#This Row],[Unit_Margin]]&lt;0, "Negative margin", "Positive margin")</f>
        <v>Positive margin</v>
      </c>
      <c r="V183" s="2" t="str">
        <f>IF(SalesData[[#This Row],[Profit]]&lt;0, "Loss", "Profit")</f>
        <v>Profit</v>
      </c>
      <c r="W183" s="2">
        <f>SalesData[[#This Row],[Unit_Price]]*(1-SalesData[[#This Row],[Discount]])</f>
        <v>2197.1208000000001</v>
      </c>
      <c r="X183" s="2">
        <f>SalesData[[#This Row],[Effective_Unit_Price]]-SalesData[[#This Row],[Unit_Cost]]</f>
        <v>228.03080000000023</v>
      </c>
      <c r="Y183" s="2" t="str">
        <f>IF(SalesData[[#This Row],[Effective_Unit_Margin]]&lt;0,"Loss per Unit","Positive per Unit")</f>
        <v>Positive per Unit</v>
      </c>
    </row>
    <row r="184" spans="1:25" x14ac:dyDescent="0.3">
      <c r="A184">
        <v>1028</v>
      </c>
      <c r="B184" s="1">
        <v>45250</v>
      </c>
      <c r="C184" t="s">
        <v>41</v>
      </c>
      <c r="D184" t="s">
        <v>33</v>
      </c>
      <c r="E184">
        <v>5</v>
      </c>
      <c r="F184" t="s">
        <v>25</v>
      </c>
      <c r="G184">
        <v>734.92</v>
      </c>
      <c r="H184">
        <v>991.21</v>
      </c>
      <c r="I184" t="s">
        <v>16</v>
      </c>
      <c r="J184" s="2">
        <v>0.21</v>
      </c>
      <c r="K184" t="s">
        <v>30</v>
      </c>
      <c r="L184" t="s">
        <v>18</v>
      </c>
      <c r="M184" t="s">
        <v>51</v>
      </c>
      <c r="N184">
        <f>SalesData[[#This Row],[Quantity_Sold]]*SalesData[[#This Row],[Unit_Cost]]</f>
        <v>3674.6</v>
      </c>
      <c r="O184">
        <f>SalesData[[#This Row],[Quantity_Sold]]*SalesData[[#This Row],[Unit_Price]]</f>
        <v>4956.05</v>
      </c>
      <c r="P184">
        <f>SalesData[[#This Row],[Gross_sales]]*(1-SalesData[[#This Row],[Discount]])</f>
        <v>3915.2795000000001</v>
      </c>
      <c r="Q184" s="2">
        <f>SalesData[[#This Row],[Sales_amount]]-SalesData[[#This Row],[Total_Cost]]</f>
        <v>240.67950000000019</v>
      </c>
      <c r="R184" s="2">
        <f>SalesData[[#This Row],[Profit]]/SalesData[[#This Row],[Sales_amount]]</f>
        <v>6.1471856606916613E-2</v>
      </c>
      <c r="S184" s="2">
        <f>SalesData[[#This Row],[Unit_Price]]-SalesData[[#This Row],[Unit_Cost]]</f>
        <v>256.29000000000008</v>
      </c>
      <c r="T184" s="10">
        <f>SalesData[[#This Row],[Unit_Margin]]/SalesData[[#This Row],[Unit_Price]]</f>
        <v>0.25856276671946415</v>
      </c>
      <c r="U184" s="2" t="str">
        <f>IF(SalesData[[#This Row],[Unit_Margin]]&lt;0, "Negative margin", "Positive margin")</f>
        <v>Positive margin</v>
      </c>
      <c r="V184" s="2" t="str">
        <f>IF(SalesData[[#This Row],[Profit]]&lt;0, "Loss", "Profit")</f>
        <v>Profit</v>
      </c>
      <c r="W184" s="2">
        <f>SalesData[[#This Row],[Unit_Price]]*(1-SalesData[[#This Row],[Discount]])</f>
        <v>783.05590000000007</v>
      </c>
      <c r="X184" s="2">
        <f>SalesData[[#This Row],[Effective_Unit_Price]]-SalesData[[#This Row],[Unit_Cost]]</f>
        <v>48.135900000000106</v>
      </c>
      <c r="Y184" s="2" t="str">
        <f>IF(SalesData[[#This Row],[Effective_Unit_Margin]]&lt;0,"Loss per Unit","Positive per Unit")</f>
        <v>Positive per Unit</v>
      </c>
    </row>
    <row r="185" spans="1:25" x14ac:dyDescent="0.3">
      <c r="A185">
        <v>1044</v>
      </c>
      <c r="B185" s="1">
        <v>45258</v>
      </c>
      <c r="C185" t="s">
        <v>32</v>
      </c>
      <c r="D185" t="s">
        <v>20</v>
      </c>
      <c r="E185">
        <v>6</v>
      </c>
      <c r="F185" t="s">
        <v>34</v>
      </c>
      <c r="G185">
        <v>3703.93</v>
      </c>
      <c r="H185">
        <v>3840.24</v>
      </c>
      <c r="I185" t="s">
        <v>29</v>
      </c>
      <c r="J185" s="2">
        <v>7.0000000000000007E-2</v>
      </c>
      <c r="K185" t="s">
        <v>30</v>
      </c>
      <c r="L185" t="s">
        <v>18</v>
      </c>
      <c r="M185" t="s">
        <v>36</v>
      </c>
      <c r="N185">
        <f>SalesData[[#This Row],[Quantity_Sold]]*SalesData[[#This Row],[Unit_Cost]]</f>
        <v>22223.579999999998</v>
      </c>
      <c r="O185">
        <f>SalesData[[#This Row],[Quantity_Sold]]*SalesData[[#This Row],[Unit_Price]]</f>
        <v>23041.439999999999</v>
      </c>
      <c r="P185">
        <f>SalesData[[#This Row],[Gross_sales]]*(1-SalesData[[#This Row],[Discount]])</f>
        <v>21428.539199999996</v>
      </c>
      <c r="Q185" s="2">
        <f>SalesData[[#This Row],[Sales_amount]]-SalesData[[#This Row],[Total_Cost]]</f>
        <v>-795.04080000000249</v>
      </c>
      <c r="R185" s="2">
        <f>SalesData[[#This Row],[Profit]]/SalesData[[#This Row],[Sales_amount]]</f>
        <v>-3.7101959801347666E-2</v>
      </c>
      <c r="S185" s="2">
        <f>SalesData[[#This Row],[Unit_Price]]-SalesData[[#This Row],[Unit_Cost]]</f>
        <v>136.30999999999995</v>
      </c>
      <c r="T185" s="10">
        <f>SalesData[[#This Row],[Unit_Margin]]/SalesData[[#This Row],[Unit_Price]]</f>
        <v>3.5495177384746772E-2</v>
      </c>
      <c r="U185" s="2" t="str">
        <f>IF(SalesData[[#This Row],[Unit_Margin]]&lt;0, "Negative margin", "Positive margin")</f>
        <v>Positive margin</v>
      </c>
      <c r="V185" s="2" t="str">
        <f>IF(SalesData[[#This Row],[Profit]]&lt;0, "Loss", "Profit")</f>
        <v>Loss</v>
      </c>
      <c r="W185" s="2">
        <f>SalesData[[#This Row],[Unit_Price]]*(1-SalesData[[#This Row],[Discount]])</f>
        <v>3571.4231999999997</v>
      </c>
      <c r="X185" s="2">
        <f>SalesData[[#This Row],[Effective_Unit_Price]]-SalesData[[#This Row],[Unit_Cost]]</f>
        <v>-132.50680000000011</v>
      </c>
      <c r="Y185" s="2" t="str">
        <f>IF(SalesData[[#This Row],[Effective_Unit_Margin]]&lt;0,"Loss per Unit","Positive per Unit")</f>
        <v>Loss per Unit</v>
      </c>
    </row>
    <row r="186" spans="1:25" x14ac:dyDescent="0.3">
      <c r="A186">
        <v>1084</v>
      </c>
      <c r="B186" s="1">
        <v>45099</v>
      </c>
      <c r="C186" t="s">
        <v>37</v>
      </c>
      <c r="D186" t="s">
        <v>14</v>
      </c>
      <c r="E186">
        <v>49</v>
      </c>
      <c r="F186" t="s">
        <v>15</v>
      </c>
      <c r="G186">
        <v>4291.97</v>
      </c>
      <c r="H186">
        <v>4645.6400000000003</v>
      </c>
      <c r="I186" t="s">
        <v>16</v>
      </c>
      <c r="J186" s="2">
        <v>0.26</v>
      </c>
      <c r="K186" t="s">
        <v>30</v>
      </c>
      <c r="L186" t="s">
        <v>18</v>
      </c>
      <c r="M186" t="s">
        <v>39</v>
      </c>
      <c r="N186">
        <f>SalesData[[#This Row],[Quantity_Sold]]*SalesData[[#This Row],[Unit_Cost]]</f>
        <v>210306.53</v>
      </c>
      <c r="O186">
        <f>SalesData[[#This Row],[Quantity_Sold]]*SalesData[[#This Row],[Unit_Price]]</f>
        <v>227636.36000000002</v>
      </c>
      <c r="P186">
        <f>SalesData[[#This Row],[Gross_sales]]*(1-SalesData[[#This Row],[Discount]])</f>
        <v>168450.90640000001</v>
      </c>
      <c r="Q186" s="2">
        <f>SalesData[[#This Row],[Sales_amount]]-SalesData[[#This Row],[Total_Cost]]</f>
        <v>-41855.623599999992</v>
      </c>
      <c r="R186" s="2">
        <f>SalesData[[#This Row],[Profit]]/SalesData[[#This Row],[Sales_amount]]</f>
        <v>-0.24847372148066987</v>
      </c>
      <c r="S186" s="2">
        <f>SalesData[[#This Row],[Unit_Price]]-SalesData[[#This Row],[Unit_Cost]]</f>
        <v>353.67000000000007</v>
      </c>
      <c r="T186" s="10">
        <f>SalesData[[#This Row],[Unit_Margin]]/SalesData[[#This Row],[Unit_Price]]</f>
        <v>7.6129446104304263E-2</v>
      </c>
      <c r="U186" s="2" t="str">
        <f>IF(SalesData[[#This Row],[Unit_Margin]]&lt;0, "Negative margin", "Positive margin")</f>
        <v>Positive margin</v>
      </c>
      <c r="V186" s="2" t="str">
        <f>IF(SalesData[[#This Row],[Profit]]&lt;0, "Loss", "Profit")</f>
        <v>Loss</v>
      </c>
      <c r="W186" s="2">
        <f>SalesData[[#This Row],[Unit_Price]]*(1-SalesData[[#This Row],[Discount]])</f>
        <v>3437.7736</v>
      </c>
      <c r="X186" s="2">
        <f>SalesData[[#This Row],[Effective_Unit_Price]]-SalesData[[#This Row],[Unit_Cost]]</f>
        <v>-854.19640000000027</v>
      </c>
      <c r="Y186" s="2" t="str">
        <f>IF(SalesData[[#This Row],[Effective_Unit_Margin]]&lt;0,"Loss per Unit","Positive per Unit")</f>
        <v>Loss per Unit</v>
      </c>
    </row>
    <row r="187" spans="1:25" x14ac:dyDescent="0.3">
      <c r="A187">
        <v>1030</v>
      </c>
      <c r="B187" s="1">
        <v>45056</v>
      </c>
      <c r="C187" t="s">
        <v>13</v>
      </c>
      <c r="D187" t="s">
        <v>24</v>
      </c>
      <c r="E187">
        <v>43</v>
      </c>
      <c r="F187" t="s">
        <v>28</v>
      </c>
      <c r="G187">
        <v>4696.6400000000003</v>
      </c>
      <c r="H187">
        <v>4713.68</v>
      </c>
      <c r="I187" t="s">
        <v>16</v>
      </c>
      <c r="J187" s="2">
        <v>0.24</v>
      </c>
      <c r="K187" t="s">
        <v>26</v>
      </c>
      <c r="L187" t="s">
        <v>18</v>
      </c>
      <c r="M187" t="s">
        <v>31</v>
      </c>
      <c r="N187">
        <f>SalesData[[#This Row],[Quantity_Sold]]*SalesData[[#This Row],[Unit_Cost]]</f>
        <v>201955.52000000002</v>
      </c>
      <c r="O187">
        <f>SalesData[[#This Row],[Quantity_Sold]]*SalesData[[#This Row],[Unit_Price]]</f>
        <v>202688.24000000002</v>
      </c>
      <c r="P187">
        <f>SalesData[[#This Row],[Gross_sales]]*(1-SalesData[[#This Row],[Discount]])</f>
        <v>154043.06240000002</v>
      </c>
      <c r="Q187" s="2">
        <f>SalesData[[#This Row],[Sales_amount]]-SalesData[[#This Row],[Total_Cost]]</f>
        <v>-47912.457599999994</v>
      </c>
      <c r="R187" s="2">
        <f>SalesData[[#This Row],[Profit]]/SalesData[[#This Row],[Sales_amount]]</f>
        <v>-0.31103288167296256</v>
      </c>
      <c r="S187" s="2">
        <f>SalesData[[#This Row],[Unit_Price]]-SalesData[[#This Row],[Unit_Cost]]</f>
        <v>17.039999999999964</v>
      </c>
      <c r="T187" s="10">
        <f>SalesData[[#This Row],[Unit_Margin]]/SalesData[[#This Row],[Unit_Price]]</f>
        <v>3.6150099285483872E-3</v>
      </c>
      <c r="U187" s="2" t="str">
        <f>IF(SalesData[[#This Row],[Unit_Margin]]&lt;0, "Negative margin", "Positive margin")</f>
        <v>Positive margin</v>
      </c>
      <c r="V187" s="2" t="str">
        <f>IF(SalesData[[#This Row],[Profit]]&lt;0, "Loss", "Profit")</f>
        <v>Loss</v>
      </c>
      <c r="W187" s="2">
        <f>SalesData[[#This Row],[Unit_Price]]*(1-SalesData[[#This Row],[Discount]])</f>
        <v>3582.3968000000004</v>
      </c>
      <c r="X187" s="2">
        <f>SalesData[[#This Row],[Effective_Unit_Price]]-SalesData[[#This Row],[Unit_Cost]]</f>
        <v>-1114.2431999999999</v>
      </c>
      <c r="Y187" s="2" t="str">
        <f>IF(SalesData[[#This Row],[Effective_Unit_Margin]]&lt;0,"Loss per Unit","Positive per Unit")</f>
        <v>Loss per Unit</v>
      </c>
    </row>
    <row r="188" spans="1:25" x14ac:dyDescent="0.3">
      <c r="A188">
        <v>1062</v>
      </c>
      <c r="B188" s="1">
        <v>45021</v>
      </c>
      <c r="C188" t="s">
        <v>13</v>
      </c>
      <c r="D188" t="s">
        <v>14</v>
      </c>
      <c r="E188">
        <v>48</v>
      </c>
      <c r="F188" t="s">
        <v>25</v>
      </c>
      <c r="G188">
        <v>2487.19</v>
      </c>
      <c r="H188">
        <v>2521.4499999999998</v>
      </c>
      <c r="I188" t="s">
        <v>29</v>
      </c>
      <c r="J188" s="2">
        <v>0.28999999999999998</v>
      </c>
      <c r="K188" t="s">
        <v>17</v>
      </c>
      <c r="L188" t="s">
        <v>18</v>
      </c>
      <c r="M188" t="s">
        <v>19</v>
      </c>
      <c r="N188">
        <f>SalesData[[#This Row],[Quantity_Sold]]*SalesData[[#This Row],[Unit_Cost]]</f>
        <v>119385.12</v>
      </c>
      <c r="O188">
        <f>SalesData[[#This Row],[Quantity_Sold]]*SalesData[[#This Row],[Unit_Price]]</f>
        <v>121029.59999999999</v>
      </c>
      <c r="P188">
        <f>SalesData[[#This Row],[Gross_sales]]*(1-SalesData[[#This Row],[Discount]])</f>
        <v>85931.015999999989</v>
      </c>
      <c r="Q188" s="2">
        <f>SalesData[[#This Row],[Sales_amount]]-SalesData[[#This Row],[Total_Cost]]</f>
        <v>-33454.104000000007</v>
      </c>
      <c r="R188" s="2">
        <f>SalesData[[#This Row],[Profit]]/SalesData[[#This Row],[Sales_amount]]</f>
        <v>-0.38931349304656204</v>
      </c>
      <c r="S188" s="2">
        <f>SalesData[[#This Row],[Unit_Price]]-SalesData[[#This Row],[Unit_Cost]]</f>
        <v>34.259999999999764</v>
      </c>
      <c r="T188" s="10">
        <f>SalesData[[#This Row],[Unit_Margin]]/SalesData[[#This Row],[Unit_Price]]</f>
        <v>1.3587419936940954E-2</v>
      </c>
      <c r="U188" s="2" t="str">
        <f>IF(SalesData[[#This Row],[Unit_Margin]]&lt;0, "Negative margin", "Positive margin")</f>
        <v>Positive margin</v>
      </c>
      <c r="V188" s="2" t="str">
        <f>IF(SalesData[[#This Row],[Profit]]&lt;0, "Loss", "Profit")</f>
        <v>Loss</v>
      </c>
      <c r="W188" s="2">
        <f>SalesData[[#This Row],[Unit_Price]]*(1-SalesData[[#This Row],[Discount]])</f>
        <v>1790.2294999999997</v>
      </c>
      <c r="X188" s="2">
        <f>SalesData[[#This Row],[Effective_Unit_Price]]-SalesData[[#This Row],[Unit_Cost]]</f>
        <v>-696.96050000000037</v>
      </c>
      <c r="Y188" s="2" t="str">
        <f>IF(SalesData[[#This Row],[Effective_Unit_Margin]]&lt;0,"Loss per Unit","Positive per Unit")</f>
        <v>Loss per Unit</v>
      </c>
    </row>
    <row r="189" spans="1:25" x14ac:dyDescent="0.3">
      <c r="A189">
        <v>1075</v>
      </c>
      <c r="B189" s="1">
        <v>45041</v>
      </c>
      <c r="C189" t="s">
        <v>23</v>
      </c>
      <c r="D189" t="s">
        <v>20</v>
      </c>
      <c r="E189">
        <v>44</v>
      </c>
      <c r="F189" t="s">
        <v>15</v>
      </c>
      <c r="G189">
        <v>3519.29</v>
      </c>
      <c r="H189">
        <v>3822.98</v>
      </c>
      <c r="I189" t="s">
        <v>16</v>
      </c>
      <c r="J189" s="2">
        <v>0.27</v>
      </c>
      <c r="K189" t="s">
        <v>26</v>
      </c>
      <c r="L189" t="s">
        <v>18</v>
      </c>
      <c r="M189" t="s">
        <v>46</v>
      </c>
      <c r="N189">
        <f>SalesData[[#This Row],[Quantity_Sold]]*SalesData[[#This Row],[Unit_Cost]]</f>
        <v>154848.76</v>
      </c>
      <c r="O189">
        <f>SalesData[[#This Row],[Quantity_Sold]]*SalesData[[#This Row],[Unit_Price]]</f>
        <v>168211.12</v>
      </c>
      <c r="P189">
        <f>SalesData[[#This Row],[Gross_sales]]*(1-SalesData[[#This Row],[Discount]])</f>
        <v>122794.1176</v>
      </c>
      <c r="Q189" s="2">
        <f>SalesData[[#This Row],[Sales_amount]]-SalesData[[#This Row],[Total_Cost]]</f>
        <v>-32054.642400000012</v>
      </c>
      <c r="R189" s="2">
        <f>SalesData[[#This Row],[Profit]]/SalesData[[#This Row],[Sales_amount]]</f>
        <v>-0.26104379449525039</v>
      </c>
      <c r="S189" s="2">
        <f>SalesData[[#This Row],[Unit_Price]]-SalesData[[#This Row],[Unit_Cost]]</f>
        <v>303.69000000000005</v>
      </c>
      <c r="T189" s="10">
        <f>SalesData[[#This Row],[Unit_Margin]]/SalesData[[#This Row],[Unit_Price]]</f>
        <v>7.9438030018467276E-2</v>
      </c>
      <c r="U189" s="2" t="str">
        <f>IF(SalesData[[#This Row],[Unit_Margin]]&lt;0, "Negative margin", "Positive margin")</f>
        <v>Positive margin</v>
      </c>
      <c r="V189" s="2" t="str">
        <f>IF(SalesData[[#This Row],[Profit]]&lt;0, "Loss", "Profit")</f>
        <v>Loss</v>
      </c>
      <c r="W189" s="2">
        <f>SalesData[[#This Row],[Unit_Price]]*(1-SalesData[[#This Row],[Discount]])</f>
        <v>2790.7754</v>
      </c>
      <c r="X189" s="2">
        <f>SalesData[[#This Row],[Effective_Unit_Price]]-SalesData[[#This Row],[Unit_Cost]]</f>
        <v>-728.51459999999997</v>
      </c>
      <c r="Y189" s="2" t="str">
        <f>IF(SalesData[[#This Row],[Effective_Unit_Margin]]&lt;0,"Loss per Unit","Positive per Unit")</f>
        <v>Loss per Unit</v>
      </c>
    </row>
    <row r="190" spans="1:25" x14ac:dyDescent="0.3">
      <c r="A190">
        <v>1092</v>
      </c>
      <c r="B190" s="1">
        <v>45169</v>
      </c>
      <c r="C190" t="s">
        <v>37</v>
      </c>
      <c r="D190" t="s">
        <v>24</v>
      </c>
      <c r="E190">
        <v>47</v>
      </c>
      <c r="F190" t="s">
        <v>25</v>
      </c>
      <c r="G190">
        <v>4284.9799999999996</v>
      </c>
      <c r="H190">
        <v>4462.3999999999996</v>
      </c>
      <c r="I190" t="s">
        <v>29</v>
      </c>
      <c r="J190" s="2">
        <v>0.28000000000000003</v>
      </c>
      <c r="K190" t="s">
        <v>30</v>
      </c>
      <c r="L190" t="s">
        <v>21</v>
      </c>
      <c r="M190" t="s">
        <v>38</v>
      </c>
      <c r="N190">
        <f>SalesData[[#This Row],[Quantity_Sold]]*SalesData[[#This Row],[Unit_Cost]]</f>
        <v>201394.05999999997</v>
      </c>
      <c r="O190">
        <f>SalesData[[#This Row],[Quantity_Sold]]*SalesData[[#This Row],[Unit_Price]]</f>
        <v>209732.8</v>
      </c>
      <c r="P190">
        <f>SalesData[[#This Row],[Gross_sales]]*(1-SalesData[[#This Row],[Discount]])</f>
        <v>151007.61599999998</v>
      </c>
      <c r="Q190" s="2">
        <f>SalesData[[#This Row],[Sales_amount]]-SalesData[[#This Row],[Total_Cost]]</f>
        <v>-50386.443999999989</v>
      </c>
      <c r="R190" s="2">
        <f>SalesData[[#This Row],[Profit]]/SalesData[[#This Row],[Sales_amount]]</f>
        <v>-0.33366823034938842</v>
      </c>
      <c r="S190" s="2">
        <f>SalesData[[#This Row],[Unit_Price]]-SalesData[[#This Row],[Unit_Cost]]</f>
        <v>177.42000000000007</v>
      </c>
      <c r="T190" s="10">
        <f>SalesData[[#This Row],[Unit_Margin]]/SalesData[[#This Row],[Unit_Price]]</f>
        <v>3.9758874148440322E-2</v>
      </c>
      <c r="U190" s="2" t="str">
        <f>IF(SalesData[[#This Row],[Unit_Margin]]&lt;0, "Negative margin", "Positive margin")</f>
        <v>Positive margin</v>
      </c>
      <c r="V190" s="2" t="str">
        <f>IF(SalesData[[#This Row],[Profit]]&lt;0, "Loss", "Profit")</f>
        <v>Loss</v>
      </c>
      <c r="W190" s="2">
        <f>SalesData[[#This Row],[Unit_Price]]*(1-SalesData[[#This Row],[Discount]])</f>
        <v>3212.9279999999994</v>
      </c>
      <c r="X190" s="2">
        <f>SalesData[[#This Row],[Effective_Unit_Price]]-SalesData[[#This Row],[Unit_Cost]]</f>
        <v>-1072.0520000000001</v>
      </c>
      <c r="Y190" s="2" t="str">
        <f>IF(SalesData[[#This Row],[Effective_Unit_Margin]]&lt;0,"Loss per Unit","Positive per Unit")</f>
        <v>Loss per Unit</v>
      </c>
    </row>
    <row r="191" spans="1:25" x14ac:dyDescent="0.3">
      <c r="A191">
        <v>1089</v>
      </c>
      <c r="B191" s="1">
        <v>45218</v>
      </c>
      <c r="C191" t="s">
        <v>37</v>
      </c>
      <c r="D191" t="s">
        <v>20</v>
      </c>
      <c r="E191">
        <v>23</v>
      </c>
      <c r="F191" t="s">
        <v>25</v>
      </c>
      <c r="G191">
        <v>2120.54</v>
      </c>
      <c r="H191">
        <v>2597.67</v>
      </c>
      <c r="I191" t="s">
        <v>16</v>
      </c>
      <c r="J191" s="2">
        <v>0.26</v>
      </c>
      <c r="K191" t="s">
        <v>30</v>
      </c>
      <c r="L191" t="s">
        <v>21</v>
      </c>
      <c r="M191" t="s">
        <v>40</v>
      </c>
      <c r="N191">
        <f>SalesData[[#This Row],[Quantity_Sold]]*SalesData[[#This Row],[Unit_Cost]]</f>
        <v>48772.42</v>
      </c>
      <c r="O191">
        <f>SalesData[[#This Row],[Quantity_Sold]]*SalesData[[#This Row],[Unit_Price]]</f>
        <v>59746.41</v>
      </c>
      <c r="P191">
        <f>SalesData[[#This Row],[Gross_sales]]*(1-SalesData[[#This Row],[Discount]])</f>
        <v>44212.343400000005</v>
      </c>
      <c r="Q191" s="2">
        <f>SalesData[[#This Row],[Sales_amount]]-SalesData[[#This Row],[Total_Cost]]</f>
        <v>-4560.0765999999931</v>
      </c>
      <c r="R191" s="2">
        <f>SalesData[[#This Row],[Profit]]/SalesData[[#This Row],[Sales_amount]]</f>
        <v>-0.10314035061982244</v>
      </c>
      <c r="S191" s="2">
        <f>SalesData[[#This Row],[Unit_Price]]-SalesData[[#This Row],[Unit_Cost]]</f>
        <v>477.13000000000011</v>
      </c>
      <c r="T191" s="10">
        <f>SalesData[[#This Row],[Unit_Margin]]/SalesData[[#This Row],[Unit_Price]]</f>
        <v>0.1836761405413313</v>
      </c>
      <c r="U191" s="2" t="str">
        <f>IF(SalesData[[#This Row],[Unit_Margin]]&lt;0, "Negative margin", "Positive margin")</f>
        <v>Positive margin</v>
      </c>
      <c r="V191" s="2" t="str">
        <f>IF(SalesData[[#This Row],[Profit]]&lt;0, "Loss", "Profit")</f>
        <v>Loss</v>
      </c>
      <c r="W191" s="2">
        <f>SalesData[[#This Row],[Unit_Price]]*(1-SalesData[[#This Row],[Discount]])</f>
        <v>1922.2758000000001</v>
      </c>
      <c r="X191" s="2">
        <f>SalesData[[#This Row],[Effective_Unit_Price]]-SalesData[[#This Row],[Unit_Cost]]</f>
        <v>-198.26419999999985</v>
      </c>
      <c r="Y191" s="2" t="str">
        <f>IF(SalesData[[#This Row],[Effective_Unit_Margin]]&lt;0,"Loss per Unit","Positive per Unit")</f>
        <v>Loss per Unit</v>
      </c>
    </row>
    <row r="192" spans="1:25" x14ac:dyDescent="0.3">
      <c r="A192">
        <v>1062</v>
      </c>
      <c r="B192" s="1">
        <v>45208</v>
      </c>
      <c r="C192" t="s">
        <v>13</v>
      </c>
      <c r="D192" t="s">
        <v>33</v>
      </c>
      <c r="E192">
        <v>4</v>
      </c>
      <c r="F192" t="s">
        <v>34</v>
      </c>
      <c r="G192">
        <v>1581.59</v>
      </c>
      <c r="H192">
        <v>2034.1499999999901</v>
      </c>
      <c r="I192" t="s">
        <v>16</v>
      </c>
      <c r="J192" s="2">
        <v>0.21</v>
      </c>
      <c r="K192" t="s">
        <v>17</v>
      </c>
      <c r="L192" t="s">
        <v>18</v>
      </c>
      <c r="M192" t="s">
        <v>45</v>
      </c>
      <c r="N192">
        <f>SalesData[[#This Row],[Quantity_Sold]]*SalesData[[#This Row],[Unit_Cost]]</f>
        <v>6326.36</v>
      </c>
      <c r="O192">
        <f>SalesData[[#This Row],[Quantity_Sold]]*SalesData[[#This Row],[Unit_Price]]</f>
        <v>8136.5999999999603</v>
      </c>
      <c r="P192">
        <f>SalesData[[#This Row],[Gross_sales]]*(1-SalesData[[#This Row],[Discount]])</f>
        <v>6427.9139999999688</v>
      </c>
      <c r="Q192" s="2">
        <f>SalesData[[#This Row],[Sales_amount]]-SalesData[[#This Row],[Total_Cost]]</f>
        <v>101.55399999996916</v>
      </c>
      <c r="R192" s="2">
        <f>SalesData[[#This Row],[Profit]]/SalesData[[#This Row],[Sales_amount]]</f>
        <v>1.5798904590193591E-2</v>
      </c>
      <c r="S192" s="2">
        <f>SalesData[[#This Row],[Unit_Price]]-SalesData[[#This Row],[Unit_Cost]]</f>
        <v>452.55999999999017</v>
      </c>
      <c r="T192" s="10">
        <f>SalesData[[#This Row],[Unit_Margin]]/SalesData[[#This Row],[Unit_Price]]</f>
        <v>0.22248113462625291</v>
      </c>
      <c r="U192" s="2" t="str">
        <f>IF(SalesData[[#This Row],[Unit_Margin]]&lt;0, "Negative margin", "Positive margin")</f>
        <v>Positive margin</v>
      </c>
      <c r="V192" s="2" t="str">
        <f>IF(SalesData[[#This Row],[Profit]]&lt;0, "Loss", "Profit")</f>
        <v>Profit</v>
      </c>
      <c r="W192" s="2">
        <f>SalesData[[#This Row],[Unit_Price]]*(1-SalesData[[#This Row],[Discount]])</f>
        <v>1606.9784999999922</v>
      </c>
      <c r="X192" s="2">
        <f>SalesData[[#This Row],[Effective_Unit_Price]]-SalesData[[#This Row],[Unit_Cost]]</f>
        <v>25.388499999992291</v>
      </c>
      <c r="Y192" s="2" t="str">
        <f>IF(SalesData[[#This Row],[Effective_Unit_Margin]]&lt;0,"Loss per Unit","Positive per Unit")</f>
        <v>Positive per Unit</v>
      </c>
    </row>
    <row r="193" spans="1:25" x14ac:dyDescent="0.3">
      <c r="A193">
        <v>1097</v>
      </c>
      <c r="B193" s="1">
        <v>45225</v>
      </c>
      <c r="C193" t="s">
        <v>41</v>
      </c>
      <c r="D193" t="s">
        <v>33</v>
      </c>
      <c r="E193">
        <v>27</v>
      </c>
      <c r="F193" t="s">
        <v>34</v>
      </c>
      <c r="G193">
        <v>4686.79</v>
      </c>
      <c r="H193">
        <v>5046.51</v>
      </c>
      <c r="I193" t="s">
        <v>16</v>
      </c>
      <c r="J193" s="2">
        <v>0.05</v>
      </c>
      <c r="K193" t="s">
        <v>30</v>
      </c>
      <c r="L193" t="s">
        <v>21</v>
      </c>
      <c r="M193" t="s">
        <v>51</v>
      </c>
      <c r="N193">
        <f>SalesData[[#This Row],[Quantity_Sold]]*SalesData[[#This Row],[Unit_Cost]]</f>
        <v>126543.33</v>
      </c>
      <c r="O193">
        <f>SalesData[[#This Row],[Quantity_Sold]]*SalesData[[#This Row],[Unit_Price]]</f>
        <v>136255.77000000002</v>
      </c>
      <c r="P193">
        <f>SalesData[[#This Row],[Gross_sales]]*(1-SalesData[[#This Row],[Discount]])</f>
        <v>129442.98150000001</v>
      </c>
      <c r="Q193" s="2">
        <f>SalesData[[#This Row],[Sales_amount]]-SalesData[[#This Row],[Total_Cost]]</f>
        <v>2899.6515000000072</v>
      </c>
      <c r="R193" s="2">
        <f>SalesData[[#This Row],[Profit]]/SalesData[[#This Row],[Sales_amount]]</f>
        <v>2.240099437140983E-2</v>
      </c>
      <c r="S193" s="2">
        <f>SalesData[[#This Row],[Unit_Price]]-SalesData[[#This Row],[Unit_Cost]]</f>
        <v>359.72000000000025</v>
      </c>
      <c r="T193" s="10">
        <f>SalesData[[#This Row],[Unit_Margin]]/SalesData[[#This Row],[Unit_Price]]</f>
        <v>7.1280944652839337E-2</v>
      </c>
      <c r="U193" s="2" t="str">
        <f>IF(SalesData[[#This Row],[Unit_Margin]]&lt;0, "Negative margin", "Positive margin")</f>
        <v>Positive margin</v>
      </c>
      <c r="V193" s="2" t="str">
        <f>IF(SalesData[[#This Row],[Profit]]&lt;0, "Loss", "Profit")</f>
        <v>Profit</v>
      </c>
      <c r="W193" s="2">
        <f>SalesData[[#This Row],[Unit_Price]]*(1-SalesData[[#This Row],[Discount]])</f>
        <v>4794.1845000000003</v>
      </c>
      <c r="X193" s="2">
        <f>SalesData[[#This Row],[Effective_Unit_Price]]-SalesData[[#This Row],[Unit_Cost]]</f>
        <v>107.39450000000033</v>
      </c>
      <c r="Y193" s="2" t="str">
        <f>IF(SalesData[[#This Row],[Effective_Unit_Margin]]&lt;0,"Loss per Unit","Positive per Unit")</f>
        <v>Positive per Unit</v>
      </c>
    </row>
    <row r="194" spans="1:25" x14ac:dyDescent="0.3">
      <c r="A194">
        <v>1001</v>
      </c>
      <c r="B194" s="1">
        <v>45209</v>
      </c>
      <c r="C194" t="s">
        <v>23</v>
      </c>
      <c r="D194" t="s">
        <v>20</v>
      </c>
      <c r="E194">
        <v>18</v>
      </c>
      <c r="F194" t="s">
        <v>15</v>
      </c>
      <c r="G194">
        <v>2602.6</v>
      </c>
      <c r="H194">
        <v>3013.49</v>
      </c>
      <c r="I194" t="s">
        <v>16</v>
      </c>
      <c r="J194" s="2">
        <v>0.08</v>
      </c>
      <c r="K194" t="s">
        <v>26</v>
      </c>
      <c r="L194" t="s">
        <v>18</v>
      </c>
      <c r="M194" t="s">
        <v>46</v>
      </c>
      <c r="N194">
        <f>SalesData[[#This Row],[Quantity_Sold]]*SalesData[[#This Row],[Unit_Cost]]</f>
        <v>46846.799999999996</v>
      </c>
      <c r="O194">
        <f>SalesData[[#This Row],[Quantity_Sold]]*SalesData[[#This Row],[Unit_Price]]</f>
        <v>54242.819999999992</v>
      </c>
      <c r="P194">
        <f>SalesData[[#This Row],[Gross_sales]]*(1-SalesData[[#This Row],[Discount]])</f>
        <v>49903.394399999997</v>
      </c>
      <c r="Q194" s="2">
        <f>SalesData[[#This Row],[Sales_amount]]-SalesData[[#This Row],[Total_Cost]]</f>
        <v>3056.5944000000018</v>
      </c>
      <c r="R194" s="2">
        <f>SalesData[[#This Row],[Profit]]/SalesData[[#This Row],[Sales_amount]]</f>
        <v>6.1250230304975048E-2</v>
      </c>
      <c r="S194" s="2">
        <f>SalesData[[#This Row],[Unit_Price]]-SalesData[[#This Row],[Unit_Cost]]</f>
        <v>410.88999999999987</v>
      </c>
      <c r="T194" s="10">
        <f>SalesData[[#This Row],[Unit_Margin]]/SalesData[[#This Row],[Unit_Price]]</f>
        <v>0.13635021188057697</v>
      </c>
      <c r="U194" s="2" t="str">
        <f>IF(SalesData[[#This Row],[Unit_Margin]]&lt;0, "Negative margin", "Positive margin")</f>
        <v>Positive margin</v>
      </c>
      <c r="V194" s="2" t="str">
        <f>IF(SalesData[[#This Row],[Profit]]&lt;0, "Loss", "Profit")</f>
        <v>Profit</v>
      </c>
      <c r="W194" s="2">
        <f>SalesData[[#This Row],[Unit_Price]]*(1-SalesData[[#This Row],[Discount]])</f>
        <v>2772.4108000000001</v>
      </c>
      <c r="X194" s="2">
        <f>SalesData[[#This Row],[Effective_Unit_Price]]-SalesData[[#This Row],[Unit_Cost]]</f>
        <v>169.8108000000002</v>
      </c>
      <c r="Y194" s="2" t="str">
        <f>IF(SalesData[[#This Row],[Effective_Unit_Margin]]&lt;0,"Loss per Unit","Positive per Unit")</f>
        <v>Positive per Unit</v>
      </c>
    </row>
    <row r="195" spans="1:25" x14ac:dyDescent="0.3">
      <c r="A195">
        <v>1027</v>
      </c>
      <c r="B195" s="1">
        <v>44995</v>
      </c>
      <c r="C195" t="s">
        <v>37</v>
      </c>
      <c r="D195" t="s">
        <v>24</v>
      </c>
      <c r="E195">
        <v>21</v>
      </c>
      <c r="F195" t="s">
        <v>25</v>
      </c>
      <c r="G195">
        <v>2511.41</v>
      </c>
      <c r="H195">
        <v>2848.3999999999901</v>
      </c>
      <c r="I195" t="s">
        <v>16</v>
      </c>
      <c r="J195" s="2">
        <v>0.06</v>
      </c>
      <c r="K195" t="s">
        <v>26</v>
      </c>
      <c r="L195" t="s">
        <v>18</v>
      </c>
      <c r="M195" t="s">
        <v>38</v>
      </c>
      <c r="N195">
        <f>SalesData[[#This Row],[Quantity_Sold]]*SalesData[[#This Row],[Unit_Cost]]</f>
        <v>52739.61</v>
      </c>
      <c r="O195">
        <f>SalesData[[#This Row],[Quantity_Sold]]*SalesData[[#This Row],[Unit_Price]]</f>
        <v>59816.39999999979</v>
      </c>
      <c r="P195">
        <f>SalesData[[#This Row],[Gross_sales]]*(1-SalesData[[#This Row],[Discount]])</f>
        <v>56227.415999999801</v>
      </c>
      <c r="Q195" s="2">
        <f>SalesData[[#This Row],[Sales_amount]]-SalesData[[#This Row],[Total_Cost]]</f>
        <v>3487.8059999998004</v>
      </c>
      <c r="R195" s="2">
        <f>SalesData[[#This Row],[Profit]]/SalesData[[#This Row],[Sales_amount]]</f>
        <v>6.2030344769886149E-2</v>
      </c>
      <c r="S195" s="2">
        <f>SalesData[[#This Row],[Unit_Price]]-SalesData[[#This Row],[Unit_Cost]]</f>
        <v>336.98999999999023</v>
      </c>
      <c r="T195" s="10">
        <f>SalesData[[#This Row],[Unit_Margin]]/SalesData[[#This Row],[Unit_Price]]</f>
        <v>0.11830852408369309</v>
      </c>
      <c r="U195" s="2" t="str">
        <f>IF(SalesData[[#This Row],[Unit_Margin]]&lt;0, "Negative margin", "Positive margin")</f>
        <v>Positive margin</v>
      </c>
      <c r="V195" s="2" t="str">
        <f>IF(SalesData[[#This Row],[Profit]]&lt;0, "Loss", "Profit")</f>
        <v>Profit</v>
      </c>
      <c r="W195" s="2">
        <f>SalesData[[#This Row],[Unit_Price]]*(1-SalesData[[#This Row],[Discount]])</f>
        <v>2677.4959999999905</v>
      </c>
      <c r="X195" s="2">
        <f>SalesData[[#This Row],[Effective_Unit_Price]]-SalesData[[#This Row],[Unit_Cost]]</f>
        <v>166.08599999999069</v>
      </c>
      <c r="Y195" s="2" t="str">
        <f>IF(SalesData[[#This Row],[Effective_Unit_Margin]]&lt;0,"Loss per Unit","Positive per Unit")</f>
        <v>Positive per Unit</v>
      </c>
    </row>
    <row r="196" spans="1:25" x14ac:dyDescent="0.3">
      <c r="A196">
        <v>1062</v>
      </c>
      <c r="B196" s="1">
        <v>45074</v>
      </c>
      <c r="C196" t="s">
        <v>13</v>
      </c>
      <c r="D196" t="s">
        <v>24</v>
      </c>
      <c r="E196">
        <v>28</v>
      </c>
      <c r="F196" t="s">
        <v>34</v>
      </c>
      <c r="G196">
        <v>933.16</v>
      </c>
      <c r="H196">
        <v>1004.69999999999</v>
      </c>
      <c r="I196" t="s">
        <v>16</v>
      </c>
      <c r="J196" s="2">
        <v>0.18</v>
      </c>
      <c r="K196" t="s">
        <v>26</v>
      </c>
      <c r="L196" t="s">
        <v>18</v>
      </c>
      <c r="M196" t="s">
        <v>31</v>
      </c>
      <c r="N196">
        <f>SalesData[[#This Row],[Quantity_Sold]]*SalesData[[#This Row],[Unit_Cost]]</f>
        <v>26128.48</v>
      </c>
      <c r="O196">
        <f>SalesData[[#This Row],[Quantity_Sold]]*SalesData[[#This Row],[Unit_Price]]</f>
        <v>28131.599999999722</v>
      </c>
      <c r="P196">
        <f>SalesData[[#This Row],[Gross_sales]]*(1-SalesData[[#This Row],[Discount]])</f>
        <v>23067.911999999775</v>
      </c>
      <c r="Q196" s="2">
        <f>SalesData[[#This Row],[Sales_amount]]-SalesData[[#This Row],[Total_Cost]]</f>
        <v>-3060.5680000002249</v>
      </c>
      <c r="R196" s="2">
        <f>SalesData[[#This Row],[Profit]]/SalesData[[#This Row],[Sales_amount]]</f>
        <v>-0.13267642082214701</v>
      </c>
      <c r="S196" s="2">
        <f>SalesData[[#This Row],[Unit_Price]]-SalesData[[#This Row],[Unit_Cost]]</f>
        <v>71.539999999990073</v>
      </c>
      <c r="T196" s="10">
        <f>SalesData[[#This Row],[Unit_Margin]]/SalesData[[#This Row],[Unit_Price]]</f>
        <v>7.1205334925839331E-2</v>
      </c>
      <c r="U196" s="2" t="str">
        <f>IF(SalesData[[#This Row],[Unit_Margin]]&lt;0, "Negative margin", "Positive margin")</f>
        <v>Positive margin</v>
      </c>
      <c r="V196" s="2" t="str">
        <f>IF(SalesData[[#This Row],[Profit]]&lt;0, "Loss", "Profit")</f>
        <v>Loss</v>
      </c>
      <c r="W196" s="2">
        <f>SalesData[[#This Row],[Unit_Price]]*(1-SalesData[[#This Row],[Discount]])</f>
        <v>823.85399999999186</v>
      </c>
      <c r="X196" s="2">
        <f>SalesData[[#This Row],[Effective_Unit_Price]]-SalesData[[#This Row],[Unit_Cost]]</f>
        <v>-109.30600000000811</v>
      </c>
      <c r="Y196" s="2" t="str">
        <f>IF(SalesData[[#This Row],[Effective_Unit_Margin]]&lt;0,"Loss per Unit","Positive per Unit")</f>
        <v>Loss per Unit</v>
      </c>
    </row>
    <row r="197" spans="1:25" x14ac:dyDescent="0.3">
      <c r="A197">
        <v>1077</v>
      </c>
      <c r="B197" s="1">
        <v>44937</v>
      </c>
      <c r="C197" t="s">
        <v>37</v>
      </c>
      <c r="D197" t="s">
        <v>14</v>
      </c>
      <c r="E197">
        <v>35</v>
      </c>
      <c r="F197" t="s">
        <v>34</v>
      </c>
      <c r="G197">
        <v>585.37</v>
      </c>
      <c r="H197">
        <v>970.49</v>
      </c>
      <c r="I197" t="s">
        <v>16</v>
      </c>
      <c r="J197" s="2">
        <v>0.15</v>
      </c>
      <c r="K197" t="s">
        <v>26</v>
      </c>
      <c r="L197" t="s">
        <v>21</v>
      </c>
      <c r="M197" t="s">
        <v>39</v>
      </c>
      <c r="N197">
        <f>SalesData[[#This Row],[Quantity_Sold]]*SalesData[[#This Row],[Unit_Cost]]</f>
        <v>20487.95</v>
      </c>
      <c r="O197">
        <f>SalesData[[#This Row],[Quantity_Sold]]*SalesData[[#This Row],[Unit_Price]]</f>
        <v>33967.15</v>
      </c>
      <c r="P197">
        <f>SalesData[[#This Row],[Gross_sales]]*(1-SalesData[[#This Row],[Discount]])</f>
        <v>28872.077499999999</v>
      </c>
      <c r="Q197" s="2">
        <f>SalesData[[#This Row],[Sales_amount]]-SalesData[[#This Row],[Total_Cost]]</f>
        <v>8384.1274999999987</v>
      </c>
      <c r="R197" s="2">
        <f>SalesData[[#This Row],[Profit]]/SalesData[[#This Row],[Sales_amount]]</f>
        <v>0.29038878480428015</v>
      </c>
      <c r="S197" s="2">
        <f>SalesData[[#This Row],[Unit_Price]]-SalesData[[#This Row],[Unit_Cost]]</f>
        <v>385.12</v>
      </c>
      <c r="T197" s="10">
        <f>SalesData[[#This Row],[Unit_Margin]]/SalesData[[#This Row],[Unit_Price]]</f>
        <v>0.39683046708363817</v>
      </c>
      <c r="U197" s="2" t="str">
        <f>IF(SalesData[[#This Row],[Unit_Margin]]&lt;0, "Negative margin", "Positive margin")</f>
        <v>Positive margin</v>
      </c>
      <c r="V197" s="2" t="str">
        <f>IF(SalesData[[#This Row],[Profit]]&lt;0, "Loss", "Profit")</f>
        <v>Profit</v>
      </c>
      <c r="W197" s="2">
        <f>SalesData[[#This Row],[Unit_Price]]*(1-SalesData[[#This Row],[Discount]])</f>
        <v>824.91650000000004</v>
      </c>
      <c r="X197" s="2">
        <f>SalesData[[#This Row],[Effective_Unit_Price]]-SalesData[[#This Row],[Unit_Cost]]</f>
        <v>239.54650000000004</v>
      </c>
      <c r="Y197" s="2" t="str">
        <f>IF(SalesData[[#This Row],[Effective_Unit_Margin]]&lt;0,"Loss per Unit","Positive per Unit")</f>
        <v>Positive per Unit</v>
      </c>
    </row>
    <row r="198" spans="1:25" x14ac:dyDescent="0.3">
      <c r="A198">
        <v>1003</v>
      </c>
      <c r="B198" s="1">
        <v>45180</v>
      </c>
      <c r="C198" t="s">
        <v>23</v>
      </c>
      <c r="D198" t="s">
        <v>33</v>
      </c>
      <c r="E198">
        <v>22</v>
      </c>
      <c r="F198" t="s">
        <v>25</v>
      </c>
      <c r="G198">
        <v>4218.43</v>
      </c>
      <c r="H198">
        <v>4331.42</v>
      </c>
      <c r="I198" t="s">
        <v>29</v>
      </c>
      <c r="J198" s="2">
        <v>0.26</v>
      </c>
      <c r="K198" t="s">
        <v>26</v>
      </c>
      <c r="L198" t="s">
        <v>18</v>
      </c>
      <c r="M198" t="s">
        <v>49</v>
      </c>
      <c r="N198">
        <f>SalesData[[#This Row],[Quantity_Sold]]*SalesData[[#This Row],[Unit_Cost]]</f>
        <v>92805.46</v>
      </c>
      <c r="O198">
        <f>SalesData[[#This Row],[Quantity_Sold]]*SalesData[[#This Row],[Unit_Price]]</f>
        <v>95291.24</v>
      </c>
      <c r="P198">
        <f>SalesData[[#This Row],[Gross_sales]]*(1-SalesData[[#This Row],[Discount]])</f>
        <v>70515.517600000006</v>
      </c>
      <c r="Q198" s="2">
        <f>SalesData[[#This Row],[Sales_amount]]-SalesData[[#This Row],[Total_Cost]]</f>
        <v>-22289.9424</v>
      </c>
      <c r="R198" s="2">
        <f>SalesData[[#This Row],[Profit]]/SalesData[[#This Row],[Sales_amount]]</f>
        <v>-0.31609981970833606</v>
      </c>
      <c r="S198" s="2">
        <f>SalesData[[#This Row],[Unit_Price]]-SalesData[[#This Row],[Unit_Cost]]</f>
        <v>112.98999999999978</v>
      </c>
      <c r="T198" s="10">
        <f>SalesData[[#This Row],[Unit_Margin]]/SalesData[[#This Row],[Unit_Price]]</f>
        <v>2.6086133415831245E-2</v>
      </c>
      <c r="U198" s="2" t="str">
        <f>IF(SalesData[[#This Row],[Unit_Margin]]&lt;0, "Negative margin", "Positive margin")</f>
        <v>Positive margin</v>
      </c>
      <c r="V198" s="2" t="str">
        <f>IF(SalesData[[#This Row],[Profit]]&lt;0, "Loss", "Profit")</f>
        <v>Loss</v>
      </c>
      <c r="W198" s="2">
        <f>SalesData[[#This Row],[Unit_Price]]*(1-SalesData[[#This Row],[Discount]])</f>
        <v>3205.2507999999998</v>
      </c>
      <c r="X198" s="2">
        <f>SalesData[[#This Row],[Effective_Unit_Price]]-SalesData[[#This Row],[Unit_Cost]]</f>
        <v>-1013.1792000000005</v>
      </c>
      <c r="Y198" s="2" t="str">
        <f>IF(SalesData[[#This Row],[Effective_Unit_Margin]]&lt;0,"Loss per Unit","Positive per Unit")</f>
        <v>Loss per Unit</v>
      </c>
    </row>
    <row r="199" spans="1:25" x14ac:dyDescent="0.3">
      <c r="A199">
        <v>1070</v>
      </c>
      <c r="B199" s="1">
        <v>45256</v>
      </c>
      <c r="C199" t="s">
        <v>23</v>
      </c>
      <c r="D199" t="s">
        <v>14</v>
      </c>
      <c r="E199">
        <v>40</v>
      </c>
      <c r="F199" t="s">
        <v>15</v>
      </c>
      <c r="G199">
        <v>3089.96</v>
      </c>
      <c r="H199">
        <v>3258.45</v>
      </c>
      <c r="I199" t="s">
        <v>29</v>
      </c>
      <c r="J199" s="2">
        <v>0.28999999999999998</v>
      </c>
      <c r="K199" t="s">
        <v>17</v>
      </c>
      <c r="L199" t="s">
        <v>18</v>
      </c>
      <c r="M199" t="s">
        <v>44</v>
      </c>
      <c r="N199">
        <f>SalesData[[#This Row],[Quantity_Sold]]*SalesData[[#This Row],[Unit_Cost]]</f>
        <v>123598.39999999999</v>
      </c>
      <c r="O199">
        <f>SalesData[[#This Row],[Quantity_Sold]]*SalesData[[#This Row],[Unit_Price]]</f>
        <v>130338</v>
      </c>
      <c r="P199">
        <f>SalesData[[#This Row],[Gross_sales]]*(1-SalesData[[#This Row],[Discount]])</f>
        <v>92539.98</v>
      </c>
      <c r="Q199" s="2">
        <f>SalesData[[#This Row],[Sales_amount]]-SalesData[[#This Row],[Total_Cost]]</f>
        <v>-31058.42</v>
      </c>
      <c r="R199" s="2">
        <f>SalesData[[#This Row],[Profit]]/SalesData[[#This Row],[Sales_amount]]</f>
        <v>-0.33562164158669583</v>
      </c>
      <c r="S199" s="2">
        <f>SalesData[[#This Row],[Unit_Price]]-SalesData[[#This Row],[Unit_Cost]]</f>
        <v>168.48999999999978</v>
      </c>
      <c r="T199" s="10">
        <f>SalesData[[#This Row],[Unit_Margin]]/SalesData[[#This Row],[Unit_Price]]</f>
        <v>5.1708634473445897E-2</v>
      </c>
      <c r="U199" s="2" t="str">
        <f>IF(SalesData[[#This Row],[Unit_Margin]]&lt;0, "Negative margin", "Positive margin")</f>
        <v>Positive margin</v>
      </c>
      <c r="V199" s="2" t="str">
        <f>IF(SalesData[[#This Row],[Profit]]&lt;0, "Loss", "Profit")</f>
        <v>Loss</v>
      </c>
      <c r="W199" s="2">
        <f>SalesData[[#This Row],[Unit_Price]]*(1-SalesData[[#This Row],[Discount]])</f>
        <v>2313.4994999999999</v>
      </c>
      <c r="X199" s="2">
        <f>SalesData[[#This Row],[Effective_Unit_Price]]-SalesData[[#This Row],[Unit_Cost]]</f>
        <v>-776.46050000000014</v>
      </c>
      <c r="Y199" s="2" t="str">
        <f>IF(SalesData[[#This Row],[Effective_Unit_Margin]]&lt;0,"Loss per Unit","Positive per Unit")</f>
        <v>Loss per Unit</v>
      </c>
    </row>
    <row r="200" spans="1:25" x14ac:dyDescent="0.3">
      <c r="A200">
        <v>1072</v>
      </c>
      <c r="B200" s="1">
        <v>45286</v>
      </c>
      <c r="C200" t="s">
        <v>32</v>
      </c>
      <c r="D200" t="s">
        <v>14</v>
      </c>
      <c r="E200">
        <v>23</v>
      </c>
      <c r="F200" t="s">
        <v>15</v>
      </c>
      <c r="G200">
        <v>1662.83</v>
      </c>
      <c r="H200">
        <v>2074.25</v>
      </c>
      <c r="I200" t="s">
        <v>29</v>
      </c>
      <c r="J200" s="2">
        <v>0.12</v>
      </c>
      <c r="K200" t="s">
        <v>26</v>
      </c>
      <c r="L200" t="s">
        <v>18</v>
      </c>
      <c r="M200" t="s">
        <v>52</v>
      </c>
      <c r="N200">
        <f>SalesData[[#This Row],[Quantity_Sold]]*SalesData[[#This Row],[Unit_Cost]]</f>
        <v>38245.089999999997</v>
      </c>
      <c r="O200">
        <f>SalesData[[#This Row],[Quantity_Sold]]*SalesData[[#This Row],[Unit_Price]]</f>
        <v>47707.75</v>
      </c>
      <c r="P200">
        <f>SalesData[[#This Row],[Gross_sales]]*(1-SalesData[[#This Row],[Discount]])</f>
        <v>41982.82</v>
      </c>
      <c r="Q200" s="2">
        <f>SalesData[[#This Row],[Sales_amount]]-SalesData[[#This Row],[Total_Cost]]</f>
        <v>3737.7300000000032</v>
      </c>
      <c r="R200" s="2">
        <f>SalesData[[#This Row],[Profit]]/SalesData[[#This Row],[Sales_amount]]</f>
        <v>8.9029988933568616E-2</v>
      </c>
      <c r="S200" s="2">
        <f>SalesData[[#This Row],[Unit_Price]]-SalesData[[#This Row],[Unit_Cost]]</f>
        <v>411.42000000000007</v>
      </c>
      <c r="T200" s="10">
        <f>SalesData[[#This Row],[Unit_Margin]]/SalesData[[#This Row],[Unit_Price]]</f>
        <v>0.19834639026154036</v>
      </c>
      <c r="U200" s="2" t="str">
        <f>IF(SalesData[[#This Row],[Unit_Margin]]&lt;0, "Negative margin", "Positive margin")</f>
        <v>Positive margin</v>
      </c>
      <c r="V200" s="2" t="str">
        <f>IF(SalesData[[#This Row],[Profit]]&lt;0, "Loss", "Profit")</f>
        <v>Profit</v>
      </c>
      <c r="W200" s="2">
        <f>SalesData[[#This Row],[Unit_Price]]*(1-SalesData[[#This Row],[Discount]])</f>
        <v>1825.34</v>
      </c>
      <c r="X200" s="2">
        <f>SalesData[[#This Row],[Effective_Unit_Price]]-SalesData[[#This Row],[Unit_Cost]]</f>
        <v>162.51</v>
      </c>
      <c r="Y200" s="2" t="str">
        <f>IF(SalesData[[#This Row],[Effective_Unit_Margin]]&lt;0,"Loss per Unit","Positive per Unit")</f>
        <v>Positive per Unit</v>
      </c>
    </row>
    <row r="201" spans="1:25" x14ac:dyDescent="0.3">
      <c r="A201">
        <v>1027</v>
      </c>
      <c r="B201" s="1">
        <v>44964</v>
      </c>
      <c r="C201" t="s">
        <v>13</v>
      </c>
      <c r="D201" t="s">
        <v>20</v>
      </c>
      <c r="E201">
        <v>3</v>
      </c>
      <c r="F201" t="s">
        <v>25</v>
      </c>
      <c r="G201">
        <v>999.09</v>
      </c>
      <c r="H201">
        <v>1271.99</v>
      </c>
      <c r="I201" t="s">
        <v>29</v>
      </c>
      <c r="J201" s="2">
        <v>0.15</v>
      </c>
      <c r="K201" t="s">
        <v>30</v>
      </c>
      <c r="L201" t="s">
        <v>18</v>
      </c>
      <c r="M201" t="s">
        <v>22</v>
      </c>
      <c r="N201">
        <f>SalesData[[#This Row],[Quantity_Sold]]*SalesData[[#This Row],[Unit_Cost]]</f>
        <v>2997.27</v>
      </c>
      <c r="O201">
        <f>SalesData[[#This Row],[Quantity_Sold]]*SalesData[[#This Row],[Unit_Price]]</f>
        <v>3815.9700000000003</v>
      </c>
      <c r="P201">
        <f>SalesData[[#This Row],[Gross_sales]]*(1-SalesData[[#This Row],[Discount]])</f>
        <v>3243.5745000000002</v>
      </c>
      <c r="Q201" s="2">
        <f>SalesData[[#This Row],[Sales_amount]]-SalesData[[#This Row],[Total_Cost]]</f>
        <v>246.30450000000019</v>
      </c>
      <c r="R201" s="2">
        <f>SalesData[[#This Row],[Profit]]/SalesData[[#This Row],[Sales_amount]]</f>
        <v>7.5936131573361473E-2</v>
      </c>
      <c r="S201" s="2">
        <f>SalesData[[#This Row],[Unit_Price]]-SalesData[[#This Row],[Unit_Cost]]</f>
        <v>272.89999999999998</v>
      </c>
      <c r="T201" s="10">
        <f>SalesData[[#This Row],[Unit_Margin]]/SalesData[[#This Row],[Unit_Price]]</f>
        <v>0.21454571183735718</v>
      </c>
      <c r="U201" s="2" t="str">
        <f>IF(SalesData[[#This Row],[Unit_Margin]]&lt;0, "Negative margin", "Positive margin")</f>
        <v>Positive margin</v>
      </c>
      <c r="V201" s="2" t="str">
        <f>IF(SalesData[[#This Row],[Profit]]&lt;0, "Loss", "Profit")</f>
        <v>Profit</v>
      </c>
      <c r="W201" s="2">
        <f>SalesData[[#This Row],[Unit_Price]]*(1-SalesData[[#This Row],[Discount]])</f>
        <v>1081.1914999999999</v>
      </c>
      <c r="X201" s="2">
        <f>SalesData[[#This Row],[Effective_Unit_Price]]-SalesData[[#This Row],[Unit_Cost]]</f>
        <v>82.101499999999874</v>
      </c>
      <c r="Y201" s="2" t="str">
        <f>IF(SalesData[[#This Row],[Effective_Unit_Margin]]&lt;0,"Loss per Unit","Positive per Unit")</f>
        <v>Positive per Unit</v>
      </c>
    </row>
    <row r="202" spans="1:25" x14ac:dyDescent="0.3">
      <c r="A202">
        <v>1009</v>
      </c>
      <c r="B202" s="1">
        <v>45060</v>
      </c>
      <c r="C202" t="s">
        <v>23</v>
      </c>
      <c r="D202" t="s">
        <v>20</v>
      </c>
      <c r="E202">
        <v>40</v>
      </c>
      <c r="F202" t="s">
        <v>15</v>
      </c>
      <c r="G202">
        <v>2799.71</v>
      </c>
      <c r="H202">
        <v>3231.08</v>
      </c>
      <c r="I202" t="s">
        <v>16</v>
      </c>
      <c r="J202" s="2">
        <v>0.28999999999999998</v>
      </c>
      <c r="K202" t="s">
        <v>30</v>
      </c>
      <c r="L202" t="s">
        <v>21</v>
      </c>
      <c r="M202" t="s">
        <v>46</v>
      </c>
      <c r="N202">
        <f>SalesData[[#This Row],[Quantity_Sold]]*SalesData[[#This Row],[Unit_Cost]]</f>
        <v>111988.4</v>
      </c>
      <c r="O202">
        <f>SalesData[[#This Row],[Quantity_Sold]]*SalesData[[#This Row],[Unit_Price]]</f>
        <v>129243.2</v>
      </c>
      <c r="P202">
        <f>SalesData[[#This Row],[Gross_sales]]*(1-SalesData[[#This Row],[Discount]])</f>
        <v>91762.671999999991</v>
      </c>
      <c r="Q202" s="2">
        <f>SalesData[[#This Row],[Sales_amount]]-SalesData[[#This Row],[Total_Cost]]</f>
        <v>-20225.728000000003</v>
      </c>
      <c r="R202" s="2">
        <f>SalesData[[#This Row],[Profit]]/SalesData[[#This Row],[Sales_amount]]</f>
        <v>-0.22041345962550005</v>
      </c>
      <c r="S202" s="2">
        <f>SalesData[[#This Row],[Unit_Price]]-SalesData[[#This Row],[Unit_Cost]]</f>
        <v>431.36999999999989</v>
      </c>
      <c r="T202" s="10">
        <f>SalesData[[#This Row],[Unit_Margin]]/SalesData[[#This Row],[Unit_Price]]</f>
        <v>0.13350644366589495</v>
      </c>
      <c r="U202" s="2" t="str">
        <f>IF(SalesData[[#This Row],[Unit_Margin]]&lt;0, "Negative margin", "Positive margin")</f>
        <v>Positive margin</v>
      </c>
      <c r="V202" s="2" t="str">
        <f>IF(SalesData[[#This Row],[Profit]]&lt;0, "Loss", "Profit")</f>
        <v>Loss</v>
      </c>
      <c r="W202" s="2">
        <f>SalesData[[#This Row],[Unit_Price]]*(1-SalesData[[#This Row],[Discount]])</f>
        <v>2294.0668000000001</v>
      </c>
      <c r="X202" s="2">
        <f>SalesData[[#This Row],[Effective_Unit_Price]]-SalesData[[#This Row],[Unit_Cost]]</f>
        <v>-505.64319999999998</v>
      </c>
      <c r="Y202" s="2" t="str">
        <f>IF(SalesData[[#This Row],[Effective_Unit_Margin]]&lt;0,"Loss per Unit","Positive per Unit")</f>
        <v>Loss per Unit</v>
      </c>
    </row>
    <row r="203" spans="1:25" x14ac:dyDescent="0.3">
      <c r="A203">
        <v>1062</v>
      </c>
      <c r="B203" s="1">
        <v>45126</v>
      </c>
      <c r="C203" t="s">
        <v>32</v>
      </c>
      <c r="D203" t="s">
        <v>14</v>
      </c>
      <c r="E203">
        <v>10</v>
      </c>
      <c r="F203" t="s">
        <v>34</v>
      </c>
      <c r="G203">
        <v>2940.4</v>
      </c>
      <c r="H203">
        <v>3054.79</v>
      </c>
      <c r="I203" t="s">
        <v>16</v>
      </c>
      <c r="J203" s="2">
        <v>0.08</v>
      </c>
      <c r="K203" t="s">
        <v>30</v>
      </c>
      <c r="L203" t="s">
        <v>18</v>
      </c>
      <c r="M203" t="s">
        <v>52</v>
      </c>
      <c r="N203">
        <f>SalesData[[#This Row],[Quantity_Sold]]*SalesData[[#This Row],[Unit_Cost]]</f>
        <v>29404</v>
      </c>
      <c r="O203">
        <f>SalesData[[#This Row],[Quantity_Sold]]*SalesData[[#This Row],[Unit_Price]]</f>
        <v>30547.9</v>
      </c>
      <c r="P203">
        <f>SalesData[[#This Row],[Gross_sales]]*(1-SalesData[[#This Row],[Discount]])</f>
        <v>28104.068000000003</v>
      </c>
      <c r="Q203" s="2">
        <f>SalesData[[#This Row],[Sales_amount]]-SalesData[[#This Row],[Total_Cost]]</f>
        <v>-1299.9319999999971</v>
      </c>
      <c r="R203" s="2">
        <f>SalesData[[#This Row],[Profit]]/SalesData[[#This Row],[Sales_amount]]</f>
        <v>-4.62542291030607E-2</v>
      </c>
      <c r="S203" s="2">
        <f>SalesData[[#This Row],[Unit_Price]]-SalesData[[#This Row],[Unit_Cost]]</f>
        <v>114.38999999999987</v>
      </c>
      <c r="T203" s="10">
        <f>SalesData[[#This Row],[Unit_Margin]]/SalesData[[#This Row],[Unit_Price]]</f>
        <v>3.7446109225184016E-2</v>
      </c>
      <c r="U203" s="2" t="str">
        <f>IF(SalesData[[#This Row],[Unit_Margin]]&lt;0, "Negative margin", "Positive margin")</f>
        <v>Positive margin</v>
      </c>
      <c r="V203" s="2" t="str">
        <f>IF(SalesData[[#This Row],[Profit]]&lt;0, "Loss", "Profit")</f>
        <v>Loss</v>
      </c>
      <c r="W203" s="2">
        <f>SalesData[[#This Row],[Unit_Price]]*(1-SalesData[[#This Row],[Discount]])</f>
        <v>2810.4068000000002</v>
      </c>
      <c r="X203" s="2">
        <f>SalesData[[#This Row],[Effective_Unit_Price]]-SalesData[[#This Row],[Unit_Cost]]</f>
        <v>-129.99319999999989</v>
      </c>
      <c r="Y203" s="2" t="str">
        <f>IF(SalesData[[#This Row],[Effective_Unit_Margin]]&lt;0,"Loss per Unit","Positive per Unit")</f>
        <v>Loss per Unit</v>
      </c>
    </row>
    <row r="204" spans="1:25" x14ac:dyDescent="0.3">
      <c r="A204">
        <v>1037</v>
      </c>
      <c r="B204" s="1">
        <v>44949</v>
      </c>
      <c r="C204" t="s">
        <v>32</v>
      </c>
      <c r="D204" t="s">
        <v>33</v>
      </c>
      <c r="E204">
        <v>25</v>
      </c>
      <c r="F204" t="s">
        <v>25</v>
      </c>
      <c r="G204">
        <v>1074.6199999999999</v>
      </c>
      <c r="H204">
        <v>1382.4299999999901</v>
      </c>
      <c r="I204" t="s">
        <v>16</v>
      </c>
      <c r="J204" s="2">
        <v>0.24</v>
      </c>
      <c r="K204" t="s">
        <v>30</v>
      </c>
      <c r="L204" t="s">
        <v>21</v>
      </c>
      <c r="M204" t="s">
        <v>35</v>
      </c>
      <c r="N204">
        <f>SalesData[[#This Row],[Quantity_Sold]]*SalesData[[#This Row],[Unit_Cost]]</f>
        <v>26865.499999999996</v>
      </c>
      <c r="O204">
        <f>SalesData[[#This Row],[Quantity_Sold]]*SalesData[[#This Row],[Unit_Price]]</f>
        <v>34560.749999999753</v>
      </c>
      <c r="P204">
        <f>SalesData[[#This Row],[Gross_sales]]*(1-SalesData[[#This Row],[Discount]])</f>
        <v>26266.169999999813</v>
      </c>
      <c r="Q204" s="2">
        <f>SalesData[[#This Row],[Sales_amount]]-SalesData[[#This Row],[Total_Cost]]</f>
        <v>-599.33000000018365</v>
      </c>
      <c r="R204" s="2">
        <f>SalesData[[#This Row],[Profit]]/SalesData[[#This Row],[Sales_amount]]</f>
        <v>-2.2817563428554215E-2</v>
      </c>
      <c r="S204" s="2">
        <f>SalesData[[#This Row],[Unit_Price]]-SalesData[[#This Row],[Unit_Cost]]</f>
        <v>307.80999999999017</v>
      </c>
      <c r="T204" s="10">
        <f>SalesData[[#This Row],[Unit_Margin]]/SalesData[[#This Row],[Unit_Price]]</f>
        <v>0.22265865179429872</v>
      </c>
      <c r="U204" s="2" t="str">
        <f>IF(SalesData[[#This Row],[Unit_Margin]]&lt;0, "Negative margin", "Positive margin")</f>
        <v>Positive margin</v>
      </c>
      <c r="V204" s="2" t="str">
        <f>IF(SalesData[[#This Row],[Profit]]&lt;0, "Loss", "Profit")</f>
        <v>Loss</v>
      </c>
      <c r="W204" s="2">
        <f>SalesData[[#This Row],[Unit_Price]]*(1-SalesData[[#This Row],[Discount]])</f>
        <v>1050.6467999999925</v>
      </c>
      <c r="X204" s="2">
        <f>SalesData[[#This Row],[Effective_Unit_Price]]-SalesData[[#This Row],[Unit_Cost]]</f>
        <v>-23.973200000007409</v>
      </c>
      <c r="Y204" s="2" t="str">
        <f>IF(SalesData[[#This Row],[Effective_Unit_Margin]]&lt;0,"Loss per Unit","Positive per Unit")</f>
        <v>Loss per Unit</v>
      </c>
    </row>
    <row r="205" spans="1:25" x14ac:dyDescent="0.3">
      <c r="A205">
        <v>1097</v>
      </c>
      <c r="B205" s="1">
        <v>45229</v>
      </c>
      <c r="C205" t="s">
        <v>37</v>
      </c>
      <c r="D205" t="s">
        <v>20</v>
      </c>
      <c r="E205">
        <v>49</v>
      </c>
      <c r="F205" t="s">
        <v>34</v>
      </c>
      <c r="G205">
        <v>4264.46</v>
      </c>
      <c r="H205">
        <v>4315.5200000000004</v>
      </c>
      <c r="I205" t="s">
        <v>29</v>
      </c>
      <c r="J205" s="2">
        <v>7.0000000000000007E-2</v>
      </c>
      <c r="K205" t="s">
        <v>17</v>
      </c>
      <c r="L205" t="s">
        <v>21</v>
      </c>
      <c r="M205" t="s">
        <v>40</v>
      </c>
      <c r="N205">
        <f>SalesData[[#This Row],[Quantity_Sold]]*SalesData[[#This Row],[Unit_Cost]]</f>
        <v>208958.54</v>
      </c>
      <c r="O205">
        <f>SalesData[[#This Row],[Quantity_Sold]]*SalesData[[#This Row],[Unit_Price]]</f>
        <v>211460.48000000001</v>
      </c>
      <c r="P205">
        <f>SalesData[[#This Row],[Gross_sales]]*(1-SalesData[[#This Row],[Discount]])</f>
        <v>196658.2464</v>
      </c>
      <c r="Q205" s="2">
        <f>SalesData[[#This Row],[Sales_amount]]-SalesData[[#This Row],[Total_Cost]]</f>
        <v>-12300.293600000005</v>
      </c>
      <c r="R205" s="2">
        <f>SalesData[[#This Row],[Profit]]/SalesData[[#This Row],[Sales_amount]]</f>
        <v>-6.2546543687679326E-2</v>
      </c>
      <c r="S205" s="2">
        <f>SalesData[[#This Row],[Unit_Price]]-SalesData[[#This Row],[Unit_Cost]]</f>
        <v>51.0600000000004</v>
      </c>
      <c r="T205" s="10">
        <f>SalesData[[#This Row],[Unit_Margin]]/SalesData[[#This Row],[Unit_Price]]</f>
        <v>1.1831714370458345E-2</v>
      </c>
      <c r="U205" s="2" t="str">
        <f>IF(SalesData[[#This Row],[Unit_Margin]]&lt;0, "Negative margin", "Positive margin")</f>
        <v>Positive margin</v>
      </c>
      <c r="V205" s="2" t="str">
        <f>IF(SalesData[[#This Row],[Profit]]&lt;0, "Loss", "Profit")</f>
        <v>Loss</v>
      </c>
      <c r="W205" s="2">
        <f>SalesData[[#This Row],[Unit_Price]]*(1-SalesData[[#This Row],[Discount]])</f>
        <v>4013.4336000000003</v>
      </c>
      <c r="X205" s="2">
        <f>SalesData[[#This Row],[Effective_Unit_Price]]-SalesData[[#This Row],[Unit_Cost]]</f>
        <v>-251.02639999999974</v>
      </c>
      <c r="Y205" s="2" t="str">
        <f>IF(SalesData[[#This Row],[Effective_Unit_Margin]]&lt;0,"Loss per Unit","Positive per Unit")</f>
        <v>Loss per Unit</v>
      </c>
    </row>
    <row r="206" spans="1:25" x14ac:dyDescent="0.3">
      <c r="A206">
        <v>1051</v>
      </c>
      <c r="B206" s="1">
        <v>45272</v>
      </c>
      <c r="C206" t="s">
        <v>37</v>
      </c>
      <c r="D206" t="s">
        <v>14</v>
      </c>
      <c r="E206">
        <v>8</v>
      </c>
      <c r="F206" t="s">
        <v>28</v>
      </c>
      <c r="G206">
        <v>467.11</v>
      </c>
      <c r="H206">
        <v>792.21</v>
      </c>
      <c r="I206" t="s">
        <v>29</v>
      </c>
      <c r="J206" s="2">
        <v>0.2</v>
      </c>
      <c r="K206" t="s">
        <v>30</v>
      </c>
      <c r="L206" t="s">
        <v>18</v>
      </c>
      <c r="M206" t="s">
        <v>39</v>
      </c>
      <c r="N206">
        <f>SalesData[[#This Row],[Quantity_Sold]]*SalesData[[#This Row],[Unit_Cost]]</f>
        <v>3736.88</v>
      </c>
      <c r="O206">
        <f>SalesData[[#This Row],[Quantity_Sold]]*SalesData[[#This Row],[Unit_Price]]</f>
        <v>6337.68</v>
      </c>
      <c r="P206">
        <f>SalesData[[#This Row],[Gross_sales]]*(1-SalesData[[#This Row],[Discount]])</f>
        <v>5070.1440000000002</v>
      </c>
      <c r="Q206" s="2">
        <f>SalesData[[#This Row],[Sales_amount]]-SalesData[[#This Row],[Total_Cost]]</f>
        <v>1333.2640000000001</v>
      </c>
      <c r="R206" s="2">
        <f>SalesData[[#This Row],[Profit]]/SalesData[[#This Row],[Sales_amount]]</f>
        <v>0.26296373436336329</v>
      </c>
      <c r="S206" s="2">
        <f>SalesData[[#This Row],[Unit_Price]]-SalesData[[#This Row],[Unit_Cost]]</f>
        <v>325.10000000000002</v>
      </c>
      <c r="T206" s="10">
        <f>SalesData[[#This Row],[Unit_Margin]]/SalesData[[#This Row],[Unit_Price]]</f>
        <v>0.41037098749069062</v>
      </c>
      <c r="U206" s="2" t="str">
        <f>IF(SalesData[[#This Row],[Unit_Margin]]&lt;0, "Negative margin", "Positive margin")</f>
        <v>Positive margin</v>
      </c>
      <c r="V206" s="2" t="str">
        <f>IF(SalesData[[#This Row],[Profit]]&lt;0, "Loss", "Profit")</f>
        <v>Profit</v>
      </c>
      <c r="W206" s="2">
        <f>SalesData[[#This Row],[Unit_Price]]*(1-SalesData[[#This Row],[Discount]])</f>
        <v>633.76800000000003</v>
      </c>
      <c r="X206" s="2">
        <f>SalesData[[#This Row],[Effective_Unit_Price]]-SalesData[[#This Row],[Unit_Cost]]</f>
        <v>166.65800000000002</v>
      </c>
      <c r="Y206" s="2" t="str">
        <f>IF(SalesData[[#This Row],[Effective_Unit_Margin]]&lt;0,"Loss per Unit","Positive per Unit")</f>
        <v>Positive per Unit</v>
      </c>
    </row>
    <row r="207" spans="1:25" x14ac:dyDescent="0.3">
      <c r="A207">
        <v>1044</v>
      </c>
      <c r="B207" s="1">
        <v>45228</v>
      </c>
      <c r="C207" t="s">
        <v>32</v>
      </c>
      <c r="D207" t="s">
        <v>14</v>
      </c>
      <c r="E207">
        <v>11</v>
      </c>
      <c r="F207" t="s">
        <v>28</v>
      </c>
      <c r="G207">
        <v>1812.66</v>
      </c>
      <c r="H207">
        <v>2196.3000000000002</v>
      </c>
      <c r="I207" t="s">
        <v>29</v>
      </c>
      <c r="J207" s="2">
        <v>0.08</v>
      </c>
      <c r="K207" t="s">
        <v>17</v>
      </c>
      <c r="L207" t="s">
        <v>18</v>
      </c>
      <c r="M207" t="s">
        <v>52</v>
      </c>
      <c r="N207">
        <f>SalesData[[#This Row],[Quantity_Sold]]*SalesData[[#This Row],[Unit_Cost]]</f>
        <v>19939.260000000002</v>
      </c>
      <c r="O207">
        <f>SalesData[[#This Row],[Quantity_Sold]]*SalesData[[#This Row],[Unit_Price]]</f>
        <v>24159.300000000003</v>
      </c>
      <c r="P207">
        <f>SalesData[[#This Row],[Gross_sales]]*(1-SalesData[[#This Row],[Discount]])</f>
        <v>22226.556000000004</v>
      </c>
      <c r="Q207" s="2">
        <f>SalesData[[#This Row],[Sales_amount]]-SalesData[[#This Row],[Total_Cost]]</f>
        <v>2287.2960000000021</v>
      </c>
      <c r="R207" s="2">
        <f>SalesData[[#This Row],[Profit]]/SalesData[[#This Row],[Sales_amount]]</f>
        <v>0.10290825083292264</v>
      </c>
      <c r="S207" s="2">
        <f>SalesData[[#This Row],[Unit_Price]]-SalesData[[#This Row],[Unit_Cost]]</f>
        <v>383.6400000000001</v>
      </c>
      <c r="T207" s="10">
        <f>SalesData[[#This Row],[Unit_Margin]]/SalesData[[#This Row],[Unit_Price]]</f>
        <v>0.1746755907662888</v>
      </c>
      <c r="U207" s="2" t="str">
        <f>IF(SalesData[[#This Row],[Unit_Margin]]&lt;0, "Negative margin", "Positive margin")</f>
        <v>Positive margin</v>
      </c>
      <c r="V207" s="2" t="str">
        <f>IF(SalesData[[#This Row],[Profit]]&lt;0, "Loss", "Profit")</f>
        <v>Profit</v>
      </c>
      <c r="W207" s="2">
        <f>SalesData[[#This Row],[Unit_Price]]*(1-SalesData[[#This Row],[Discount]])</f>
        <v>2020.5960000000002</v>
      </c>
      <c r="X207" s="2">
        <f>SalesData[[#This Row],[Effective_Unit_Price]]-SalesData[[#This Row],[Unit_Cost]]</f>
        <v>207.93600000000015</v>
      </c>
      <c r="Y207" s="2" t="str">
        <f>IF(SalesData[[#This Row],[Effective_Unit_Margin]]&lt;0,"Loss per Unit","Positive per Unit")</f>
        <v>Positive per Unit</v>
      </c>
    </row>
    <row r="208" spans="1:25" x14ac:dyDescent="0.3">
      <c r="A208">
        <v>1024</v>
      </c>
      <c r="B208" s="1">
        <v>45289</v>
      </c>
      <c r="C208" t="s">
        <v>37</v>
      </c>
      <c r="D208" t="s">
        <v>14</v>
      </c>
      <c r="E208">
        <v>5</v>
      </c>
      <c r="F208" t="s">
        <v>15</v>
      </c>
      <c r="G208">
        <v>3417.9</v>
      </c>
      <c r="H208">
        <v>3714.52</v>
      </c>
      <c r="I208" t="s">
        <v>16</v>
      </c>
      <c r="J208" s="2">
        <v>0.27</v>
      </c>
      <c r="K208" t="s">
        <v>30</v>
      </c>
      <c r="L208" t="s">
        <v>21</v>
      </c>
      <c r="M208" t="s">
        <v>39</v>
      </c>
      <c r="N208">
        <f>SalesData[[#This Row],[Quantity_Sold]]*SalesData[[#This Row],[Unit_Cost]]</f>
        <v>17089.5</v>
      </c>
      <c r="O208">
        <f>SalesData[[#This Row],[Quantity_Sold]]*SalesData[[#This Row],[Unit_Price]]</f>
        <v>18572.599999999999</v>
      </c>
      <c r="P208">
        <f>SalesData[[#This Row],[Gross_sales]]*(1-SalesData[[#This Row],[Discount]])</f>
        <v>13557.997999999998</v>
      </c>
      <c r="Q208" s="2">
        <f>SalesData[[#This Row],[Sales_amount]]-SalesData[[#This Row],[Total_Cost]]</f>
        <v>-3531.5020000000022</v>
      </c>
      <c r="R208" s="2">
        <f>SalesData[[#This Row],[Profit]]/SalesData[[#This Row],[Sales_amount]]</f>
        <v>-0.26047370710631484</v>
      </c>
      <c r="S208" s="2">
        <f>SalesData[[#This Row],[Unit_Price]]-SalesData[[#This Row],[Unit_Cost]]</f>
        <v>296.61999999999989</v>
      </c>
      <c r="T208" s="10">
        <f>SalesData[[#This Row],[Unit_Margin]]/SalesData[[#This Row],[Unit_Price]]</f>
        <v>7.985419381239027E-2</v>
      </c>
      <c r="U208" s="2" t="str">
        <f>IF(SalesData[[#This Row],[Unit_Margin]]&lt;0, "Negative margin", "Positive margin")</f>
        <v>Positive margin</v>
      </c>
      <c r="V208" s="2" t="str">
        <f>IF(SalesData[[#This Row],[Profit]]&lt;0, "Loss", "Profit")</f>
        <v>Loss</v>
      </c>
      <c r="W208" s="2">
        <f>SalesData[[#This Row],[Unit_Price]]*(1-SalesData[[#This Row],[Discount]])</f>
        <v>2711.5996</v>
      </c>
      <c r="X208" s="2">
        <f>SalesData[[#This Row],[Effective_Unit_Price]]-SalesData[[#This Row],[Unit_Cost]]</f>
        <v>-706.30040000000008</v>
      </c>
      <c r="Y208" s="2" t="str">
        <f>IF(SalesData[[#This Row],[Effective_Unit_Margin]]&lt;0,"Loss per Unit","Positive per Unit")</f>
        <v>Loss per Unit</v>
      </c>
    </row>
    <row r="209" spans="1:25" x14ac:dyDescent="0.3">
      <c r="A209">
        <v>1079</v>
      </c>
      <c r="B209" s="1">
        <v>45144</v>
      </c>
      <c r="C209" t="s">
        <v>23</v>
      </c>
      <c r="D209" t="s">
        <v>14</v>
      </c>
      <c r="E209">
        <v>45</v>
      </c>
      <c r="F209" t="s">
        <v>28</v>
      </c>
      <c r="G209">
        <v>1406.9</v>
      </c>
      <c r="H209">
        <v>1547.35</v>
      </c>
      <c r="I209" t="s">
        <v>29</v>
      </c>
      <c r="J209" s="2">
        <v>0.17</v>
      </c>
      <c r="K209" t="s">
        <v>17</v>
      </c>
      <c r="L209" t="s">
        <v>21</v>
      </c>
      <c r="M209" t="s">
        <v>44</v>
      </c>
      <c r="N209">
        <f>SalesData[[#This Row],[Quantity_Sold]]*SalesData[[#This Row],[Unit_Cost]]</f>
        <v>63310.500000000007</v>
      </c>
      <c r="O209">
        <f>SalesData[[#This Row],[Quantity_Sold]]*SalesData[[#This Row],[Unit_Price]]</f>
        <v>69630.75</v>
      </c>
      <c r="P209">
        <f>SalesData[[#This Row],[Gross_sales]]*(1-SalesData[[#This Row],[Discount]])</f>
        <v>57793.522499999999</v>
      </c>
      <c r="Q209" s="2">
        <f>SalesData[[#This Row],[Sales_amount]]-SalesData[[#This Row],[Total_Cost]]</f>
        <v>-5516.9775000000081</v>
      </c>
      <c r="R209" s="2">
        <f>SalesData[[#This Row],[Profit]]/SalesData[[#This Row],[Sales_amount]]</f>
        <v>-9.5460135692542497E-2</v>
      </c>
      <c r="S209" s="2">
        <f>SalesData[[#This Row],[Unit_Price]]-SalesData[[#This Row],[Unit_Cost]]</f>
        <v>140.44999999999982</v>
      </c>
      <c r="T209" s="10">
        <f>SalesData[[#This Row],[Unit_Margin]]/SalesData[[#This Row],[Unit_Price]]</f>
        <v>9.0768087375189724E-2</v>
      </c>
      <c r="U209" s="2" t="str">
        <f>IF(SalesData[[#This Row],[Unit_Margin]]&lt;0, "Negative margin", "Positive margin")</f>
        <v>Positive margin</v>
      </c>
      <c r="V209" s="2" t="str">
        <f>IF(SalesData[[#This Row],[Profit]]&lt;0, "Loss", "Profit")</f>
        <v>Loss</v>
      </c>
      <c r="W209" s="2">
        <f>SalesData[[#This Row],[Unit_Price]]*(1-SalesData[[#This Row],[Discount]])</f>
        <v>1284.3004999999998</v>
      </c>
      <c r="X209" s="2">
        <f>SalesData[[#This Row],[Effective_Unit_Price]]-SalesData[[#This Row],[Unit_Cost]]</f>
        <v>-122.59950000000026</v>
      </c>
      <c r="Y209" s="2" t="str">
        <f>IF(SalesData[[#This Row],[Effective_Unit_Margin]]&lt;0,"Loss per Unit","Positive per Unit")</f>
        <v>Loss per Unit</v>
      </c>
    </row>
    <row r="210" spans="1:25" x14ac:dyDescent="0.3">
      <c r="A210">
        <v>1059</v>
      </c>
      <c r="B210" s="1">
        <v>45067</v>
      </c>
      <c r="C210" t="s">
        <v>41</v>
      </c>
      <c r="D210" t="s">
        <v>14</v>
      </c>
      <c r="E210">
        <v>37</v>
      </c>
      <c r="F210" t="s">
        <v>34</v>
      </c>
      <c r="G210">
        <v>4146.99</v>
      </c>
      <c r="H210">
        <v>4172.3499999999904</v>
      </c>
      <c r="I210" t="s">
        <v>16</v>
      </c>
      <c r="J210" s="2">
        <v>0.06</v>
      </c>
      <c r="K210" t="s">
        <v>17</v>
      </c>
      <c r="L210" t="s">
        <v>21</v>
      </c>
      <c r="M210" t="s">
        <v>48</v>
      </c>
      <c r="N210">
        <f>SalesData[[#This Row],[Quantity_Sold]]*SalesData[[#This Row],[Unit_Cost]]</f>
        <v>153438.63</v>
      </c>
      <c r="O210">
        <f>SalesData[[#This Row],[Quantity_Sold]]*SalesData[[#This Row],[Unit_Price]]</f>
        <v>154376.94999999963</v>
      </c>
      <c r="P210">
        <f>SalesData[[#This Row],[Gross_sales]]*(1-SalesData[[#This Row],[Discount]])</f>
        <v>145114.33299999963</v>
      </c>
      <c r="Q210" s="2">
        <f>SalesData[[#This Row],[Sales_amount]]-SalesData[[#This Row],[Total_Cost]]</f>
        <v>-8324.2970000003697</v>
      </c>
      <c r="R210" s="2">
        <f>SalesData[[#This Row],[Profit]]/SalesData[[#This Row],[Sales_amount]]</f>
        <v>-5.736371334181297E-2</v>
      </c>
      <c r="S210" s="2">
        <f>SalesData[[#This Row],[Unit_Price]]-SalesData[[#This Row],[Unit_Cost]]</f>
        <v>25.359999999990578</v>
      </c>
      <c r="T210" s="10">
        <f>SalesData[[#This Row],[Unit_Margin]]/SalesData[[#This Row],[Unit_Price]]</f>
        <v>6.0781094586960915E-3</v>
      </c>
      <c r="U210" s="2" t="str">
        <f>IF(SalesData[[#This Row],[Unit_Margin]]&lt;0, "Negative margin", "Positive margin")</f>
        <v>Positive margin</v>
      </c>
      <c r="V210" s="2" t="str">
        <f>IF(SalesData[[#This Row],[Profit]]&lt;0, "Loss", "Profit")</f>
        <v>Loss</v>
      </c>
      <c r="W210" s="2">
        <f>SalesData[[#This Row],[Unit_Price]]*(1-SalesData[[#This Row],[Discount]])</f>
        <v>3922.0089999999909</v>
      </c>
      <c r="X210" s="2">
        <f>SalesData[[#This Row],[Effective_Unit_Price]]-SalesData[[#This Row],[Unit_Cost]]</f>
        <v>-224.98100000000886</v>
      </c>
      <c r="Y210" s="2" t="str">
        <f>IF(SalesData[[#This Row],[Effective_Unit_Margin]]&lt;0,"Loss per Unit","Positive per Unit")</f>
        <v>Loss per Unit</v>
      </c>
    </row>
    <row r="211" spans="1:25" x14ac:dyDescent="0.3">
      <c r="A211">
        <v>1032</v>
      </c>
      <c r="B211" s="1">
        <v>45030</v>
      </c>
      <c r="C211" t="s">
        <v>23</v>
      </c>
      <c r="D211" t="s">
        <v>14</v>
      </c>
      <c r="E211">
        <v>45</v>
      </c>
      <c r="F211" t="s">
        <v>28</v>
      </c>
      <c r="G211">
        <v>3712.35</v>
      </c>
      <c r="H211">
        <v>3780.88</v>
      </c>
      <c r="I211" t="s">
        <v>29</v>
      </c>
      <c r="J211" s="2">
        <v>7.0000000000000007E-2</v>
      </c>
      <c r="K211" t="s">
        <v>17</v>
      </c>
      <c r="L211" t="s">
        <v>21</v>
      </c>
      <c r="M211" t="s">
        <v>44</v>
      </c>
      <c r="N211">
        <f>SalesData[[#This Row],[Quantity_Sold]]*SalesData[[#This Row],[Unit_Cost]]</f>
        <v>167055.75</v>
      </c>
      <c r="O211">
        <f>SalesData[[#This Row],[Quantity_Sold]]*SalesData[[#This Row],[Unit_Price]]</f>
        <v>170139.6</v>
      </c>
      <c r="P211">
        <f>SalesData[[#This Row],[Gross_sales]]*(1-SalesData[[#This Row],[Discount]])</f>
        <v>158229.82800000001</v>
      </c>
      <c r="Q211" s="2">
        <f>SalesData[[#This Row],[Sales_amount]]-SalesData[[#This Row],[Total_Cost]]</f>
        <v>-8825.9219999999914</v>
      </c>
      <c r="R211" s="2">
        <f>SalesData[[#This Row],[Profit]]/SalesData[[#This Row],[Sales_amount]]</f>
        <v>-5.5779129077988952E-2</v>
      </c>
      <c r="S211" s="2">
        <f>SalesData[[#This Row],[Unit_Price]]-SalesData[[#This Row],[Unit_Cost]]</f>
        <v>68.5300000000002</v>
      </c>
      <c r="T211" s="10">
        <f>SalesData[[#This Row],[Unit_Margin]]/SalesData[[#This Row],[Unit_Price]]</f>
        <v>1.8125409957470272E-2</v>
      </c>
      <c r="U211" s="2" t="str">
        <f>IF(SalesData[[#This Row],[Unit_Margin]]&lt;0, "Negative margin", "Positive margin")</f>
        <v>Positive margin</v>
      </c>
      <c r="V211" s="2" t="str">
        <f>IF(SalesData[[#This Row],[Profit]]&lt;0, "Loss", "Profit")</f>
        <v>Loss</v>
      </c>
      <c r="W211" s="2">
        <f>SalesData[[#This Row],[Unit_Price]]*(1-SalesData[[#This Row],[Discount]])</f>
        <v>3516.2183999999997</v>
      </c>
      <c r="X211" s="2">
        <f>SalesData[[#This Row],[Effective_Unit_Price]]-SalesData[[#This Row],[Unit_Cost]]</f>
        <v>-196.13160000000016</v>
      </c>
      <c r="Y211" s="2" t="str">
        <f>IF(SalesData[[#This Row],[Effective_Unit_Margin]]&lt;0,"Loss per Unit","Positive per Unit")</f>
        <v>Loss per Unit</v>
      </c>
    </row>
    <row r="212" spans="1:25" x14ac:dyDescent="0.3">
      <c r="A212">
        <v>1096</v>
      </c>
      <c r="B212" s="1">
        <v>45136</v>
      </c>
      <c r="C212" t="s">
        <v>32</v>
      </c>
      <c r="D212" t="s">
        <v>20</v>
      </c>
      <c r="E212">
        <v>38</v>
      </c>
      <c r="F212" t="s">
        <v>34</v>
      </c>
      <c r="G212">
        <v>3955.66</v>
      </c>
      <c r="H212">
        <v>4270.59</v>
      </c>
      <c r="I212" t="s">
        <v>16</v>
      </c>
      <c r="J212" s="2">
        <v>0.15</v>
      </c>
      <c r="K212" t="s">
        <v>30</v>
      </c>
      <c r="L212" t="s">
        <v>18</v>
      </c>
      <c r="M212" t="s">
        <v>36</v>
      </c>
      <c r="N212">
        <f>SalesData[[#This Row],[Quantity_Sold]]*SalesData[[#This Row],[Unit_Cost]]</f>
        <v>150315.07999999999</v>
      </c>
      <c r="O212">
        <f>SalesData[[#This Row],[Quantity_Sold]]*SalesData[[#This Row],[Unit_Price]]</f>
        <v>162282.42000000001</v>
      </c>
      <c r="P212">
        <f>SalesData[[#This Row],[Gross_sales]]*(1-SalesData[[#This Row],[Discount]])</f>
        <v>137940.057</v>
      </c>
      <c r="Q212" s="2">
        <f>SalesData[[#This Row],[Sales_amount]]-SalesData[[#This Row],[Total_Cost]]</f>
        <v>-12375.022999999986</v>
      </c>
      <c r="R212" s="2">
        <f>SalesData[[#This Row],[Profit]]/SalesData[[#This Row],[Sales_amount]]</f>
        <v>-8.9713048327941358E-2</v>
      </c>
      <c r="S212" s="2">
        <f>SalesData[[#This Row],[Unit_Price]]-SalesData[[#This Row],[Unit_Cost]]</f>
        <v>314.93000000000029</v>
      </c>
      <c r="T212" s="10">
        <f>SalesData[[#This Row],[Unit_Margin]]/SalesData[[#This Row],[Unit_Price]]</f>
        <v>7.3743908921249823E-2</v>
      </c>
      <c r="U212" s="2" t="str">
        <f>IF(SalesData[[#This Row],[Unit_Margin]]&lt;0, "Negative margin", "Positive margin")</f>
        <v>Positive margin</v>
      </c>
      <c r="V212" s="2" t="str">
        <f>IF(SalesData[[#This Row],[Profit]]&lt;0, "Loss", "Profit")</f>
        <v>Loss</v>
      </c>
      <c r="W212" s="2">
        <f>SalesData[[#This Row],[Unit_Price]]*(1-SalesData[[#This Row],[Discount]])</f>
        <v>3630.0014999999999</v>
      </c>
      <c r="X212" s="2">
        <f>SalesData[[#This Row],[Effective_Unit_Price]]-SalesData[[#This Row],[Unit_Cost]]</f>
        <v>-325.6585</v>
      </c>
      <c r="Y212" s="2" t="str">
        <f>IF(SalesData[[#This Row],[Effective_Unit_Margin]]&lt;0,"Loss per Unit","Positive per Unit")</f>
        <v>Loss per Unit</v>
      </c>
    </row>
    <row r="213" spans="1:25" x14ac:dyDescent="0.3">
      <c r="A213">
        <v>1088</v>
      </c>
      <c r="B213" s="1">
        <v>45037</v>
      </c>
      <c r="C213" t="s">
        <v>32</v>
      </c>
      <c r="D213" t="s">
        <v>33</v>
      </c>
      <c r="E213">
        <v>29</v>
      </c>
      <c r="F213" t="s">
        <v>15</v>
      </c>
      <c r="G213">
        <v>639.58000000000004</v>
      </c>
      <c r="H213">
        <v>1107.45</v>
      </c>
      <c r="I213" t="s">
        <v>29</v>
      </c>
      <c r="J213" s="2">
        <v>0.28999999999999998</v>
      </c>
      <c r="K213" t="s">
        <v>17</v>
      </c>
      <c r="L213" t="s">
        <v>21</v>
      </c>
      <c r="M213" t="s">
        <v>35</v>
      </c>
      <c r="N213">
        <f>SalesData[[#This Row],[Quantity_Sold]]*SalesData[[#This Row],[Unit_Cost]]</f>
        <v>18547.82</v>
      </c>
      <c r="O213">
        <f>SalesData[[#This Row],[Quantity_Sold]]*SalesData[[#This Row],[Unit_Price]]</f>
        <v>32116.050000000003</v>
      </c>
      <c r="P213">
        <f>SalesData[[#This Row],[Gross_sales]]*(1-SalesData[[#This Row],[Discount]])</f>
        <v>22802.395500000002</v>
      </c>
      <c r="Q213" s="2">
        <f>SalesData[[#This Row],[Sales_amount]]-SalesData[[#This Row],[Total_Cost]]</f>
        <v>4254.5755000000026</v>
      </c>
      <c r="R213" s="2">
        <f>SalesData[[#This Row],[Profit]]/SalesData[[#This Row],[Sales_amount]]</f>
        <v>0.18658458493977101</v>
      </c>
      <c r="S213" s="2">
        <f>SalesData[[#This Row],[Unit_Price]]-SalesData[[#This Row],[Unit_Cost]]</f>
        <v>467.87</v>
      </c>
      <c r="T213" s="10">
        <f>SalesData[[#This Row],[Unit_Margin]]/SalesData[[#This Row],[Unit_Price]]</f>
        <v>0.42247505530723733</v>
      </c>
      <c r="U213" s="2" t="str">
        <f>IF(SalesData[[#This Row],[Unit_Margin]]&lt;0, "Negative margin", "Positive margin")</f>
        <v>Positive margin</v>
      </c>
      <c r="V213" s="2" t="str">
        <f>IF(SalesData[[#This Row],[Profit]]&lt;0, "Loss", "Profit")</f>
        <v>Profit</v>
      </c>
      <c r="W213" s="2">
        <f>SalesData[[#This Row],[Unit_Price]]*(1-SalesData[[#This Row],[Discount]])</f>
        <v>786.28949999999998</v>
      </c>
      <c r="X213" s="2">
        <f>SalesData[[#This Row],[Effective_Unit_Price]]-SalesData[[#This Row],[Unit_Cost]]</f>
        <v>146.70949999999993</v>
      </c>
      <c r="Y213" s="2" t="str">
        <f>IF(SalesData[[#This Row],[Effective_Unit_Margin]]&lt;0,"Loss per Unit","Positive per Unit")</f>
        <v>Positive per Unit</v>
      </c>
    </row>
    <row r="214" spans="1:25" x14ac:dyDescent="0.3">
      <c r="A214">
        <v>1052</v>
      </c>
      <c r="B214" s="1">
        <v>45030</v>
      </c>
      <c r="C214" t="s">
        <v>23</v>
      </c>
      <c r="D214" t="s">
        <v>14</v>
      </c>
      <c r="E214">
        <v>5</v>
      </c>
      <c r="F214" t="s">
        <v>15</v>
      </c>
      <c r="G214">
        <v>745.71</v>
      </c>
      <c r="H214">
        <v>856.91</v>
      </c>
      <c r="I214" t="s">
        <v>16</v>
      </c>
      <c r="J214" s="2">
        <v>0.23</v>
      </c>
      <c r="K214" t="s">
        <v>26</v>
      </c>
      <c r="L214" t="s">
        <v>21</v>
      </c>
      <c r="M214" t="s">
        <v>44</v>
      </c>
      <c r="N214">
        <f>SalesData[[#This Row],[Quantity_Sold]]*SalesData[[#This Row],[Unit_Cost]]</f>
        <v>3728.55</v>
      </c>
      <c r="O214">
        <f>SalesData[[#This Row],[Quantity_Sold]]*SalesData[[#This Row],[Unit_Price]]</f>
        <v>4284.55</v>
      </c>
      <c r="P214">
        <f>SalesData[[#This Row],[Gross_sales]]*(1-SalesData[[#This Row],[Discount]])</f>
        <v>3299.1035000000002</v>
      </c>
      <c r="Q214" s="2">
        <f>SalesData[[#This Row],[Sales_amount]]-SalesData[[#This Row],[Total_Cost]]</f>
        <v>-429.44650000000001</v>
      </c>
      <c r="R214" s="2">
        <f>SalesData[[#This Row],[Profit]]/SalesData[[#This Row],[Sales_amount]]</f>
        <v>-0.13017066606124966</v>
      </c>
      <c r="S214" s="2">
        <f>SalesData[[#This Row],[Unit_Price]]-SalesData[[#This Row],[Unit_Cost]]</f>
        <v>111.19999999999993</v>
      </c>
      <c r="T214" s="10">
        <f>SalesData[[#This Row],[Unit_Margin]]/SalesData[[#This Row],[Unit_Price]]</f>
        <v>0.12976858713283768</v>
      </c>
      <c r="U214" s="2" t="str">
        <f>IF(SalesData[[#This Row],[Unit_Margin]]&lt;0, "Negative margin", "Positive margin")</f>
        <v>Positive margin</v>
      </c>
      <c r="V214" s="2" t="str">
        <f>IF(SalesData[[#This Row],[Profit]]&lt;0, "Loss", "Profit")</f>
        <v>Loss</v>
      </c>
      <c r="W214" s="2">
        <f>SalesData[[#This Row],[Unit_Price]]*(1-SalesData[[#This Row],[Discount]])</f>
        <v>659.82069999999999</v>
      </c>
      <c r="X214" s="2">
        <f>SalesData[[#This Row],[Effective_Unit_Price]]-SalesData[[#This Row],[Unit_Cost]]</f>
        <v>-85.889300000000048</v>
      </c>
      <c r="Y214" s="2" t="str">
        <f>IF(SalesData[[#This Row],[Effective_Unit_Margin]]&lt;0,"Loss per Unit","Positive per Unit")</f>
        <v>Loss per Unit</v>
      </c>
    </row>
    <row r="215" spans="1:25" x14ac:dyDescent="0.3">
      <c r="A215">
        <v>1062</v>
      </c>
      <c r="B215" s="1">
        <v>45242</v>
      </c>
      <c r="C215" t="s">
        <v>37</v>
      </c>
      <c r="D215" t="s">
        <v>24</v>
      </c>
      <c r="E215">
        <v>9</v>
      </c>
      <c r="F215" t="s">
        <v>34</v>
      </c>
      <c r="G215">
        <v>1468.05</v>
      </c>
      <c r="H215">
        <v>1838.21</v>
      </c>
      <c r="I215" t="s">
        <v>29</v>
      </c>
      <c r="J215" s="2">
        <v>0.15</v>
      </c>
      <c r="K215" t="s">
        <v>26</v>
      </c>
      <c r="L215" t="s">
        <v>21</v>
      </c>
      <c r="M215" t="s">
        <v>38</v>
      </c>
      <c r="N215">
        <f>SalesData[[#This Row],[Quantity_Sold]]*SalesData[[#This Row],[Unit_Cost]]</f>
        <v>13212.449999999999</v>
      </c>
      <c r="O215">
        <f>SalesData[[#This Row],[Quantity_Sold]]*SalesData[[#This Row],[Unit_Price]]</f>
        <v>16543.89</v>
      </c>
      <c r="P215">
        <f>SalesData[[#This Row],[Gross_sales]]*(1-SalesData[[#This Row],[Discount]])</f>
        <v>14062.306499999999</v>
      </c>
      <c r="Q215" s="2">
        <f>SalesData[[#This Row],[Sales_amount]]-SalesData[[#This Row],[Total_Cost]]</f>
        <v>849.85649999999987</v>
      </c>
      <c r="R215" s="2">
        <f>SalesData[[#This Row],[Profit]]/SalesData[[#This Row],[Sales_amount]]</f>
        <v>6.043507158658503E-2</v>
      </c>
      <c r="S215" s="2">
        <f>SalesData[[#This Row],[Unit_Price]]-SalesData[[#This Row],[Unit_Cost]]</f>
        <v>370.16000000000008</v>
      </c>
      <c r="T215" s="10">
        <f>SalesData[[#This Row],[Unit_Margin]]/SalesData[[#This Row],[Unit_Price]]</f>
        <v>0.20136981084859731</v>
      </c>
      <c r="U215" s="2" t="str">
        <f>IF(SalesData[[#This Row],[Unit_Margin]]&lt;0, "Negative margin", "Positive margin")</f>
        <v>Positive margin</v>
      </c>
      <c r="V215" s="2" t="str">
        <f>IF(SalesData[[#This Row],[Profit]]&lt;0, "Loss", "Profit")</f>
        <v>Profit</v>
      </c>
      <c r="W215" s="2">
        <f>SalesData[[#This Row],[Unit_Price]]*(1-SalesData[[#This Row],[Discount]])</f>
        <v>1562.4784999999999</v>
      </c>
      <c r="X215" s="2">
        <f>SalesData[[#This Row],[Effective_Unit_Price]]-SalesData[[#This Row],[Unit_Cost]]</f>
        <v>94.428499999999985</v>
      </c>
      <c r="Y215" s="2" t="str">
        <f>IF(SalesData[[#This Row],[Effective_Unit_Margin]]&lt;0,"Loss per Unit","Positive per Unit")</f>
        <v>Positive per Unit</v>
      </c>
    </row>
    <row r="216" spans="1:25" x14ac:dyDescent="0.3">
      <c r="A216">
        <v>1058</v>
      </c>
      <c r="B216" s="1">
        <v>45097</v>
      </c>
      <c r="C216" t="s">
        <v>37</v>
      </c>
      <c r="D216" t="s">
        <v>20</v>
      </c>
      <c r="E216">
        <v>48</v>
      </c>
      <c r="F216" t="s">
        <v>28</v>
      </c>
      <c r="G216">
        <v>2614.48</v>
      </c>
      <c r="H216">
        <v>3049.04</v>
      </c>
      <c r="I216" t="s">
        <v>29</v>
      </c>
      <c r="J216" s="2">
        <v>0.1</v>
      </c>
      <c r="K216" t="s">
        <v>30</v>
      </c>
      <c r="L216" t="s">
        <v>21</v>
      </c>
      <c r="M216" t="s">
        <v>40</v>
      </c>
      <c r="N216">
        <f>SalesData[[#This Row],[Quantity_Sold]]*SalesData[[#This Row],[Unit_Cost]]</f>
        <v>125495.04000000001</v>
      </c>
      <c r="O216">
        <f>SalesData[[#This Row],[Quantity_Sold]]*SalesData[[#This Row],[Unit_Price]]</f>
        <v>146353.91999999998</v>
      </c>
      <c r="P216">
        <f>SalesData[[#This Row],[Gross_sales]]*(1-SalesData[[#This Row],[Discount]])</f>
        <v>131718.52799999999</v>
      </c>
      <c r="Q216" s="2">
        <f>SalesData[[#This Row],[Sales_amount]]-SalesData[[#This Row],[Total_Cost]]</f>
        <v>6223.487999999983</v>
      </c>
      <c r="R216" s="2">
        <f>SalesData[[#This Row],[Profit]]/SalesData[[#This Row],[Sales_amount]]</f>
        <v>4.7248387106178284E-2</v>
      </c>
      <c r="S216" s="2">
        <f>SalesData[[#This Row],[Unit_Price]]-SalesData[[#This Row],[Unit_Cost]]</f>
        <v>434.55999999999995</v>
      </c>
      <c r="T216" s="10">
        <f>SalesData[[#This Row],[Unit_Margin]]/SalesData[[#This Row],[Unit_Price]]</f>
        <v>0.14252354839556056</v>
      </c>
      <c r="U216" s="2" t="str">
        <f>IF(SalesData[[#This Row],[Unit_Margin]]&lt;0, "Negative margin", "Positive margin")</f>
        <v>Positive margin</v>
      </c>
      <c r="V216" s="2" t="str">
        <f>IF(SalesData[[#This Row],[Profit]]&lt;0, "Loss", "Profit")</f>
        <v>Profit</v>
      </c>
      <c r="W216" s="2">
        <f>SalesData[[#This Row],[Unit_Price]]*(1-SalesData[[#This Row],[Discount]])</f>
        <v>2744.136</v>
      </c>
      <c r="X216" s="2">
        <f>SalesData[[#This Row],[Effective_Unit_Price]]-SalesData[[#This Row],[Unit_Cost]]</f>
        <v>129.65599999999995</v>
      </c>
      <c r="Y216" s="2" t="str">
        <f>IF(SalesData[[#This Row],[Effective_Unit_Margin]]&lt;0,"Loss per Unit","Positive per Unit")</f>
        <v>Positive per Unit</v>
      </c>
    </row>
    <row r="217" spans="1:25" x14ac:dyDescent="0.3">
      <c r="A217">
        <v>1052</v>
      </c>
      <c r="B217" s="1">
        <v>45282</v>
      </c>
      <c r="C217" t="s">
        <v>32</v>
      </c>
      <c r="D217" t="s">
        <v>20</v>
      </c>
      <c r="E217">
        <v>2</v>
      </c>
      <c r="F217" t="s">
        <v>15</v>
      </c>
      <c r="G217">
        <v>3752.68</v>
      </c>
      <c r="H217">
        <v>4017.91</v>
      </c>
      <c r="I217" t="s">
        <v>16</v>
      </c>
      <c r="J217" s="2">
        <v>0.16</v>
      </c>
      <c r="K217" t="s">
        <v>26</v>
      </c>
      <c r="L217" t="s">
        <v>18</v>
      </c>
      <c r="M217" t="s">
        <v>36</v>
      </c>
      <c r="N217">
        <f>SalesData[[#This Row],[Quantity_Sold]]*SalesData[[#This Row],[Unit_Cost]]</f>
        <v>7505.36</v>
      </c>
      <c r="O217">
        <f>SalesData[[#This Row],[Quantity_Sold]]*SalesData[[#This Row],[Unit_Price]]</f>
        <v>8035.82</v>
      </c>
      <c r="P217">
        <f>SalesData[[#This Row],[Gross_sales]]*(1-SalesData[[#This Row],[Discount]])</f>
        <v>6750.0887999999995</v>
      </c>
      <c r="Q217" s="2">
        <f>SalesData[[#This Row],[Sales_amount]]-SalesData[[#This Row],[Total_Cost]]</f>
        <v>-755.27120000000014</v>
      </c>
      <c r="R217" s="2">
        <f>SalesData[[#This Row],[Profit]]/SalesData[[#This Row],[Sales_amount]]</f>
        <v>-0.11189055764718239</v>
      </c>
      <c r="S217" s="2">
        <f>SalesData[[#This Row],[Unit_Price]]-SalesData[[#This Row],[Unit_Cost]]</f>
        <v>265.23</v>
      </c>
      <c r="T217" s="10">
        <f>SalesData[[#This Row],[Unit_Margin]]/SalesData[[#This Row],[Unit_Price]]</f>
        <v>6.6011931576366825E-2</v>
      </c>
      <c r="U217" s="2" t="str">
        <f>IF(SalesData[[#This Row],[Unit_Margin]]&lt;0, "Negative margin", "Positive margin")</f>
        <v>Positive margin</v>
      </c>
      <c r="V217" s="2" t="str">
        <f>IF(SalesData[[#This Row],[Profit]]&lt;0, "Loss", "Profit")</f>
        <v>Loss</v>
      </c>
      <c r="W217" s="2">
        <f>SalesData[[#This Row],[Unit_Price]]*(1-SalesData[[#This Row],[Discount]])</f>
        <v>3375.0443999999998</v>
      </c>
      <c r="X217" s="2">
        <f>SalesData[[#This Row],[Effective_Unit_Price]]-SalesData[[#This Row],[Unit_Cost]]</f>
        <v>-377.63560000000007</v>
      </c>
      <c r="Y217" s="2" t="str">
        <f>IF(SalesData[[#This Row],[Effective_Unit_Margin]]&lt;0,"Loss per Unit","Positive per Unit")</f>
        <v>Loss per Unit</v>
      </c>
    </row>
    <row r="218" spans="1:25" x14ac:dyDescent="0.3">
      <c r="A218">
        <v>1012</v>
      </c>
      <c r="B218" s="1">
        <v>45250</v>
      </c>
      <c r="C218" t="s">
        <v>13</v>
      </c>
      <c r="D218" t="s">
        <v>14</v>
      </c>
      <c r="E218">
        <v>1</v>
      </c>
      <c r="F218" t="s">
        <v>25</v>
      </c>
      <c r="G218">
        <v>4190.83</v>
      </c>
      <c r="H218">
        <v>4528.7699999999904</v>
      </c>
      <c r="I218" t="s">
        <v>16</v>
      </c>
      <c r="J218" s="2">
        <v>0.22</v>
      </c>
      <c r="K218" t="s">
        <v>26</v>
      </c>
      <c r="L218" t="s">
        <v>18</v>
      </c>
      <c r="M218" t="s">
        <v>19</v>
      </c>
      <c r="N218">
        <f>SalesData[[#This Row],[Quantity_Sold]]*SalesData[[#This Row],[Unit_Cost]]</f>
        <v>4190.83</v>
      </c>
      <c r="O218">
        <f>SalesData[[#This Row],[Quantity_Sold]]*SalesData[[#This Row],[Unit_Price]]</f>
        <v>4528.7699999999904</v>
      </c>
      <c r="P218">
        <f>SalesData[[#This Row],[Gross_sales]]*(1-SalesData[[#This Row],[Discount]])</f>
        <v>3532.4405999999926</v>
      </c>
      <c r="Q218" s="2">
        <f>SalesData[[#This Row],[Sales_amount]]-SalesData[[#This Row],[Total_Cost]]</f>
        <v>-658.3894000000073</v>
      </c>
      <c r="R218" s="2">
        <f>SalesData[[#This Row],[Profit]]/SalesData[[#This Row],[Sales_amount]]</f>
        <v>-0.186383714421131</v>
      </c>
      <c r="S218" s="2">
        <f>SalesData[[#This Row],[Unit_Price]]-SalesData[[#This Row],[Unit_Cost]]</f>
        <v>337.9399999999905</v>
      </c>
      <c r="T218" s="10">
        <f>SalesData[[#This Row],[Unit_Margin]]/SalesData[[#This Row],[Unit_Price]]</f>
        <v>7.462070275151779E-2</v>
      </c>
      <c r="U218" s="2" t="str">
        <f>IF(SalesData[[#This Row],[Unit_Margin]]&lt;0, "Negative margin", "Positive margin")</f>
        <v>Positive margin</v>
      </c>
      <c r="V218" s="2" t="str">
        <f>IF(SalesData[[#This Row],[Profit]]&lt;0, "Loss", "Profit")</f>
        <v>Loss</v>
      </c>
      <c r="W218" s="2">
        <f>SalesData[[#This Row],[Unit_Price]]*(1-SalesData[[#This Row],[Discount]])</f>
        <v>3532.4405999999926</v>
      </c>
      <c r="X218" s="2">
        <f>SalesData[[#This Row],[Effective_Unit_Price]]-SalesData[[#This Row],[Unit_Cost]]</f>
        <v>-658.3894000000073</v>
      </c>
      <c r="Y218" s="2" t="str">
        <f>IF(SalesData[[#This Row],[Effective_Unit_Margin]]&lt;0,"Loss per Unit","Positive per Unit")</f>
        <v>Loss per Unit</v>
      </c>
    </row>
    <row r="219" spans="1:25" x14ac:dyDescent="0.3">
      <c r="A219">
        <v>1039</v>
      </c>
      <c r="B219" s="1">
        <v>45059</v>
      </c>
      <c r="C219" t="s">
        <v>37</v>
      </c>
      <c r="D219" t="s">
        <v>20</v>
      </c>
      <c r="E219">
        <v>40</v>
      </c>
      <c r="F219" t="s">
        <v>15</v>
      </c>
      <c r="G219">
        <v>3536.46</v>
      </c>
      <c r="H219">
        <v>3945.82</v>
      </c>
      <c r="I219" t="s">
        <v>29</v>
      </c>
      <c r="J219" s="2">
        <v>0.24</v>
      </c>
      <c r="K219" t="s">
        <v>26</v>
      </c>
      <c r="L219" t="s">
        <v>18</v>
      </c>
      <c r="M219" t="s">
        <v>40</v>
      </c>
      <c r="N219">
        <f>SalesData[[#This Row],[Quantity_Sold]]*SalesData[[#This Row],[Unit_Cost]]</f>
        <v>141458.4</v>
      </c>
      <c r="O219">
        <f>SalesData[[#This Row],[Quantity_Sold]]*SalesData[[#This Row],[Unit_Price]]</f>
        <v>157832.80000000002</v>
      </c>
      <c r="P219">
        <f>SalesData[[#This Row],[Gross_sales]]*(1-SalesData[[#This Row],[Discount]])</f>
        <v>119952.92800000001</v>
      </c>
      <c r="Q219" s="2">
        <f>SalesData[[#This Row],[Sales_amount]]-SalesData[[#This Row],[Total_Cost]]</f>
        <v>-21505.47199999998</v>
      </c>
      <c r="R219" s="2">
        <f>SalesData[[#This Row],[Profit]]/SalesData[[#This Row],[Sales_amount]]</f>
        <v>-0.17928259325191276</v>
      </c>
      <c r="S219" s="2">
        <f>SalesData[[#This Row],[Unit_Price]]-SalesData[[#This Row],[Unit_Cost]]</f>
        <v>409.36000000000013</v>
      </c>
      <c r="T219" s="10">
        <f>SalesData[[#This Row],[Unit_Margin]]/SalesData[[#This Row],[Unit_Price]]</f>
        <v>0.10374522912854618</v>
      </c>
      <c r="U219" s="2" t="str">
        <f>IF(SalesData[[#This Row],[Unit_Margin]]&lt;0, "Negative margin", "Positive margin")</f>
        <v>Positive margin</v>
      </c>
      <c r="V219" s="2" t="str">
        <f>IF(SalesData[[#This Row],[Profit]]&lt;0, "Loss", "Profit")</f>
        <v>Loss</v>
      </c>
      <c r="W219" s="2">
        <f>SalesData[[#This Row],[Unit_Price]]*(1-SalesData[[#This Row],[Discount]])</f>
        <v>2998.8232000000003</v>
      </c>
      <c r="X219" s="2">
        <f>SalesData[[#This Row],[Effective_Unit_Price]]-SalesData[[#This Row],[Unit_Cost]]</f>
        <v>-537.63679999999977</v>
      </c>
      <c r="Y219" s="2" t="str">
        <f>IF(SalesData[[#This Row],[Effective_Unit_Margin]]&lt;0,"Loss per Unit","Positive per Unit")</f>
        <v>Loss per Unit</v>
      </c>
    </row>
    <row r="220" spans="1:25" x14ac:dyDescent="0.3">
      <c r="A220">
        <v>1002</v>
      </c>
      <c r="B220" s="1">
        <v>45219</v>
      </c>
      <c r="C220" t="s">
        <v>23</v>
      </c>
      <c r="D220" t="s">
        <v>14</v>
      </c>
      <c r="E220">
        <v>30</v>
      </c>
      <c r="F220" t="s">
        <v>28</v>
      </c>
      <c r="G220">
        <v>4646.55</v>
      </c>
      <c r="H220">
        <v>4784.28</v>
      </c>
      <c r="I220" t="s">
        <v>16</v>
      </c>
      <c r="J220" s="2">
        <v>0.1</v>
      </c>
      <c r="K220" t="s">
        <v>30</v>
      </c>
      <c r="L220" t="s">
        <v>21</v>
      </c>
      <c r="M220" t="s">
        <v>44</v>
      </c>
      <c r="N220">
        <f>SalesData[[#This Row],[Quantity_Sold]]*SalesData[[#This Row],[Unit_Cost]]</f>
        <v>139396.5</v>
      </c>
      <c r="O220">
        <f>SalesData[[#This Row],[Quantity_Sold]]*SalesData[[#This Row],[Unit_Price]]</f>
        <v>143528.4</v>
      </c>
      <c r="P220">
        <f>SalesData[[#This Row],[Gross_sales]]*(1-SalesData[[#This Row],[Discount]])</f>
        <v>129175.56</v>
      </c>
      <c r="Q220" s="2">
        <f>SalesData[[#This Row],[Sales_amount]]-SalesData[[#This Row],[Total_Cost]]</f>
        <v>-10220.940000000002</v>
      </c>
      <c r="R220" s="2">
        <f>SalesData[[#This Row],[Profit]]/SalesData[[#This Row],[Sales_amount]]</f>
        <v>-7.9124410221252398E-2</v>
      </c>
      <c r="S220" s="2">
        <f>SalesData[[#This Row],[Unit_Price]]-SalesData[[#This Row],[Unit_Cost]]</f>
        <v>137.72999999999956</v>
      </c>
      <c r="T220" s="10">
        <f>SalesData[[#This Row],[Unit_Margin]]/SalesData[[#This Row],[Unit_Price]]</f>
        <v>2.878803080087277E-2</v>
      </c>
      <c r="U220" s="2" t="str">
        <f>IF(SalesData[[#This Row],[Unit_Margin]]&lt;0, "Negative margin", "Positive margin")</f>
        <v>Positive margin</v>
      </c>
      <c r="V220" s="2" t="str">
        <f>IF(SalesData[[#This Row],[Profit]]&lt;0, "Loss", "Profit")</f>
        <v>Loss</v>
      </c>
      <c r="W220" s="2">
        <f>SalesData[[#This Row],[Unit_Price]]*(1-SalesData[[#This Row],[Discount]])</f>
        <v>4305.8519999999999</v>
      </c>
      <c r="X220" s="2">
        <f>SalesData[[#This Row],[Effective_Unit_Price]]-SalesData[[#This Row],[Unit_Cost]]</f>
        <v>-340.69800000000032</v>
      </c>
      <c r="Y220" s="2" t="str">
        <f>IF(SalesData[[#This Row],[Effective_Unit_Margin]]&lt;0,"Loss per Unit","Positive per Unit")</f>
        <v>Loss per Unit</v>
      </c>
    </row>
    <row r="221" spans="1:25" x14ac:dyDescent="0.3">
      <c r="A221">
        <v>1003</v>
      </c>
      <c r="B221" s="1">
        <v>45254</v>
      </c>
      <c r="C221" t="s">
        <v>37</v>
      </c>
      <c r="D221" t="s">
        <v>33</v>
      </c>
      <c r="E221">
        <v>11</v>
      </c>
      <c r="F221" t="s">
        <v>25</v>
      </c>
      <c r="G221">
        <v>3706.78</v>
      </c>
      <c r="H221">
        <v>3862.26</v>
      </c>
      <c r="I221" t="s">
        <v>29</v>
      </c>
      <c r="J221" s="2">
        <v>0.22</v>
      </c>
      <c r="K221" t="s">
        <v>30</v>
      </c>
      <c r="L221" t="s">
        <v>21</v>
      </c>
      <c r="M221" t="s">
        <v>47</v>
      </c>
      <c r="N221">
        <f>SalesData[[#This Row],[Quantity_Sold]]*SalesData[[#This Row],[Unit_Cost]]</f>
        <v>40774.58</v>
      </c>
      <c r="O221">
        <f>SalesData[[#This Row],[Quantity_Sold]]*SalesData[[#This Row],[Unit_Price]]</f>
        <v>42484.86</v>
      </c>
      <c r="P221">
        <f>SalesData[[#This Row],[Gross_sales]]*(1-SalesData[[#This Row],[Discount]])</f>
        <v>33138.190800000004</v>
      </c>
      <c r="Q221" s="2">
        <f>SalesData[[#This Row],[Sales_amount]]-SalesData[[#This Row],[Total_Cost]]</f>
        <v>-7636.3891999999978</v>
      </c>
      <c r="R221" s="2">
        <f>SalesData[[#This Row],[Profit]]/SalesData[[#This Row],[Sales_amount]]</f>
        <v>-0.23044073969179985</v>
      </c>
      <c r="S221" s="2">
        <f>SalesData[[#This Row],[Unit_Price]]-SalesData[[#This Row],[Unit_Cost]]</f>
        <v>155.48000000000002</v>
      </c>
      <c r="T221" s="10">
        <f>SalesData[[#This Row],[Unit_Margin]]/SalesData[[#This Row],[Unit_Price]]</f>
        <v>4.0256223040396041E-2</v>
      </c>
      <c r="U221" s="2" t="str">
        <f>IF(SalesData[[#This Row],[Unit_Margin]]&lt;0, "Negative margin", "Positive margin")</f>
        <v>Positive margin</v>
      </c>
      <c r="V221" s="2" t="str">
        <f>IF(SalesData[[#This Row],[Profit]]&lt;0, "Loss", "Profit")</f>
        <v>Loss</v>
      </c>
      <c r="W221" s="2">
        <f>SalesData[[#This Row],[Unit_Price]]*(1-SalesData[[#This Row],[Discount]])</f>
        <v>3012.5628000000002</v>
      </c>
      <c r="X221" s="2">
        <f>SalesData[[#This Row],[Effective_Unit_Price]]-SalesData[[#This Row],[Unit_Cost]]</f>
        <v>-694.21720000000005</v>
      </c>
      <c r="Y221" s="2" t="str">
        <f>IF(SalesData[[#This Row],[Effective_Unit_Margin]]&lt;0,"Loss per Unit","Positive per Unit")</f>
        <v>Loss per Unit</v>
      </c>
    </row>
    <row r="222" spans="1:25" x14ac:dyDescent="0.3">
      <c r="A222">
        <v>1056</v>
      </c>
      <c r="B222" s="1">
        <v>45053</v>
      </c>
      <c r="C222" t="s">
        <v>23</v>
      </c>
      <c r="D222" t="s">
        <v>33</v>
      </c>
      <c r="E222">
        <v>28</v>
      </c>
      <c r="F222" t="s">
        <v>28</v>
      </c>
      <c r="G222">
        <v>1566.03</v>
      </c>
      <c r="H222">
        <v>1576.34</v>
      </c>
      <c r="I222" t="s">
        <v>16</v>
      </c>
      <c r="J222" s="2">
        <v>0.2</v>
      </c>
      <c r="K222" t="s">
        <v>26</v>
      </c>
      <c r="L222" t="s">
        <v>18</v>
      </c>
      <c r="M222" t="s">
        <v>49</v>
      </c>
      <c r="N222">
        <f>SalesData[[#This Row],[Quantity_Sold]]*SalesData[[#This Row],[Unit_Cost]]</f>
        <v>43848.84</v>
      </c>
      <c r="O222">
        <f>SalesData[[#This Row],[Quantity_Sold]]*SalesData[[#This Row],[Unit_Price]]</f>
        <v>44137.52</v>
      </c>
      <c r="P222">
        <f>SalesData[[#This Row],[Gross_sales]]*(1-SalesData[[#This Row],[Discount]])</f>
        <v>35310.015999999996</v>
      </c>
      <c r="Q222" s="2">
        <f>SalesData[[#This Row],[Sales_amount]]-SalesData[[#This Row],[Total_Cost]]</f>
        <v>-8538.8240000000005</v>
      </c>
      <c r="R222" s="2">
        <f>SalesData[[#This Row],[Profit]]/SalesData[[#This Row],[Sales_amount]]</f>
        <v>-0.24182441605237454</v>
      </c>
      <c r="S222" s="2">
        <f>SalesData[[#This Row],[Unit_Price]]-SalesData[[#This Row],[Unit_Cost]]</f>
        <v>10.309999999999945</v>
      </c>
      <c r="T222" s="10">
        <f>SalesData[[#This Row],[Unit_Margin]]/SalesData[[#This Row],[Unit_Price]]</f>
        <v>6.5404671581003751E-3</v>
      </c>
      <c r="U222" s="2" t="str">
        <f>IF(SalesData[[#This Row],[Unit_Margin]]&lt;0, "Negative margin", "Positive margin")</f>
        <v>Positive margin</v>
      </c>
      <c r="V222" s="2" t="str">
        <f>IF(SalesData[[#This Row],[Profit]]&lt;0, "Loss", "Profit")</f>
        <v>Loss</v>
      </c>
      <c r="W222" s="2">
        <f>SalesData[[#This Row],[Unit_Price]]*(1-SalesData[[#This Row],[Discount]])</f>
        <v>1261.0720000000001</v>
      </c>
      <c r="X222" s="2">
        <f>SalesData[[#This Row],[Effective_Unit_Price]]-SalesData[[#This Row],[Unit_Cost]]</f>
        <v>-304.95799999999986</v>
      </c>
      <c r="Y222" s="2" t="str">
        <f>IF(SalesData[[#This Row],[Effective_Unit_Margin]]&lt;0,"Loss per Unit","Positive per Unit")</f>
        <v>Loss per Unit</v>
      </c>
    </row>
    <row r="223" spans="1:25" x14ac:dyDescent="0.3">
      <c r="A223">
        <v>1081</v>
      </c>
      <c r="B223" s="1">
        <v>45032</v>
      </c>
      <c r="C223" t="s">
        <v>32</v>
      </c>
      <c r="D223" t="s">
        <v>20</v>
      </c>
      <c r="E223">
        <v>44</v>
      </c>
      <c r="F223" t="s">
        <v>34</v>
      </c>
      <c r="G223">
        <v>1362.15</v>
      </c>
      <c r="H223">
        <v>1844.07</v>
      </c>
      <c r="I223" t="s">
        <v>29</v>
      </c>
      <c r="J223" s="2">
        <v>0.28999999999999998</v>
      </c>
      <c r="K223" t="s">
        <v>30</v>
      </c>
      <c r="L223" t="s">
        <v>18</v>
      </c>
      <c r="M223" t="s">
        <v>36</v>
      </c>
      <c r="N223">
        <f>SalesData[[#This Row],[Quantity_Sold]]*SalesData[[#This Row],[Unit_Cost]]</f>
        <v>59934.600000000006</v>
      </c>
      <c r="O223">
        <f>SalesData[[#This Row],[Quantity_Sold]]*SalesData[[#This Row],[Unit_Price]]</f>
        <v>81139.08</v>
      </c>
      <c r="P223">
        <f>SalesData[[#This Row],[Gross_sales]]*(1-SalesData[[#This Row],[Discount]])</f>
        <v>57608.746800000001</v>
      </c>
      <c r="Q223" s="2">
        <f>SalesData[[#This Row],[Sales_amount]]-SalesData[[#This Row],[Total_Cost]]</f>
        <v>-2325.853200000005</v>
      </c>
      <c r="R223" s="2">
        <f>SalesData[[#This Row],[Profit]]/SalesData[[#This Row],[Sales_amount]]</f>
        <v>-4.0373264984823534E-2</v>
      </c>
      <c r="S223" s="2">
        <f>SalesData[[#This Row],[Unit_Price]]-SalesData[[#This Row],[Unit_Cost]]</f>
        <v>481.91999999999985</v>
      </c>
      <c r="T223" s="10">
        <f>SalesData[[#This Row],[Unit_Margin]]/SalesData[[#This Row],[Unit_Price]]</f>
        <v>0.26133498186077525</v>
      </c>
      <c r="U223" s="2" t="str">
        <f>IF(SalesData[[#This Row],[Unit_Margin]]&lt;0, "Negative margin", "Positive margin")</f>
        <v>Positive margin</v>
      </c>
      <c r="V223" s="2" t="str">
        <f>IF(SalesData[[#This Row],[Profit]]&lt;0, "Loss", "Profit")</f>
        <v>Loss</v>
      </c>
      <c r="W223" s="2">
        <f>SalesData[[#This Row],[Unit_Price]]*(1-SalesData[[#This Row],[Discount]])</f>
        <v>1309.2896999999998</v>
      </c>
      <c r="X223" s="2">
        <f>SalesData[[#This Row],[Effective_Unit_Price]]-SalesData[[#This Row],[Unit_Cost]]</f>
        <v>-52.860300000000279</v>
      </c>
      <c r="Y223" s="2" t="str">
        <f>IF(SalesData[[#This Row],[Effective_Unit_Margin]]&lt;0,"Loss per Unit","Positive per Unit")</f>
        <v>Loss per Unit</v>
      </c>
    </row>
    <row r="224" spans="1:25" x14ac:dyDescent="0.3">
      <c r="A224">
        <v>1059</v>
      </c>
      <c r="B224" s="1">
        <v>45018</v>
      </c>
      <c r="C224" t="s">
        <v>37</v>
      </c>
      <c r="D224" t="s">
        <v>20</v>
      </c>
      <c r="E224">
        <v>12</v>
      </c>
      <c r="F224" t="s">
        <v>25</v>
      </c>
      <c r="G224">
        <v>3496.15</v>
      </c>
      <c r="H224">
        <v>3955.75</v>
      </c>
      <c r="I224" t="s">
        <v>16</v>
      </c>
      <c r="J224" s="2">
        <v>0.28000000000000003</v>
      </c>
      <c r="K224" t="s">
        <v>17</v>
      </c>
      <c r="L224" t="s">
        <v>21</v>
      </c>
      <c r="M224" t="s">
        <v>40</v>
      </c>
      <c r="N224">
        <f>SalesData[[#This Row],[Quantity_Sold]]*SalesData[[#This Row],[Unit_Cost]]</f>
        <v>41953.8</v>
      </c>
      <c r="O224">
        <f>SalesData[[#This Row],[Quantity_Sold]]*SalesData[[#This Row],[Unit_Price]]</f>
        <v>47469</v>
      </c>
      <c r="P224">
        <f>SalesData[[#This Row],[Gross_sales]]*(1-SalesData[[#This Row],[Discount]])</f>
        <v>34177.68</v>
      </c>
      <c r="Q224" s="2">
        <f>SalesData[[#This Row],[Sales_amount]]-SalesData[[#This Row],[Total_Cost]]</f>
        <v>-7776.1200000000026</v>
      </c>
      <c r="R224" s="2">
        <f>SalesData[[#This Row],[Profit]]/SalesData[[#This Row],[Sales_amount]]</f>
        <v>-0.22752041683344226</v>
      </c>
      <c r="S224" s="2">
        <f>SalesData[[#This Row],[Unit_Price]]-SalesData[[#This Row],[Unit_Cost]]</f>
        <v>459.59999999999991</v>
      </c>
      <c r="T224" s="10">
        <f>SalesData[[#This Row],[Unit_Margin]]/SalesData[[#This Row],[Unit_Price]]</f>
        <v>0.11618529987992161</v>
      </c>
      <c r="U224" s="2" t="str">
        <f>IF(SalesData[[#This Row],[Unit_Margin]]&lt;0, "Negative margin", "Positive margin")</f>
        <v>Positive margin</v>
      </c>
      <c r="V224" s="2" t="str">
        <f>IF(SalesData[[#This Row],[Profit]]&lt;0, "Loss", "Profit")</f>
        <v>Loss</v>
      </c>
      <c r="W224" s="2">
        <f>SalesData[[#This Row],[Unit_Price]]*(1-SalesData[[#This Row],[Discount]])</f>
        <v>2848.14</v>
      </c>
      <c r="X224" s="2">
        <f>SalesData[[#This Row],[Effective_Unit_Price]]-SalesData[[#This Row],[Unit_Cost]]</f>
        <v>-648.01000000000022</v>
      </c>
      <c r="Y224" s="2" t="str">
        <f>IF(SalesData[[#This Row],[Effective_Unit_Margin]]&lt;0,"Loss per Unit","Positive per Unit")</f>
        <v>Loss per Unit</v>
      </c>
    </row>
    <row r="225" spans="1:25" x14ac:dyDescent="0.3">
      <c r="A225">
        <v>1002</v>
      </c>
      <c r="B225" s="1">
        <v>45213</v>
      </c>
      <c r="C225" t="s">
        <v>23</v>
      </c>
      <c r="D225" t="s">
        <v>24</v>
      </c>
      <c r="E225">
        <v>39</v>
      </c>
      <c r="F225" t="s">
        <v>28</v>
      </c>
      <c r="G225">
        <v>1004.71</v>
      </c>
      <c r="H225">
        <v>1389.35</v>
      </c>
      <c r="I225" t="s">
        <v>29</v>
      </c>
      <c r="J225" s="2">
        <v>0.24</v>
      </c>
      <c r="K225" t="s">
        <v>26</v>
      </c>
      <c r="L225" t="s">
        <v>18</v>
      </c>
      <c r="M225" t="s">
        <v>27</v>
      </c>
      <c r="N225">
        <f>SalesData[[#This Row],[Quantity_Sold]]*SalesData[[#This Row],[Unit_Cost]]</f>
        <v>39183.69</v>
      </c>
      <c r="O225">
        <f>SalesData[[#This Row],[Quantity_Sold]]*SalesData[[#This Row],[Unit_Price]]</f>
        <v>54184.649999999994</v>
      </c>
      <c r="P225">
        <f>SalesData[[#This Row],[Gross_sales]]*(1-SalesData[[#This Row],[Discount]])</f>
        <v>41180.333999999995</v>
      </c>
      <c r="Q225" s="2">
        <f>SalesData[[#This Row],[Sales_amount]]-SalesData[[#This Row],[Total_Cost]]</f>
        <v>1996.643999999993</v>
      </c>
      <c r="R225" s="2">
        <f>SalesData[[#This Row],[Profit]]/SalesData[[#This Row],[Sales_amount]]</f>
        <v>4.8485376539199349E-2</v>
      </c>
      <c r="S225" s="2">
        <f>SalesData[[#This Row],[Unit_Price]]-SalesData[[#This Row],[Unit_Cost]]</f>
        <v>384.63999999999987</v>
      </c>
      <c r="T225" s="10">
        <f>SalesData[[#This Row],[Unit_Margin]]/SalesData[[#This Row],[Unit_Price]]</f>
        <v>0.27684888616979153</v>
      </c>
      <c r="U225" s="2" t="str">
        <f>IF(SalesData[[#This Row],[Unit_Margin]]&lt;0, "Negative margin", "Positive margin")</f>
        <v>Positive margin</v>
      </c>
      <c r="V225" s="2" t="str">
        <f>IF(SalesData[[#This Row],[Profit]]&lt;0, "Loss", "Profit")</f>
        <v>Profit</v>
      </c>
      <c r="W225" s="2">
        <f>SalesData[[#This Row],[Unit_Price]]*(1-SalesData[[#This Row],[Discount]])</f>
        <v>1055.9059999999999</v>
      </c>
      <c r="X225" s="2">
        <f>SalesData[[#This Row],[Effective_Unit_Price]]-SalesData[[#This Row],[Unit_Cost]]</f>
        <v>51.195999999999913</v>
      </c>
      <c r="Y225" s="2" t="str">
        <f>IF(SalesData[[#This Row],[Effective_Unit_Margin]]&lt;0,"Loss per Unit","Positive per Unit")</f>
        <v>Positive per Unit</v>
      </c>
    </row>
    <row r="226" spans="1:25" x14ac:dyDescent="0.3">
      <c r="A226">
        <v>1002</v>
      </c>
      <c r="B226" s="1">
        <v>44977</v>
      </c>
      <c r="C226" t="s">
        <v>32</v>
      </c>
      <c r="D226" t="s">
        <v>20</v>
      </c>
      <c r="E226">
        <v>26</v>
      </c>
      <c r="F226" t="s">
        <v>25</v>
      </c>
      <c r="G226">
        <v>508.94</v>
      </c>
      <c r="H226">
        <v>557.69000000000005</v>
      </c>
      <c r="I226" t="s">
        <v>29</v>
      </c>
      <c r="J226" s="2">
        <v>0.22</v>
      </c>
      <c r="K226" t="s">
        <v>30</v>
      </c>
      <c r="L226" t="s">
        <v>21</v>
      </c>
      <c r="M226" t="s">
        <v>36</v>
      </c>
      <c r="N226">
        <f>SalesData[[#This Row],[Quantity_Sold]]*SalesData[[#This Row],[Unit_Cost]]</f>
        <v>13232.44</v>
      </c>
      <c r="O226">
        <f>SalesData[[#This Row],[Quantity_Sold]]*SalesData[[#This Row],[Unit_Price]]</f>
        <v>14499.940000000002</v>
      </c>
      <c r="P226">
        <f>SalesData[[#This Row],[Gross_sales]]*(1-SalesData[[#This Row],[Discount]])</f>
        <v>11309.953200000002</v>
      </c>
      <c r="Q226" s="2">
        <f>SalesData[[#This Row],[Sales_amount]]-SalesData[[#This Row],[Total_Cost]]</f>
        <v>-1922.4867999999988</v>
      </c>
      <c r="R226" s="2">
        <f>SalesData[[#This Row],[Profit]]/SalesData[[#This Row],[Sales_amount]]</f>
        <v>-0.16998185279847122</v>
      </c>
      <c r="S226" s="2">
        <f>SalesData[[#This Row],[Unit_Price]]-SalesData[[#This Row],[Unit_Cost]]</f>
        <v>48.750000000000057</v>
      </c>
      <c r="T226" s="10">
        <f>SalesData[[#This Row],[Unit_Margin]]/SalesData[[#This Row],[Unit_Price]]</f>
        <v>8.7414154817192447E-2</v>
      </c>
      <c r="U226" s="2" t="str">
        <f>IF(SalesData[[#This Row],[Unit_Margin]]&lt;0, "Negative margin", "Positive margin")</f>
        <v>Positive margin</v>
      </c>
      <c r="V226" s="2" t="str">
        <f>IF(SalesData[[#This Row],[Profit]]&lt;0, "Loss", "Profit")</f>
        <v>Loss</v>
      </c>
      <c r="W226" s="2">
        <f>SalesData[[#This Row],[Unit_Price]]*(1-SalesData[[#This Row],[Discount]])</f>
        <v>434.99820000000005</v>
      </c>
      <c r="X226" s="2">
        <f>SalesData[[#This Row],[Effective_Unit_Price]]-SalesData[[#This Row],[Unit_Cost]]</f>
        <v>-73.941799999999944</v>
      </c>
      <c r="Y226" s="2" t="str">
        <f>IF(SalesData[[#This Row],[Effective_Unit_Margin]]&lt;0,"Loss per Unit","Positive per Unit")</f>
        <v>Loss per Unit</v>
      </c>
    </row>
    <row r="227" spans="1:25" x14ac:dyDescent="0.3">
      <c r="A227">
        <v>1092</v>
      </c>
      <c r="B227" s="1">
        <v>44955</v>
      </c>
      <c r="C227" t="s">
        <v>13</v>
      </c>
      <c r="D227" t="s">
        <v>24</v>
      </c>
      <c r="E227">
        <v>13</v>
      </c>
      <c r="F227" t="s">
        <v>28</v>
      </c>
      <c r="G227">
        <v>2684.5</v>
      </c>
      <c r="H227">
        <v>2913.78</v>
      </c>
      <c r="I227" t="s">
        <v>29</v>
      </c>
      <c r="J227" s="2">
        <v>0.08</v>
      </c>
      <c r="K227" t="s">
        <v>30</v>
      </c>
      <c r="L227" t="s">
        <v>21</v>
      </c>
      <c r="M227" t="s">
        <v>31</v>
      </c>
      <c r="N227">
        <f>SalesData[[#This Row],[Quantity_Sold]]*SalesData[[#This Row],[Unit_Cost]]</f>
        <v>34898.5</v>
      </c>
      <c r="O227">
        <f>SalesData[[#This Row],[Quantity_Sold]]*SalesData[[#This Row],[Unit_Price]]</f>
        <v>37879.14</v>
      </c>
      <c r="P227">
        <f>SalesData[[#This Row],[Gross_sales]]*(1-SalesData[[#This Row],[Discount]])</f>
        <v>34848.808799999999</v>
      </c>
      <c r="Q227" s="2">
        <f>SalesData[[#This Row],[Sales_amount]]-SalesData[[#This Row],[Total_Cost]]</f>
        <v>-49.691200000001118</v>
      </c>
      <c r="R227" s="2">
        <f>SalesData[[#This Row],[Profit]]/SalesData[[#This Row],[Sales_amount]]</f>
        <v>-1.4259081360623472E-3</v>
      </c>
      <c r="S227" s="2">
        <f>SalesData[[#This Row],[Unit_Price]]-SalesData[[#This Row],[Unit_Cost]]</f>
        <v>229.2800000000002</v>
      </c>
      <c r="T227" s="10">
        <f>SalesData[[#This Row],[Unit_Margin]]/SalesData[[#This Row],[Unit_Price]]</f>
        <v>7.8688164514822731E-2</v>
      </c>
      <c r="U227" s="2" t="str">
        <f>IF(SalesData[[#This Row],[Unit_Margin]]&lt;0, "Negative margin", "Positive margin")</f>
        <v>Positive margin</v>
      </c>
      <c r="V227" s="2" t="str">
        <f>IF(SalesData[[#This Row],[Profit]]&lt;0, "Loss", "Profit")</f>
        <v>Loss</v>
      </c>
      <c r="W227" s="2">
        <f>SalesData[[#This Row],[Unit_Price]]*(1-SalesData[[#This Row],[Discount]])</f>
        <v>2680.6776000000004</v>
      </c>
      <c r="X227" s="2">
        <f>SalesData[[#This Row],[Effective_Unit_Price]]-SalesData[[#This Row],[Unit_Cost]]</f>
        <v>-3.8223999999995613</v>
      </c>
      <c r="Y227" s="2" t="str">
        <f>IF(SalesData[[#This Row],[Effective_Unit_Margin]]&lt;0,"Loss per Unit","Positive per Unit")</f>
        <v>Loss per Unit</v>
      </c>
    </row>
    <row r="228" spans="1:25" x14ac:dyDescent="0.3">
      <c r="A228">
        <v>1054</v>
      </c>
      <c r="B228" s="1">
        <v>45222</v>
      </c>
      <c r="C228" t="s">
        <v>23</v>
      </c>
      <c r="D228" t="s">
        <v>33</v>
      </c>
      <c r="E228">
        <v>8</v>
      </c>
      <c r="F228" t="s">
        <v>25</v>
      </c>
      <c r="G228">
        <v>4117.13</v>
      </c>
      <c r="H228">
        <v>4177.0600000000004</v>
      </c>
      <c r="I228" t="s">
        <v>16</v>
      </c>
      <c r="J228" s="2">
        <v>0.25</v>
      </c>
      <c r="K228" t="s">
        <v>26</v>
      </c>
      <c r="L228" t="s">
        <v>21</v>
      </c>
      <c r="M228" t="s">
        <v>49</v>
      </c>
      <c r="N228">
        <f>SalesData[[#This Row],[Quantity_Sold]]*SalesData[[#This Row],[Unit_Cost]]</f>
        <v>32937.040000000001</v>
      </c>
      <c r="O228">
        <f>SalesData[[#This Row],[Quantity_Sold]]*SalesData[[#This Row],[Unit_Price]]</f>
        <v>33416.480000000003</v>
      </c>
      <c r="P228">
        <f>SalesData[[#This Row],[Gross_sales]]*(1-SalesData[[#This Row],[Discount]])</f>
        <v>25062.36</v>
      </c>
      <c r="Q228" s="2">
        <f>SalesData[[#This Row],[Sales_amount]]-SalesData[[#This Row],[Total_Cost]]</f>
        <v>-7874.68</v>
      </c>
      <c r="R228" s="2">
        <f>SalesData[[#This Row],[Profit]]/SalesData[[#This Row],[Sales_amount]]</f>
        <v>-0.31420345091204499</v>
      </c>
      <c r="S228" s="2">
        <f>SalesData[[#This Row],[Unit_Price]]-SalesData[[#This Row],[Unit_Cost]]</f>
        <v>59.930000000000291</v>
      </c>
      <c r="T228" s="10">
        <f>SalesData[[#This Row],[Unit_Margin]]/SalesData[[#This Row],[Unit_Price]]</f>
        <v>1.4347411815966321E-2</v>
      </c>
      <c r="U228" s="2" t="str">
        <f>IF(SalesData[[#This Row],[Unit_Margin]]&lt;0, "Negative margin", "Positive margin")</f>
        <v>Positive margin</v>
      </c>
      <c r="V228" s="2" t="str">
        <f>IF(SalesData[[#This Row],[Profit]]&lt;0, "Loss", "Profit")</f>
        <v>Loss</v>
      </c>
      <c r="W228" s="2">
        <f>SalesData[[#This Row],[Unit_Price]]*(1-SalesData[[#This Row],[Discount]])</f>
        <v>3132.7950000000001</v>
      </c>
      <c r="X228" s="2">
        <f>SalesData[[#This Row],[Effective_Unit_Price]]-SalesData[[#This Row],[Unit_Cost]]</f>
        <v>-984.33500000000004</v>
      </c>
      <c r="Y228" s="2" t="str">
        <f>IF(SalesData[[#This Row],[Effective_Unit_Margin]]&lt;0,"Loss per Unit","Positive per Unit")</f>
        <v>Loss per Unit</v>
      </c>
    </row>
    <row r="229" spans="1:25" x14ac:dyDescent="0.3">
      <c r="A229">
        <v>1087</v>
      </c>
      <c r="B229" s="1">
        <v>45223</v>
      </c>
      <c r="C229" t="s">
        <v>13</v>
      </c>
      <c r="D229" t="s">
        <v>33</v>
      </c>
      <c r="E229">
        <v>28</v>
      </c>
      <c r="F229" t="s">
        <v>28</v>
      </c>
      <c r="G229">
        <v>551.83000000000004</v>
      </c>
      <c r="H229">
        <v>569.63</v>
      </c>
      <c r="I229" t="s">
        <v>29</v>
      </c>
      <c r="J229" s="2">
        <v>0.13</v>
      </c>
      <c r="K229" t="s">
        <v>30</v>
      </c>
      <c r="L229" t="s">
        <v>21</v>
      </c>
      <c r="M229" t="s">
        <v>45</v>
      </c>
      <c r="N229">
        <f>SalesData[[#This Row],[Quantity_Sold]]*SalesData[[#This Row],[Unit_Cost]]</f>
        <v>15451.240000000002</v>
      </c>
      <c r="O229">
        <f>SalesData[[#This Row],[Quantity_Sold]]*SalesData[[#This Row],[Unit_Price]]</f>
        <v>15949.64</v>
      </c>
      <c r="P229">
        <f>SalesData[[#This Row],[Gross_sales]]*(1-SalesData[[#This Row],[Discount]])</f>
        <v>13876.186799999999</v>
      </c>
      <c r="Q229" s="2">
        <f>SalesData[[#This Row],[Sales_amount]]-SalesData[[#This Row],[Total_Cost]]</f>
        <v>-1575.0532000000021</v>
      </c>
      <c r="R229" s="2">
        <f>SalesData[[#This Row],[Profit]]/SalesData[[#This Row],[Sales_amount]]</f>
        <v>-0.11350763885651945</v>
      </c>
      <c r="S229" s="2">
        <f>SalesData[[#This Row],[Unit_Price]]-SalesData[[#This Row],[Unit_Cost]]</f>
        <v>17.799999999999955</v>
      </c>
      <c r="T229" s="10">
        <f>SalesData[[#This Row],[Unit_Margin]]/SalesData[[#This Row],[Unit_Price]]</f>
        <v>3.1248354194828142E-2</v>
      </c>
      <c r="U229" s="2" t="str">
        <f>IF(SalesData[[#This Row],[Unit_Margin]]&lt;0, "Negative margin", "Positive margin")</f>
        <v>Positive margin</v>
      </c>
      <c r="V229" s="2" t="str">
        <f>IF(SalesData[[#This Row],[Profit]]&lt;0, "Loss", "Profit")</f>
        <v>Loss</v>
      </c>
      <c r="W229" s="2">
        <f>SalesData[[#This Row],[Unit_Price]]*(1-SalesData[[#This Row],[Discount]])</f>
        <v>495.57810000000001</v>
      </c>
      <c r="X229" s="2">
        <f>SalesData[[#This Row],[Effective_Unit_Price]]-SalesData[[#This Row],[Unit_Cost]]</f>
        <v>-56.251900000000035</v>
      </c>
      <c r="Y229" s="2" t="str">
        <f>IF(SalesData[[#This Row],[Effective_Unit_Margin]]&lt;0,"Loss per Unit","Positive per Unit")</f>
        <v>Loss per Unit</v>
      </c>
    </row>
    <row r="230" spans="1:25" x14ac:dyDescent="0.3">
      <c r="A230">
        <v>1096</v>
      </c>
      <c r="B230" s="1">
        <v>45140</v>
      </c>
      <c r="C230" t="s">
        <v>13</v>
      </c>
      <c r="D230" t="s">
        <v>14</v>
      </c>
      <c r="E230">
        <v>30</v>
      </c>
      <c r="F230" t="s">
        <v>34</v>
      </c>
      <c r="G230">
        <v>3969.86</v>
      </c>
      <c r="H230">
        <v>4281.79</v>
      </c>
      <c r="I230" t="s">
        <v>16</v>
      </c>
      <c r="J230" s="2">
        <v>0.08</v>
      </c>
      <c r="K230" t="s">
        <v>26</v>
      </c>
      <c r="L230" t="s">
        <v>21</v>
      </c>
      <c r="M230" t="s">
        <v>19</v>
      </c>
      <c r="N230">
        <f>SalesData[[#This Row],[Quantity_Sold]]*SalesData[[#This Row],[Unit_Cost]]</f>
        <v>119095.8</v>
      </c>
      <c r="O230">
        <f>SalesData[[#This Row],[Quantity_Sold]]*SalesData[[#This Row],[Unit_Price]]</f>
        <v>128453.7</v>
      </c>
      <c r="P230">
        <f>SalesData[[#This Row],[Gross_sales]]*(1-SalesData[[#This Row],[Discount]])</f>
        <v>118177.40400000001</v>
      </c>
      <c r="Q230" s="2">
        <f>SalesData[[#This Row],[Sales_amount]]-SalesData[[#This Row],[Total_Cost]]</f>
        <v>-918.39599999999336</v>
      </c>
      <c r="R230" s="2">
        <f>SalesData[[#This Row],[Profit]]/SalesData[[#This Row],[Sales_amount]]</f>
        <v>-7.7713333422013003E-3</v>
      </c>
      <c r="S230" s="2">
        <f>SalesData[[#This Row],[Unit_Price]]-SalesData[[#This Row],[Unit_Cost]]</f>
        <v>311.92999999999984</v>
      </c>
      <c r="T230" s="10">
        <f>SalesData[[#This Row],[Unit_Margin]]/SalesData[[#This Row],[Unit_Price]]</f>
        <v>7.2850373325174717E-2</v>
      </c>
      <c r="U230" s="2" t="str">
        <f>IF(SalesData[[#This Row],[Unit_Margin]]&lt;0, "Negative margin", "Positive margin")</f>
        <v>Positive margin</v>
      </c>
      <c r="V230" s="2" t="str">
        <f>IF(SalesData[[#This Row],[Profit]]&lt;0, "Loss", "Profit")</f>
        <v>Loss</v>
      </c>
      <c r="W230" s="2">
        <f>SalesData[[#This Row],[Unit_Price]]*(1-SalesData[[#This Row],[Discount]])</f>
        <v>3939.2468000000003</v>
      </c>
      <c r="X230" s="2">
        <f>SalesData[[#This Row],[Effective_Unit_Price]]-SalesData[[#This Row],[Unit_Cost]]</f>
        <v>-30.613199999999779</v>
      </c>
      <c r="Y230" s="2" t="str">
        <f>IF(SalesData[[#This Row],[Effective_Unit_Margin]]&lt;0,"Loss per Unit","Positive per Unit")</f>
        <v>Loss per Unit</v>
      </c>
    </row>
    <row r="231" spans="1:25" x14ac:dyDescent="0.3">
      <c r="A231">
        <v>1097</v>
      </c>
      <c r="B231" s="1">
        <v>45193</v>
      </c>
      <c r="C231" t="s">
        <v>41</v>
      </c>
      <c r="D231" t="s">
        <v>33</v>
      </c>
      <c r="E231">
        <v>9</v>
      </c>
      <c r="F231" t="s">
        <v>25</v>
      </c>
      <c r="G231">
        <v>4067.28</v>
      </c>
      <c r="H231">
        <v>4548.09</v>
      </c>
      <c r="I231" t="s">
        <v>16</v>
      </c>
      <c r="J231" s="2">
        <v>0.12</v>
      </c>
      <c r="K231" t="s">
        <v>30</v>
      </c>
      <c r="L231" t="s">
        <v>21</v>
      </c>
      <c r="M231" t="s">
        <v>51</v>
      </c>
      <c r="N231">
        <f>SalesData[[#This Row],[Quantity_Sold]]*SalesData[[#This Row],[Unit_Cost]]</f>
        <v>36605.520000000004</v>
      </c>
      <c r="O231">
        <f>SalesData[[#This Row],[Quantity_Sold]]*SalesData[[#This Row],[Unit_Price]]</f>
        <v>40932.81</v>
      </c>
      <c r="P231">
        <f>SalesData[[#This Row],[Gross_sales]]*(1-SalesData[[#This Row],[Discount]])</f>
        <v>36020.872799999997</v>
      </c>
      <c r="Q231" s="2">
        <f>SalesData[[#This Row],[Sales_amount]]-SalesData[[#This Row],[Total_Cost]]</f>
        <v>-584.64720000000671</v>
      </c>
      <c r="R231" s="2">
        <f>SalesData[[#This Row],[Profit]]/SalesData[[#This Row],[Sales_amount]]</f>
        <v>-1.6230789388312843E-2</v>
      </c>
      <c r="S231" s="2">
        <f>SalesData[[#This Row],[Unit_Price]]-SalesData[[#This Row],[Unit_Cost]]</f>
        <v>480.80999999999995</v>
      </c>
      <c r="T231" s="10">
        <f>SalesData[[#This Row],[Unit_Margin]]/SalesData[[#This Row],[Unit_Price]]</f>
        <v>0.10571690533828484</v>
      </c>
      <c r="U231" s="2" t="str">
        <f>IF(SalesData[[#This Row],[Unit_Margin]]&lt;0, "Negative margin", "Positive margin")</f>
        <v>Positive margin</v>
      </c>
      <c r="V231" s="2" t="str">
        <f>IF(SalesData[[#This Row],[Profit]]&lt;0, "Loss", "Profit")</f>
        <v>Loss</v>
      </c>
      <c r="W231" s="2">
        <f>SalesData[[#This Row],[Unit_Price]]*(1-SalesData[[#This Row],[Discount]])</f>
        <v>4002.3192000000004</v>
      </c>
      <c r="X231" s="2">
        <f>SalesData[[#This Row],[Effective_Unit_Price]]-SalesData[[#This Row],[Unit_Cost]]</f>
        <v>-64.960799999999836</v>
      </c>
      <c r="Y231" s="2" t="str">
        <f>IF(SalesData[[#This Row],[Effective_Unit_Margin]]&lt;0,"Loss per Unit","Positive per Unit")</f>
        <v>Loss per Unit</v>
      </c>
    </row>
    <row r="232" spans="1:25" x14ac:dyDescent="0.3">
      <c r="A232">
        <v>1001</v>
      </c>
      <c r="B232" s="1">
        <v>45183</v>
      </c>
      <c r="C232" t="s">
        <v>37</v>
      </c>
      <c r="D232" t="s">
        <v>24</v>
      </c>
      <c r="E232">
        <v>39</v>
      </c>
      <c r="F232" t="s">
        <v>25</v>
      </c>
      <c r="G232">
        <v>2437.2600000000002</v>
      </c>
      <c r="H232">
        <v>2889.67</v>
      </c>
      <c r="I232" t="s">
        <v>16</v>
      </c>
      <c r="J232" s="2">
        <v>0.25</v>
      </c>
      <c r="K232" t="s">
        <v>17</v>
      </c>
      <c r="L232" t="s">
        <v>18</v>
      </c>
      <c r="M232" t="s">
        <v>38</v>
      </c>
      <c r="N232">
        <f>SalesData[[#This Row],[Quantity_Sold]]*SalesData[[#This Row],[Unit_Cost]]</f>
        <v>95053.140000000014</v>
      </c>
      <c r="O232">
        <f>SalesData[[#This Row],[Quantity_Sold]]*SalesData[[#This Row],[Unit_Price]]</f>
        <v>112697.13</v>
      </c>
      <c r="P232">
        <f>SalesData[[#This Row],[Gross_sales]]*(1-SalesData[[#This Row],[Discount]])</f>
        <v>84522.847500000003</v>
      </c>
      <c r="Q232" s="2">
        <f>SalesData[[#This Row],[Sales_amount]]-SalesData[[#This Row],[Total_Cost]]</f>
        <v>-10530.29250000001</v>
      </c>
      <c r="R232" s="2">
        <f>SalesData[[#This Row],[Profit]]/SalesData[[#This Row],[Sales_amount]]</f>
        <v>-0.12458516024321128</v>
      </c>
      <c r="S232" s="2">
        <f>SalesData[[#This Row],[Unit_Price]]-SalesData[[#This Row],[Unit_Cost]]</f>
        <v>452.40999999999985</v>
      </c>
      <c r="T232" s="10">
        <f>SalesData[[#This Row],[Unit_Margin]]/SalesData[[#This Row],[Unit_Price]]</f>
        <v>0.15656112981759157</v>
      </c>
      <c r="U232" s="2" t="str">
        <f>IF(SalesData[[#This Row],[Unit_Margin]]&lt;0, "Negative margin", "Positive margin")</f>
        <v>Positive margin</v>
      </c>
      <c r="V232" s="2" t="str">
        <f>IF(SalesData[[#This Row],[Profit]]&lt;0, "Loss", "Profit")</f>
        <v>Loss</v>
      </c>
      <c r="W232" s="2">
        <f>SalesData[[#This Row],[Unit_Price]]*(1-SalesData[[#This Row],[Discount]])</f>
        <v>2167.2525000000001</v>
      </c>
      <c r="X232" s="2">
        <f>SalesData[[#This Row],[Effective_Unit_Price]]-SalesData[[#This Row],[Unit_Cost]]</f>
        <v>-270.00750000000016</v>
      </c>
      <c r="Y232" s="2" t="str">
        <f>IF(SalesData[[#This Row],[Effective_Unit_Margin]]&lt;0,"Loss per Unit","Positive per Unit")</f>
        <v>Loss per Unit</v>
      </c>
    </row>
    <row r="233" spans="1:25" x14ac:dyDescent="0.3">
      <c r="A233">
        <v>1019</v>
      </c>
      <c r="B233" s="1">
        <v>45228</v>
      </c>
      <c r="C233" t="s">
        <v>23</v>
      </c>
      <c r="D233" t="s">
        <v>20</v>
      </c>
      <c r="E233">
        <v>31</v>
      </c>
      <c r="F233" t="s">
        <v>25</v>
      </c>
      <c r="G233">
        <v>333.69</v>
      </c>
      <c r="H233">
        <v>685.1</v>
      </c>
      <c r="I233" t="s">
        <v>29</v>
      </c>
      <c r="J233" s="2">
        <v>0.04</v>
      </c>
      <c r="K233" t="s">
        <v>26</v>
      </c>
      <c r="L233" t="s">
        <v>18</v>
      </c>
      <c r="M233" t="s">
        <v>46</v>
      </c>
      <c r="N233">
        <f>SalesData[[#This Row],[Quantity_Sold]]*SalesData[[#This Row],[Unit_Cost]]</f>
        <v>10344.39</v>
      </c>
      <c r="O233">
        <f>SalesData[[#This Row],[Quantity_Sold]]*SalesData[[#This Row],[Unit_Price]]</f>
        <v>21238.100000000002</v>
      </c>
      <c r="P233">
        <f>SalesData[[#This Row],[Gross_sales]]*(1-SalesData[[#This Row],[Discount]])</f>
        <v>20388.576000000001</v>
      </c>
      <c r="Q233" s="2">
        <f>SalesData[[#This Row],[Sales_amount]]-SalesData[[#This Row],[Total_Cost]]</f>
        <v>10044.186000000002</v>
      </c>
      <c r="R233" s="2">
        <f>SalesData[[#This Row],[Profit]]/SalesData[[#This Row],[Sales_amount]]</f>
        <v>0.49263793606772738</v>
      </c>
      <c r="S233" s="2">
        <f>SalesData[[#This Row],[Unit_Price]]-SalesData[[#This Row],[Unit_Cost]]</f>
        <v>351.41</v>
      </c>
      <c r="T233" s="10">
        <f>SalesData[[#This Row],[Unit_Margin]]/SalesData[[#This Row],[Unit_Price]]</f>
        <v>0.51293241862501826</v>
      </c>
      <c r="U233" s="2" t="str">
        <f>IF(SalesData[[#This Row],[Unit_Margin]]&lt;0, "Negative margin", "Positive margin")</f>
        <v>Positive margin</v>
      </c>
      <c r="V233" s="2" t="str">
        <f>IF(SalesData[[#This Row],[Profit]]&lt;0, "Loss", "Profit")</f>
        <v>Profit</v>
      </c>
      <c r="W233" s="2">
        <f>SalesData[[#This Row],[Unit_Price]]*(1-SalesData[[#This Row],[Discount]])</f>
        <v>657.69600000000003</v>
      </c>
      <c r="X233" s="2">
        <f>SalesData[[#This Row],[Effective_Unit_Price]]-SalesData[[#This Row],[Unit_Cost]]</f>
        <v>324.00600000000003</v>
      </c>
      <c r="Y233" s="2" t="str">
        <f>IF(SalesData[[#This Row],[Effective_Unit_Margin]]&lt;0,"Loss per Unit","Positive per Unit")</f>
        <v>Positive per Unit</v>
      </c>
    </row>
    <row r="234" spans="1:25" x14ac:dyDescent="0.3">
      <c r="A234">
        <v>1002</v>
      </c>
      <c r="B234" s="1">
        <v>45027</v>
      </c>
      <c r="C234" t="s">
        <v>13</v>
      </c>
      <c r="D234" t="s">
        <v>14</v>
      </c>
      <c r="E234">
        <v>21</v>
      </c>
      <c r="F234" t="s">
        <v>25</v>
      </c>
      <c r="G234">
        <v>914.22</v>
      </c>
      <c r="H234">
        <v>971.57</v>
      </c>
      <c r="I234" t="s">
        <v>16</v>
      </c>
      <c r="J234" s="2">
        <v>0.14000000000000001</v>
      </c>
      <c r="K234" t="s">
        <v>17</v>
      </c>
      <c r="L234" t="s">
        <v>18</v>
      </c>
      <c r="M234" t="s">
        <v>19</v>
      </c>
      <c r="N234">
        <f>SalesData[[#This Row],[Quantity_Sold]]*SalesData[[#This Row],[Unit_Cost]]</f>
        <v>19198.62</v>
      </c>
      <c r="O234">
        <f>SalesData[[#This Row],[Quantity_Sold]]*SalesData[[#This Row],[Unit_Price]]</f>
        <v>20402.97</v>
      </c>
      <c r="P234">
        <f>SalesData[[#This Row],[Gross_sales]]*(1-SalesData[[#This Row],[Discount]])</f>
        <v>17546.554200000002</v>
      </c>
      <c r="Q234" s="2">
        <f>SalesData[[#This Row],[Sales_amount]]-SalesData[[#This Row],[Total_Cost]]</f>
        <v>-1652.0657999999967</v>
      </c>
      <c r="R234" s="2">
        <f>SalesData[[#This Row],[Profit]]/SalesData[[#This Row],[Sales_amount]]</f>
        <v>-9.4153289652734007E-2</v>
      </c>
      <c r="S234" s="2">
        <f>SalesData[[#This Row],[Unit_Price]]-SalesData[[#This Row],[Unit_Cost]]</f>
        <v>57.350000000000023</v>
      </c>
      <c r="T234" s="10">
        <f>SalesData[[#This Row],[Unit_Margin]]/SalesData[[#This Row],[Unit_Price]]</f>
        <v>5.9028170898648598E-2</v>
      </c>
      <c r="U234" s="2" t="str">
        <f>IF(SalesData[[#This Row],[Unit_Margin]]&lt;0, "Negative margin", "Positive margin")</f>
        <v>Positive margin</v>
      </c>
      <c r="V234" s="2" t="str">
        <f>IF(SalesData[[#This Row],[Profit]]&lt;0, "Loss", "Profit")</f>
        <v>Loss</v>
      </c>
      <c r="W234" s="2">
        <f>SalesData[[#This Row],[Unit_Price]]*(1-SalesData[[#This Row],[Discount]])</f>
        <v>835.55020000000002</v>
      </c>
      <c r="X234" s="2">
        <f>SalesData[[#This Row],[Effective_Unit_Price]]-SalesData[[#This Row],[Unit_Cost]]</f>
        <v>-78.669800000000009</v>
      </c>
      <c r="Y234" s="2" t="str">
        <f>IF(SalesData[[#This Row],[Effective_Unit_Margin]]&lt;0,"Loss per Unit","Positive per Unit")</f>
        <v>Loss per Unit</v>
      </c>
    </row>
    <row r="235" spans="1:25" x14ac:dyDescent="0.3">
      <c r="A235">
        <v>1053</v>
      </c>
      <c r="B235" s="1">
        <v>45272</v>
      </c>
      <c r="C235" t="s">
        <v>41</v>
      </c>
      <c r="D235" t="s">
        <v>24</v>
      </c>
      <c r="E235">
        <v>47</v>
      </c>
      <c r="F235" t="s">
        <v>34</v>
      </c>
      <c r="G235">
        <v>3551.76</v>
      </c>
      <c r="H235">
        <v>3696.1</v>
      </c>
      <c r="I235" t="s">
        <v>16</v>
      </c>
      <c r="J235" s="2">
        <v>0.15</v>
      </c>
      <c r="K235" t="s">
        <v>26</v>
      </c>
      <c r="L235" t="s">
        <v>21</v>
      </c>
      <c r="M235" t="s">
        <v>42</v>
      </c>
      <c r="N235">
        <f>SalesData[[#This Row],[Quantity_Sold]]*SalesData[[#This Row],[Unit_Cost]]</f>
        <v>166932.72</v>
      </c>
      <c r="O235">
        <f>SalesData[[#This Row],[Quantity_Sold]]*SalesData[[#This Row],[Unit_Price]]</f>
        <v>173716.69999999998</v>
      </c>
      <c r="P235">
        <f>SalesData[[#This Row],[Gross_sales]]*(1-SalesData[[#This Row],[Discount]])</f>
        <v>147659.19499999998</v>
      </c>
      <c r="Q235" s="2">
        <f>SalesData[[#This Row],[Sales_amount]]-SalesData[[#This Row],[Total_Cost]]</f>
        <v>-19273.525000000023</v>
      </c>
      <c r="R235" s="2">
        <f>SalesData[[#This Row],[Profit]]/SalesData[[#This Row],[Sales_amount]]</f>
        <v>-0.13052708976234109</v>
      </c>
      <c r="S235" s="2">
        <f>SalesData[[#This Row],[Unit_Price]]-SalesData[[#This Row],[Unit_Cost]]</f>
        <v>144.33999999999969</v>
      </c>
      <c r="T235" s="10">
        <f>SalesData[[#This Row],[Unit_Margin]]/SalesData[[#This Row],[Unit_Price]]</f>
        <v>3.9051973702010141E-2</v>
      </c>
      <c r="U235" s="2" t="str">
        <f>IF(SalesData[[#This Row],[Unit_Margin]]&lt;0, "Negative margin", "Positive margin")</f>
        <v>Positive margin</v>
      </c>
      <c r="V235" s="2" t="str">
        <f>IF(SalesData[[#This Row],[Profit]]&lt;0, "Loss", "Profit")</f>
        <v>Loss</v>
      </c>
      <c r="W235" s="2">
        <f>SalesData[[#This Row],[Unit_Price]]*(1-SalesData[[#This Row],[Discount]])</f>
        <v>3141.6849999999999</v>
      </c>
      <c r="X235" s="2">
        <f>SalesData[[#This Row],[Effective_Unit_Price]]-SalesData[[#This Row],[Unit_Cost]]</f>
        <v>-410.07500000000027</v>
      </c>
      <c r="Y235" s="2" t="str">
        <f>IF(SalesData[[#This Row],[Effective_Unit_Margin]]&lt;0,"Loss per Unit","Positive per Unit")</f>
        <v>Loss per Unit</v>
      </c>
    </row>
    <row r="236" spans="1:25" x14ac:dyDescent="0.3">
      <c r="A236">
        <v>1044</v>
      </c>
      <c r="B236" s="1">
        <v>45036</v>
      </c>
      <c r="C236" t="s">
        <v>32</v>
      </c>
      <c r="D236" t="s">
        <v>20</v>
      </c>
      <c r="E236">
        <v>34</v>
      </c>
      <c r="F236" t="s">
        <v>25</v>
      </c>
      <c r="G236">
        <v>3573.3</v>
      </c>
      <c r="H236">
        <v>3740.13</v>
      </c>
      <c r="I236" t="s">
        <v>16</v>
      </c>
      <c r="J236" s="2">
        <v>0.01</v>
      </c>
      <c r="K236" t="s">
        <v>30</v>
      </c>
      <c r="L236" t="s">
        <v>18</v>
      </c>
      <c r="M236" t="s">
        <v>36</v>
      </c>
      <c r="N236">
        <f>SalesData[[#This Row],[Quantity_Sold]]*SalesData[[#This Row],[Unit_Cost]]</f>
        <v>121492.20000000001</v>
      </c>
      <c r="O236">
        <f>SalesData[[#This Row],[Quantity_Sold]]*SalesData[[#This Row],[Unit_Price]]</f>
        <v>127164.42</v>
      </c>
      <c r="P236">
        <f>SalesData[[#This Row],[Gross_sales]]*(1-SalesData[[#This Row],[Discount]])</f>
        <v>125892.7758</v>
      </c>
      <c r="Q236" s="2">
        <f>SalesData[[#This Row],[Sales_amount]]-SalesData[[#This Row],[Total_Cost]]</f>
        <v>4400.5757999999914</v>
      </c>
      <c r="R236" s="2">
        <f>SalesData[[#This Row],[Profit]]/SalesData[[#This Row],[Sales_amount]]</f>
        <v>3.4954950925786092E-2</v>
      </c>
      <c r="S236" s="2">
        <f>SalesData[[#This Row],[Unit_Price]]-SalesData[[#This Row],[Unit_Cost]]</f>
        <v>166.82999999999993</v>
      </c>
      <c r="T236" s="10">
        <f>SalesData[[#This Row],[Unit_Margin]]/SalesData[[#This Row],[Unit_Price]]</f>
        <v>4.460540141652828E-2</v>
      </c>
      <c r="U236" s="2" t="str">
        <f>IF(SalesData[[#This Row],[Unit_Margin]]&lt;0, "Negative margin", "Positive margin")</f>
        <v>Positive margin</v>
      </c>
      <c r="V236" s="2" t="str">
        <f>IF(SalesData[[#This Row],[Profit]]&lt;0, "Loss", "Profit")</f>
        <v>Profit</v>
      </c>
      <c r="W236" s="2">
        <f>SalesData[[#This Row],[Unit_Price]]*(1-SalesData[[#This Row],[Discount]])</f>
        <v>3702.7287000000001</v>
      </c>
      <c r="X236" s="2">
        <f>SalesData[[#This Row],[Effective_Unit_Price]]-SalesData[[#This Row],[Unit_Cost]]</f>
        <v>129.42869999999994</v>
      </c>
      <c r="Y236" s="2" t="str">
        <f>IF(SalesData[[#This Row],[Effective_Unit_Margin]]&lt;0,"Loss per Unit","Positive per Unit")</f>
        <v>Positive per Unit</v>
      </c>
    </row>
    <row r="237" spans="1:25" x14ac:dyDescent="0.3">
      <c r="A237">
        <v>1090</v>
      </c>
      <c r="B237" s="1">
        <v>45108</v>
      </c>
      <c r="C237" t="s">
        <v>23</v>
      </c>
      <c r="D237" t="s">
        <v>14</v>
      </c>
      <c r="E237">
        <v>31</v>
      </c>
      <c r="F237" t="s">
        <v>15</v>
      </c>
      <c r="G237">
        <v>4496.8599999999997</v>
      </c>
      <c r="H237">
        <v>4880.7999999999902</v>
      </c>
      <c r="I237" t="s">
        <v>29</v>
      </c>
      <c r="J237" s="2">
        <v>0.06</v>
      </c>
      <c r="K237" t="s">
        <v>17</v>
      </c>
      <c r="L237" t="s">
        <v>21</v>
      </c>
      <c r="M237" t="s">
        <v>44</v>
      </c>
      <c r="N237">
        <f>SalesData[[#This Row],[Quantity_Sold]]*SalesData[[#This Row],[Unit_Cost]]</f>
        <v>139402.66</v>
      </c>
      <c r="O237">
        <f>SalesData[[#This Row],[Quantity_Sold]]*SalesData[[#This Row],[Unit_Price]]</f>
        <v>151304.7999999997</v>
      </c>
      <c r="P237">
        <f>SalesData[[#This Row],[Gross_sales]]*(1-SalesData[[#This Row],[Discount]])</f>
        <v>142226.5119999997</v>
      </c>
      <c r="Q237" s="2">
        <f>SalesData[[#This Row],[Sales_amount]]-SalesData[[#This Row],[Total_Cost]]</f>
        <v>2823.8519999996934</v>
      </c>
      <c r="R237" s="2">
        <f>SalesData[[#This Row],[Profit]]/SalesData[[#This Row],[Sales_amount]]</f>
        <v>1.985461051030837E-2</v>
      </c>
      <c r="S237" s="2">
        <f>SalesData[[#This Row],[Unit_Price]]-SalesData[[#This Row],[Unit_Cost]]</f>
        <v>383.9399999999905</v>
      </c>
      <c r="T237" s="10">
        <f>SalesData[[#This Row],[Unit_Margin]]/SalesData[[#This Row],[Unit_Price]]</f>
        <v>7.8663333879690073E-2</v>
      </c>
      <c r="U237" s="2" t="str">
        <f>IF(SalesData[[#This Row],[Unit_Margin]]&lt;0, "Negative margin", "Positive margin")</f>
        <v>Positive margin</v>
      </c>
      <c r="V237" s="2" t="str">
        <f>IF(SalesData[[#This Row],[Profit]]&lt;0, "Loss", "Profit")</f>
        <v>Profit</v>
      </c>
      <c r="W237" s="2">
        <f>SalesData[[#This Row],[Unit_Price]]*(1-SalesData[[#This Row],[Discount]])</f>
        <v>4587.9519999999902</v>
      </c>
      <c r="X237" s="2">
        <f>SalesData[[#This Row],[Effective_Unit_Price]]-SalesData[[#This Row],[Unit_Cost]]</f>
        <v>91.091999999990549</v>
      </c>
      <c r="Y237" s="2" t="str">
        <f>IF(SalesData[[#This Row],[Effective_Unit_Margin]]&lt;0,"Loss per Unit","Positive per Unit")</f>
        <v>Positive per Unit</v>
      </c>
    </row>
    <row r="238" spans="1:25" x14ac:dyDescent="0.3">
      <c r="A238">
        <v>1032</v>
      </c>
      <c r="B238" s="1">
        <v>45239</v>
      </c>
      <c r="C238" t="s">
        <v>13</v>
      </c>
      <c r="D238" t="s">
        <v>33</v>
      </c>
      <c r="E238">
        <v>25</v>
      </c>
      <c r="F238" t="s">
        <v>34</v>
      </c>
      <c r="G238">
        <v>2934.3</v>
      </c>
      <c r="H238">
        <v>3337.4</v>
      </c>
      <c r="I238" t="s">
        <v>16</v>
      </c>
      <c r="J238" s="2">
        <v>0.25</v>
      </c>
      <c r="K238" t="s">
        <v>30</v>
      </c>
      <c r="L238" t="s">
        <v>21</v>
      </c>
      <c r="M238" t="s">
        <v>45</v>
      </c>
      <c r="N238">
        <f>SalesData[[#This Row],[Quantity_Sold]]*SalesData[[#This Row],[Unit_Cost]]</f>
        <v>73357.5</v>
      </c>
      <c r="O238">
        <f>SalesData[[#This Row],[Quantity_Sold]]*SalesData[[#This Row],[Unit_Price]]</f>
        <v>83435</v>
      </c>
      <c r="P238">
        <f>SalesData[[#This Row],[Gross_sales]]*(1-SalesData[[#This Row],[Discount]])</f>
        <v>62576.25</v>
      </c>
      <c r="Q238" s="2">
        <f>SalesData[[#This Row],[Sales_amount]]-SalesData[[#This Row],[Total_Cost]]</f>
        <v>-10781.25</v>
      </c>
      <c r="R238" s="2">
        <f>SalesData[[#This Row],[Profit]]/SalesData[[#This Row],[Sales_amount]]</f>
        <v>-0.17228980643614791</v>
      </c>
      <c r="S238" s="2">
        <f>SalesData[[#This Row],[Unit_Price]]-SalesData[[#This Row],[Unit_Cost]]</f>
        <v>403.09999999999991</v>
      </c>
      <c r="T238" s="10">
        <f>SalesData[[#This Row],[Unit_Margin]]/SalesData[[#This Row],[Unit_Price]]</f>
        <v>0.12078264517288904</v>
      </c>
      <c r="U238" s="2" t="str">
        <f>IF(SalesData[[#This Row],[Unit_Margin]]&lt;0, "Negative margin", "Positive margin")</f>
        <v>Positive margin</v>
      </c>
      <c r="V238" s="2" t="str">
        <f>IF(SalesData[[#This Row],[Profit]]&lt;0, "Loss", "Profit")</f>
        <v>Loss</v>
      </c>
      <c r="W238" s="2">
        <f>SalesData[[#This Row],[Unit_Price]]*(1-SalesData[[#This Row],[Discount]])</f>
        <v>2503.0500000000002</v>
      </c>
      <c r="X238" s="2">
        <f>SalesData[[#This Row],[Effective_Unit_Price]]-SalesData[[#This Row],[Unit_Cost]]</f>
        <v>-431.25</v>
      </c>
      <c r="Y238" s="2" t="str">
        <f>IF(SalesData[[#This Row],[Effective_Unit_Margin]]&lt;0,"Loss per Unit","Positive per Unit")</f>
        <v>Loss per Unit</v>
      </c>
    </row>
    <row r="239" spans="1:25" x14ac:dyDescent="0.3">
      <c r="A239">
        <v>1070</v>
      </c>
      <c r="B239" s="1">
        <v>44927</v>
      </c>
      <c r="C239" t="s">
        <v>37</v>
      </c>
      <c r="D239" t="s">
        <v>24</v>
      </c>
      <c r="E239">
        <v>12</v>
      </c>
      <c r="F239" t="s">
        <v>15</v>
      </c>
      <c r="G239">
        <v>664.33</v>
      </c>
      <c r="H239">
        <v>863.03</v>
      </c>
      <c r="I239" t="s">
        <v>16</v>
      </c>
      <c r="J239" s="2">
        <v>0.25</v>
      </c>
      <c r="K239" t="s">
        <v>26</v>
      </c>
      <c r="L239" t="s">
        <v>21</v>
      </c>
      <c r="M239" t="s">
        <v>38</v>
      </c>
      <c r="N239">
        <f>SalesData[[#This Row],[Quantity_Sold]]*SalesData[[#This Row],[Unit_Cost]]</f>
        <v>7971.9600000000009</v>
      </c>
      <c r="O239">
        <f>SalesData[[#This Row],[Quantity_Sold]]*SalesData[[#This Row],[Unit_Price]]</f>
        <v>10356.36</v>
      </c>
      <c r="P239">
        <f>SalesData[[#This Row],[Gross_sales]]*(1-SalesData[[#This Row],[Discount]])</f>
        <v>7767.27</v>
      </c>
      <c r="Q239" s="2">
        <f>SalesData[[#This Row],[Sales_amount]]-SalesData[[#This Row],[Total_Cost]]</f>
        <v>-204.69000000000051</v>
      </c>
      <c r="R239" s="2">
        <f>SalesData[[#This Row],[Profit]]/SalesData[[#This Row],[Sales_amount]]</f>
        <v>-2.6352888466604159E-2</v>
      </c>
      <c r="S239" s="2">
        <f>SalesData[[#This Row],[Unit_Price]]-SalesData[[#This Row],[Unit_Cost]]</f>
        <v>198.69999999999993</v>
      </c>
      <c r="T239" s="10">
        <f>SalesData[[#This Row],[Unit_Margin]]/SalesData[[#This Row],[Unit_Price]]</f>
        <v>0.23023533365004686</v>
      </c>
      <c r="U239" s="2" t="str">
        <f>IF(SalesData[[#This Row],[Unit_Margin]]&lt;0, "Negative margin", "Positive margin")</f>
        <v>Positive margin</v>
      </c>
      <c r="V239" s="2" t="str">
        <f>IF(SalesData[[#This Row],[Profit]]&lt;0, "Loss", "Profit")</f>
        <v>Loss</v>
      </c>
      <c r="W239" s="2">
        <f>SalesData[[#This Row],[Unit_Price]]*(1-SalesData[[#This Row],[Discount]])</f>
        <v>647.27250000000004</v>
      </c>
      <c r="X239" s="2">
        <f>SalesData[[#This Row],[Effective_Unit_Price]]-SalesData[[#This Row],[Unit_Cost]]</f>
        <v>-17.057500000000005</v>
      </c>
      <c r="Y239" s="2" t="str">
        <f>IF(SalesData[[#This Row],[Effective_Unit_Margin]]&lt;0,"Loss per Unit","Positive per Unit")</f>
        <v>Loss per Unit</v>
      </c>
    </row>
    <row r="240" spans="1:25" x14ac:dyDescent="0.3">
      <c r="A240">
        <v>1032</v>
      </c>
      <c r="B240" s="1">
        <v>45245</v>
      </c>
      <c r="C240" t="s">
        <v>41</v>
      </c>
      <c r="D240" t="s">
        <v>20</v>
      </c>
      <c r="E240">
        <v>1</v>
      </c>
      <c r="F240" t="s">
        <v>25</v>
      </c>
      <c r="G240">
        <v>651</v>
      </c>
      <c r="H240">
        <v>865.76</v>
      </c>
      <c r="I240" t="s">
        <v>16</v>
      </c>
      <c r="J240" s="2">
        <v>0.09</v>
      </c>
      <c r="K240" t="s">
        <v>26</v>
      </c>
      <c r="L240" t="s">
        <v>21</v>
      </c>
      <c r="M240" t="s">
        <v>50</v>
      </c>
      <c r="N240">
        <f>SalesData[[#This Row],[Quantity_Sold]]*SalesData[[#This Row],[Unit_Cost]]</f>
        <v>651</v>
      </c>
      <c r="O240">
        <f>SalesData[[#This Row],[Quantity_Sold]]*SalesData[[#This Row],[Unit_Price]]</f>
        <v>865.76</v>
      </c>
      <c r="P240">
        <f>SalesData[[#This Row],[Gross_sales]]*(1-SalesData[[#This Row],[Discount]])</f>
        <v>787.84159999999997</v>
      </c>
      <c r="Q240" s="2">
        <f>SalesData[[#This Row],[Sales_amount]]-SalesData[[#This Row],[Total_Cost]]</f>
        <v>136.84159999999997</v>
      </c>
      <c r="R240" s="2">
        <f>SalesData[[#This Row],[Profit]]/SalesData[[#This Row],[Sales_amount]]</f>
        <v>0.17369176748219436</v>
      </c>
      <c r="S240" s="2">
        <f>SalesData[[#This Row],[Unit_Price]]-SalesData[[#This Row],[Unit_Cost]]</f>
        <v>214.76</v>
      </c>
      <c r="T240" s="10">
        <f>SalesData[[#This Row],[Unit_Margin]]/SalesData[[#This Row],[Unit_Price]]</f>
        <v>0.2480595084087969</v>
      </c>
      <c r="U240" s="2" t="str">
        <f>IF(SalesData[[#This Row],[Unit_Margin]]&lt;0, "Negative margin", "Positive margin")</f>
        <v>Positive margin</v>
      </c>
      <c r="V240" s="2" t="str">
        <f>IF(SalesData[[#This Row],[Profit]]&lt;0, "Loss", "Profit")</f>
        <v>Profit</v>
      </c>
      <c r="W240" s="2">
        <f>SalesData[[#This Row],[Unit_Price]]*(1-SalesData[[#This Row],[Discount]])</f>
        <v>787.84159999999997</v>
      </c>
      <c r="X240" s="2">
        <f>SalesData[[#This Row],[Effective_Unit_Price]]-SalesData[[#This Row],[Unit_Cost]]</f>
        <v>136.84159999999997</v>
      </c>
      <c r="Y240" s="2" t="str">
        <f>IF(SalesData[[#This Row],[Effective_Unit_Margin]]&lt;0,"Loss per Unit","Positive per Unit")</f>
        <v>Positive per Unit</v>
      </c>
    </row>
    <row r="241" spans="1:25" x14ac:dyDescent="0.3">
      <c r="A241">
        <v>1068</v>
      </c>
      <c r="B241" s="1">
        <v>44981</v>
      </c>
      <c r="C241" t="s">
        <v>13</v>
      </c>
      <c r="D241" t="s">
        <v>14</v>
      </c>
      <c r="E241">
        <v>22</v>
      </c>
      <c r="F241" t="s">
        <v>28</v>
      </c>
      <c r="G241">
        <v>3619.61</v>
      </c>
      <c r="H241">
        <v>3651.42</v>
      </c>
      <c r="I241" t="s">
        <v>16</v>
      </c>
      <c r="J241" s="2">
        <v>0.26</v>
      </c>
      <c r="K241" t="s">
        <v>26</v>
      </c>
      <c r="L241" t="s">
        <v>18</v>
      </c>
      <c r="M241" t="s">
        <v>19</v>
      </c>
      <c r="N241">
        <f>SalesData[[#This Row],[Quantity_Sold]]*SalesData[[#This Row],[Unit_Cost]]</f>
        <v>79631.42</v>
      </c>
      <c r="O241">
        <f>SalesData[[#This Row],[Quantity_Sold]]*SalesData[[#This Row],[Unit_Price]]</f>
        <v>80331.240000000005</v>
      </c>
      <c r="P241">
        <f>SalesData[[#This Row],[Gross_sales]]*(1-SalesData[[#This Row],[Discount]])</f>
        <v>59445.117600000005</v>
      </c>
      <c r="Q241" s="2">
        <f>SalesData[[#This Row],[Sales_amount]]-SalesData[[#This Row],[Total_Cost]]</f>
        <v>-20186.302399999993</v>
      </c>
      <c r="R241" s="2">
        <f>SalesData[[#This Row],[Profit]]/SalesData[[#This Row],[Sales_amount]]</f>
        <v>-0.33957881176771348</v>
      </c>
      <c r="S241" s="2">
        <f>SalesData[[#This Row],[Unit_Price]]-SalesData[[#This Row],[Unit_Cost]]</f>
        <v>31.809999999999945</v>
      </c>
      <c r="T241" s="10">
        <f>SalesData[[#This Row],[Unit_Margin]]/SalesData[[#This Row],[Unit_Price]]</f>
        <v>8.7116792918919064E-3</v>
      </c>
      <c r="U241" s="2" t="str">
        <f>IF(SalesData[[#This Row],[Unit_Margin]]&lt;0, "Negative margin", "Positive margin")</f>
        <v>Positive margin</v>
      </c>
      <c r="V241" s="2" t="str">
        <f>IF(SalesData[[#This Row],[Profit]]&lt;0, "Loss", "Profit")</f>
        <v>Loss</v>
      </c>
      <c r="W241" s="2">
        <f>SalesData[[#This Row],[Unit_Price]]*(1-SalesData[[#This Row],[Discount]])</f>
        <v>2702.0508</v>
      </c>
      <c r="X241" s="2">
        <f>SalesData[[#This Row],[Effective_Unit_Price]]-SalesData[[#This Row],[Unit_Cost]]</f>
        <v>-917.55920000000015</v>
      </c>
      <c r="Y241" s="2" t="str">
        <f>IF(SalesData[[#This Row],[Effective_Unit_Margin]]&lt;0,"Loss per Unit","Positive per Unit")</f>
        <v>Loss per Unit</v>
      </c>
    </row>
    <row r="242" spans="1:25" x14ac:dyDescent="0.3">
      <c r="A242">
        <v>1055</v>
      </c>
      <c r="B242" s="1">
        <v>45075</v>
      </c>
      <c r="C242" t="s">
        <v>37</v>
      </c>
      <c r="D242" t="s">
        <v>14</v>
      </c>
      <c r="E242">
        <v>40</v>
      </c>
      <c r="F242" t="s">
        <v>15</v>
      </c>
      <c r="G242">
        <v>959.73</v>
      </c>
      <c r="H242">
        <v>1111.4100000000001</v>
      </c>
      <c r="I242" t="s">
        <v>29</v>
      </c>
      <c r="J242" s="2">
        <v>0.23</v>
      </c>
      <c r="K242" t="s">
        <v>26</v>
      </c>
      <c r="L242" t="s">
        <v>18</v>
      </c>
      <c r="M242" t="s">
        <v>39</v>
      </c>
      <c r="N242">
        <f>SalesData[[#This Row],[Quantity_Sold]]*SalesData[[#This Row],[Unit_Cost]]</f>
        <v>38389.199999999997</v>
      </c>
      <c r="O242">
        <f>SalesData[[#This Row],[Quantity_Sold]]*SalesData[[#This Row],[Unit_Price]]</f>
        <v>44456.4</v>
      </c>
      <c r="P242">
        <f>SalesData[[#This Row],[Gross_sales]]*(1-SalesData[[#This Row],[Discount]])</f>
        <v>34231.428</v>
      </c>
      <c r="Q242" s="2">
        <f>SalesData[[#This Row],[Sales_amount]]-SalesData[[#This Row],[Total_Cost]]</f>
        <v>-4157.7719999999972</v>
      </c>
      <c r="R242" s="2">
        <f>SalesData[[#This Row],[Profit]]/SalesData[[#This Row],[Sales_amount]]</f>
        <v>-0.12146066474352157</v>
      </c>
      <c r="S242" s="2">
        <f>SalesData[[#This Row],[Unit_Price]]-SalesData[[#This Row],[Unit_Cost]]</f>
        <v>151.68000000000006</v>
      </c>
      <c r="T242" s="10">
        <f>SalesData[[#This Row],[Unit_Margin]]/SalesData[[#This Row],[Unit_Price]]</f>
        <v>0.13647528814748838</v>
      </c>
      <c r="U242" s="2" t="str">
        <f>IF(SalesData[[#This Row],[Unit_Margin]]&lt;0, "Negative margin", "Positive margin")</f>
        <v>Positive margin</v>
      </c>
      <c r="V242" s="2" t="str">
        <f>IF(SalesData[[#This Row],[Profit]]&lt;0, "Loss", "Profit")</f>
        <v>Loss</v>
      </c>
      <c r="W242" s="2">
        <f>SalesData[[#This Row],[Unit_Price]]*(1-SalesData[[#This Row],[Discount]])</f>
        <v>855.78570000000013</v>
      </c>
      <c r="X242" s="2">
        <f>SalesData[[#This Row],[Effective_Unit_Price]]-SalesData[[#This Row],[Unit_Cost]]</f>
        <v>-103.94429999999988</v>
      </c>
      <c r="Y242" s="2" t="str">
        <f>IF(SalesData[[#This Row],[Effective_Unit_Margin]]&lt;0,"Loss per Unit","Positive per Unit")</f>
        <v>Loss per Unit</v>
      </c>
    </row>
    <row r="243" spans="1:25" x14ac:dyDescent="0.3">
      <c r="A243">
        <v>1075</v>
      </c>
      <c r="B243" s="1">
        <v>45235</v>
      </c>
      <c r="C243" t="s">
        <v>13</v>
      </c>
      <c r="D243" t="s">
        <v>33</v>
      </c>
      <c r="E243">
        <v>37</v>
      </c>
      <c r="F243" t="s">
        <v>25</v>
      </c>
      <c r="G243">
        <v>1675.51</v>
      </c>
      <c r="H243">
        <v>1906.6399999999901</v>
      </c>
      <c r="I243" t="s">
        <v>29</v>
      </c>
      <c r="J243" s="2">
        <v>0.13</v>
      </c>
      <c r="K243" t="s">
        <v>26</v>
      </c>
      <c r="L243" t="s">
        <v>18</v>
      </c>
      <c r="M243" t="s">
        <v>45</v>
      </c>
      <c r="N243">
        <f>SalesData[[#This Row],[Quantity_Sold]]*SalesData[[#This Row],[Unit_Cost]]</f>
        <v>61993.87</v>
      </c>
      <c r="O243">
        <f>SalesData[[#This Row],[Quantity_Sold]]*SalesData[[#This Row],[Unit_Price]]</f>
        <v>70545.679999999629</v>
      </c>
      <c r="P243">
        <f>SalesData[[#This Row],[Gross_sales]]*(1-SalesData[[#This Row],[Discount]])</f>
        <v>61374.741599999674</v>
      </c>
      <c r="Q243" s="2">
        <f>SalesData[[#This Row],[Sales_amount]]-SalesData[[#This Row],[Total_Cost]]</f>
        <v>-619.12840000032884</v>
      </c>
      <c r="R243" s="2">
        <f>SalesData[[#This Row],[Profit]]/SalesData[[#This Row],[Sales_amount]]</f>
        <v>-1.0087674242857132E-2</v>
      </c>
      <c r="S243" s="2">
        <f>SalesData[[#This Row],[Unit_Price]]-SalesData[[#This Row],[Unit_Cost]]</f>
        <v>231.1299999999901</v>
      </c>
      <c r="T243" s="10">
        <f>SalesData[[#This Row],[Unit_Margin]]/SalesData[[#This Row],[Unit_Price]]</f>
        <v>0.12122372340871444</v>
      </c>
      <c r="U243" s="2" t="str">
        <f>IF(SalesData[[#This Row],[Unit_Margin]]&lt;0, "Negative margin", "Positive margin")</f>
        <v>Positive margin</v>
      </c>
      <c r="V243" s="2" t="str">
        <f>IF(SalesData[[#This Row],[Profit]]&lt;0, "Loss", "Profit")</f>
        <v>Loss</v>
      </c>
      <c r="W243" s="2">
        <f>SalesData[[#This Row],[Unit_Price]]*(1-SalesData[[#This Row],[Discount]])</f>
        <v>1658.7767999999915</v>
      </c>
      <c r="X243" s="2">
        <f>SalesData[[#This Row],[Effective_Unit_Price]]-SalesData[[#This Row],[Unit_Cost]]</f>
        <v>-16.733200000008537</v>
      </c>
      <c r="Y243" s="2" t="str">
        <f>IF(SalesData[[#This Row],[Effective_Unit_Margin]]&lt;0,"Loss per Unit","Positive per Unit")</f>
        <v>Loss per Unit</v>
      </c>
    </row>
    <row r="244" spans="1:25" x14ac:dyDescent="0.3">
      <c r="A244">
        <v>1056</v>
      </c>
      <c r="B244" s="1">
        <v>45063</v>
      </c>
      <c r="C244" t="s">
        <v>23</v>
      </c>
      <c r="D244" t="s">
        <v>20</v>
      </c>
      <c r="E244">
        <v>47</v>
      </c>
      <c r="F244" t="s">
        <v>15</v>
      </c>
      <c r="G244">
        <v>2461.6999999999998</v>
      </c>
      <c r="H244">
        <v>2529.02</v>
      </c>
      <c r="I244" t="s">
        <v>16</v>
      </c>
      <c r="J244" s="2">
        <v>0.22</v>
      </c>
      <c r="K244" t="s">
        <v>17</v>
      </c>
      <c r="L244" t="s">
        <v>21</v>
      </c>
      <c r="M244" t="s">
        <v>46</v>
      </c>
      <c r="N244">
        <f>SalesData[[#This Row],[Quantity_Sold]]*SalesData[[#This Row],[Unit_Cost]]</f>
        <v>115699.9</v>
      </c>
      <c r="O244">
        <f>SalesData[[#This Row],[Quantity_Sold]]*SalesData[[#This Row],[Unit_Price]]</f>
        <v>118863.94</v>
      </c>
      <c r="P244">
        <f>SalesData[[#This Row],[Gross_sales]]*(1-SalesData[[#This Row],[Discount]])</f>
        <v>92713.873200000002</v>
      </c>
      <c r="Q244" s="2">
        <f>SalesData[[#This Row],[Sales_amount]]-SalesData[[#This Row],[Total_Cost]]</f>
        <v>-22986.026799999992</v>
      </c>
      <c r="R244" s="2">
        <f>SalesData[[#This Row],[Profit]]/SalesData[[#This Row],[Sales_amount]]</f>
        <v>-0.24792435054908257</v>
      </c>
      <c r="S244" s="2">
        <f>SalesData[[#This Row],[Unit_Price]]-SalesData[[#This Row],[Unit_Cost]]</f>
        <v>67.320000000000164</v>
      </c>
      <c r="T244" s="10">
        <f>SalesData[[#This Row],[Unit_Margin]]/SalesData[[#This Row],[Unit_Price]]</f>
        <v>2.6619006571715592E-2</v>
      </c>
      <c r="U244" s="2" t="str">
        <f>IF(SalesData[[#This Row],[Unit_Margin]]&lt;0, "Negative margin", "Positive margin")</f>
        <v>Positive margin</v>
      </c>
      <c r="V244" s="2" t="str">
        <f>IF(SalesData[[#This Row],[Profit]]&lt;0, "Loss", "Profit")</f>
        <v>Loss</v>
      </c>
      <c r="W244" s="2">
        <f>SalesData[[#This Row],[Unit_Price]]*(1-SalesData[[#This Row],[Discount]])</f>
        <v>1972.6356000000001</v>
      </c>
      <c r="X244" s="2">
        <f>SalesData[[#This Row],[Effective_Unit_Price]]-SalesData[[#This Row],[Unit_Cost]]</f>
        <v>-489.06439999999975</v>
      </c>
      <c r="Y244" s="2" t="str">
        <f>IF(SalesData[[#This Row],[Effective_Unit_Margin]]&lt;0,"Loss per Unit","Positive per Unit")</f>
        <v>Loss per Unit</v>
      </c>
    </row>
    <row r="245" spans="1:25" x14ac:dyDescent="0.3">
      <c r="A245">
        <v>1017</v>
      </c>
      <c r="B245" s="1">
        <v>45128</v>
      </c>
      <c r="C245" t="s">
        <v>23</v>
      </c>
      <c r="D245" t="s">
        <v>33</v>
      </c>
      <c r="E245">
        <v>1</v>
      </c>
      <c r="F245" t="s">
        <v>25</v>
      </c>
      <c r="G245">
        <v>172.59</v>
      </c>
      <c r="H245">
        <v>404.69</v>
      </c>
      <c r="I245" t="s">
        <v>16</v>
      </c>
      <c r="J245" s="2">
        <v>0.28999999999999998</v>
      </c>
      <c r="K245" t="s">
        <v>26</v>
      </c>
      <c r="L245" t="s">
        <v>18</v>
      </c>
      <c r="M245" t="s">
        <v>49</v>
      </c>
      <c r="N245">
        <f>SalesData[[#This Row],[Quantity_Sold]]*SalesData[[#This Row],[Unit_Cost]]</f>
        <v>172.59</v>
      </c>
      <c r="O245">
        <f>SalesData[[#This Row],[Quantity_Sold]]*SalesData[[#This Row],[Unit_Price]]</f>
        <v>404.69</v>
      </c>
      <c r="P245">
        <f>SalesData[[#This Row],[Gross_sales]]*(1-SalesData[[#This Row],[Discount]])</f>
        <v>287.32990000000001</v>
      </c>
      <c r="Q245" s="2">
        <f>SalesData[[#This Row],[Sales_amount]]-SalesData[[#This Row],[Total_Cost]]</f>
        <v>114.73990000000001</v>
      </c>
      <c r="R245" s="2">
        <f>SalesData[[#This Row],[Profit]]/SalesData[[#This Row],[Sales_amount]]</f>
        <v>0.39933156973917439</v>
      </c>
      <c r="S245" s="2">
        <f>SalesData[[#This Row],[Unit_Price]]-SalesData[[#This Row],[Unit_Cost]]</f>
        <v>232.1</v>
      </c>
      <c r="T245" s="10">
        <f>SalesData[[#This Row],[Unit_Margin]]/SalesData[[#This Row],[Unit_Price]]</f>
        <v>0.57352541451481376</v>
      </c>
      <c r="U245" s="2" t="str">
        <f>IF(SalesData[[#This Row],[Unit_Margin]]&lt;0, "Negative margin", "Positive margin")</f>
        <v>Positive margin</v>
      </c>
      <c r="V245" s="2" t="str">
        <f>IF(SalesData[[#This Row],[Profit]]&lt;0, "Loss", "Profit")</f>
        <v>Profit</v>
      </c>
      <c r="W245" s="2">
        <f>SalesData[[#This Row],[Unit_Price]]*(1-SalesData[[#This Row],[Discount]])</f>
        <v>287.32990000000001</v>
      </c>
      <c r="X245" s="2">
        <f>SalesData[[#This Row],[Effective_Unit_Price]]-SalesData[[#This Row],[Unit_Cost]]</f>
        <v>114.73990000000001</v>
      </c>
      <c r="Y245" s="2" t="str">
        <f>IF(SalesData[[#This Row],[Effective_Unit_Margin]]&lt;0,"Loss per Unit","Positive per Unit")</f>
        <v>Positive per Unit</v>
      </c>
    </row>
    <row r="246" spans="1:25" x14ac:dyDescent="0.3">
      <c r="A246">
        <v>1038</v>
      </c>
      <c r="B246" s="1">
        <v>45239</v>
      </c>
      <c r="C246" t="s">
        <v>23</v>
      </c>
      <c r="D246" t="s">
        <v>33</v>
      </c>
      <c r="E246">
        <v>1</v>
      </c>
      <c r="F246" t="s">
        <v>25</v>
      </c>
      <c r="G246">
        <v>1281.6500000000001</v>
      </c>
      <c r="H246">
        <v>1709.71</v>
      </c>
      <c r="I246" t="s">
        <v>16</v>
      </c>
      <c r="J246" s="2">
        <v>0.14000000000000001</v>
      </c>
      <c r="K246" t="s">
        <v>30</v>
      </c>
      <c r="L246" t="s">
        <v>18</v>
      </c>
      <c r="M246" t="s">
        <v>49</v>
      </c>
      <c r="N246">
        <f>SalesData[[#This Row],[Quantity_Sold]]*SalesData[[#This Row],[Unit_Cost]]</f>
        <v>1281.6500000000001</v>
      </c>
      <c r="O246">
        <f>SalesData[[#This Row],[Quantity_Sold]]*SalesData[[#This Row],[Unit_Price]]</f>
        <v>1709.71</v>
      </c>
      <c r="P246">
        <f>SalesData[[#This Row],[Gross_sales]]*(1-SalesData[[#This Row],[Discount]])</f>
        <v>1470.3506</v>
      </c>
      <c r="Q246" s="2">
        <f>SalesData[[#This Row],[Sales_amount]]-SalesData[[#This Row],[Total_Cost]]</f>
        <v>188.70059999999989</v>
      </c>
      <c r="R246" s="2">
        <f>SalesData[[#This Row],[Profit]]/SalesData[[#This Row],[Sales_amount]]</f>
        <v>0.12833714625613776</v>
      </c>
      <c r="S246" s="2">
        <f>SalesData[[#This Row],[Unit_Price]]-SalesData[[#This Row],[Unit_Cost]]</f>
        <v>428.05999999999995</v>
      </c>
      <c r="T246" s="10">
        <f>SalesData[[#This Row],[Unit_Margin]]/SalesData[[#This Row],[Unit_Price]]</f>
        <v>0.25036994578027849</v>
      </c>
      <c r="U246" s="2" t="str">
        <f>IF(SalesData[[#This Row],[Unit_Margin]]&lt;0, "Negative margin", "Positive margin")</f>
        <v>Positive margin</v>
      </c>
      <c r="V246" s="2" t="str">
        <f>IF(SalesData[[#This Row],[Profit]]&lt;0, "Loss", "Profit")</f>
        <v>Profit</v>
      </c>
      <c r="W246" s="2">
        <f>SalesData[[#This Row],[Unit_Price]]*(1-SalesData[[#This Row],[Discount]])</f>
        <v>1470.3506</v>
      </c>
      <c r="X246" s="2">
        <f>SalesData[[#This Row],[Effective_Unit_Price]]-SalesData[[#This Row],[Unit_Cost]]</f>
        <v>188.70059999999989</v>
      </c>
      <c r="Y246" s="2" t="str">
        <f>IF(SalesData[[#This Row],[Effective_Unit_Margin]]&lt;0,"Loss per Unit","Positive per Unit")</f>
        <v>Positive per Unit</v>
      </c>
    </row>
    <row r="247" spans="1:25" x14ac:dyDescent="0.3">
      <c r="A247">
        <v>1024</v>
      </c>
      <c r="B247" s="1">
        <v>45043</v>
      </c>
      <c r="C247" t="s">
        <v>41</v>
      </c>
      <c r="D247" t="s">
        <v>20</v>
      </c>
      <c r="E247">
        <v>42</v>
      </c>
      <c r="F247" t="s">
        <v>25</v>
      </c>
      <c r="G247">
        <v>2069.0500000000002</v>
      </c>
      <c r="H247">
        <v>2363.9</v>
      </c>
      <c r="I247" t="s">
        <v>16</v>
      </c>
      <c r="J247" s="2">
        <v>7.0000000000000007E-2</v>
      </c>
      <c r="K247" t="s">
        <v>17</v>
      </c>
      <c r="L247" t="s">
        <v>18</v>
      </c>
      <c r="M247" t="s">
        <v>50</v>
      </c>
      <c r="N247">
        <f>SalesData[[#This Row],[Quantity_Sold]]*SalesData[[#This Row],[Unit_Cost]]</f>
        <v>86900.1</v>
      </c>
      <c r="O247">
        <f>SalesData[[#This Row],[Quantity_Sold]]*SalesData[[#This Row],[Unit_Price]]</f>
        <v>99283.8</v>
      </c>
      <c r="P247">
        <f>SalesData[[#This Row],[Gross_sales]]*(1-SalesData[[#This Row],[Discount]])</f>
        <v>92333.933999999994</v>
      </c>
      <c r="Q247" s="2">
        <f>SalesData[[#This Row],[Sales_amount]]-SalesData[[#This Row],[Total_Cost]]</f>
        <v>5433.833999999988</v>
      </c>
      <c r="R247" s="2">
        <f>SalesData[[#This Row],[Profit]]/SalesData[[#This Row],[Sales_amount]]</f>
        <v>5.884980488321865E-2</v>
      </c>
      <c r="S247" s="2">
        <f>SalesData[[#This Row],[Unit_Price]]-SalesData[[#This Row],[Unit_Cost]]</f>
        <v>294.84999999999991</v>
      </c>
      <c r="T247" s="10">
        <f>SalesData[[#This Row],[Unit_Margin]]/SalesData[[#This Row],[Unit_Price]]</f>
        <v>0.12473031854139342</v>
      </c>
      <c r="U247" s="2" t="str">
        <f>IF(SalesData[[#This Row],[Unit_Margin]]&lt;0, "Negative margin", "Positive margin")</f>
        <v>Positive margin</v>
      </c>
      <c r="V247" s="2" t="str">
        <f>IF(SalesData[[#This Row],[Profit]]&lt;0, "Loss", "Profit")</f>
        <v>Profit</v>
      </c>
      <c r="W247" s="2">
        <f>SalesData[[#This Row],[Unit_Price]]*(1-SalesData[[#This Row],[Discount]])</f>
        <v>2198.4270000000001</v>
      </c>
      <c r="X247" s="2">
        <f>SalesData[[#This Row],[Effective_Unit_Price]]-SalesData[[#This Row],[Unit_Cost]]</f>
        <v>129.37699999999995</v>
      </c>
      <c r="Y247" s="2" t="str">
        <f>IF(SalesData[[#This Row],[Effective_Unit_Margin]]&lt;0,"Loss per Unit","Positive per Unit")</f>
        <v>Positive per Unit</v>
      </c>
    </row>
    <row r="248" spans="1:25" x14ac:dyDescent="0.3">
      <c r="A248">
        <v>1069</v>
      </c>
      <c r="B248" s="1">
        <v>45080</v>
      </c>
      <c r="C248" t="s">
        <v>23</v>
      </c>
      <c r="D248" t="s">
        <v>20</v>
      </c>
      <c r="E248">
        <v>42</v>
      </c>
      <c r="F248" t="s">
        <v>28</v>
      </c>
      <c r="G248">
        <v>1434.2</v>
      </c>
      <c r="H248">
        <v>1482.88</v>
      </c>
      <c r="I248" t="s">
        <v>29</v>
      </c>
      <c r="J248" s="2">
        <v>0.28000000000000003</v>
      </c>
      <c r="K248" t="s">
        <v>30</v>
      </c>
      <c r="L248" t="s">
        <v>21</v>
      </c>
      <c r="M248" t="s">
        <v>46</v>
      </c>
      <c r="N248">
        <f>SalesData[[#This Row],[Quantity_Sold]]*SalesData[[#This Row],[Unit_Cost]]</f>
        <v>60236.4</v>
      </c>
      <c r="O248">
        <f>SalesData[[#This Row],[Quantity_Sold]]*SalesData[[#This Row],[Unit_Price]]</f>
        <v>62280.960000000006</v>
      </c>
      <c r="P248">
        <f>SalesData[[#This Row],[Gross_sales]]*(1-SalesData[[#This Row],[Discount]])</f>
        <v>44842.2912</v>
      </c>
      <c r="Q248" s="2">
        <f>SalesData[[#This Row],[Sales_amount]]-SalesData[[#This Row],[Total_Cost]]</f>
        <v>-15394.108800000002</v>
      </c>
      <c r="R248" s="2">
        <f>SalesData[[#This Row],[Profit]]/SalesData[[#This Row],[Sales_amount]]</f>
        <v>-0.34329443005802529</v>
      </c>
      <c r="S248" s="2">
        <f>SalesData[[#This Row],[Unit_Price]]-SalesData[[#This Row],[Unit_Cost]]</f>
        <v>48.680000000000064</v>
      </c>
      <c r="T248" s="10">
        <f>SalesData[[#This Row],[Unit_Margin]]/SalesData[[#This Row],[Unit_Price]]</f>
        <v>3.282801035822188E-2</v>
      </c>
      <c r="U248" s="2" t="str">
        <f>IF(SalesData[[#This Row],[Unit_Margin]]&lt;0, "Negative margin", "Positive margin")</f>
        <v>Positive margin</v>
      </c>
      <c r="V248" s="2" t="str">
        <f>IF(SalesData[[#This Row],[Profit]]&lt;0, "Loss", "Profit")</f>
        <v>Loss</v>
      </c>
      <c r="W248" s="2">
        <f>SalesData[[#This Row],[Unit_Price]]*(1-SalesData[[#This Row],[Discount]])</f>
        <v>1067.6736000000001</v>
      </c>
      <c r="X248" s="2">
        <f>SalesData[[#This Row],[Effective_Unit_Price]]-SalesData[[#This Row],[Unit_Cost]]</f>
        <v>-366.52639999999997</v>
      </c>
      <c r="Y248" s="2" t="str">
        <f>IF(SalesData[[#This Row],[Effective_Unit_Margin]]&lt;0,"Loss per Unit","Positive per Unit")</f>
        <v>Loss per Unit</v>
      </c>
    </row>
    <row r="249" spans="1:25" x14ac:dyDescent="0.3">
      <c r="A249">
        <v>1098</v>
      </c>
      <c r="B249" s="1">
        <v>45217</v>
      </c>
      <c r="C249" t="s">
        <v>37</v>
      </c>
      <c r="D249" t="s">
        <v>20</v>
      </c>
      <c r="E249">
        <v>21</v>
      </c>
      <c r="F249" t="s">
        <v>15</v>
      </c>
      <c r="G249">
        <v>725.03</v>
      </c>
      <c r="H249">
        <v>828.94999999999902</v>
      </c>
      <c r="I249" t="s">
        <v>29</v>
      </c>
      <c r="J249" s="2">
        <v>0.18</v>
      </c>
      <c r="K249" t="s">
        <v>26</v>
      </c>
      <c r="L249" t="s">
        <v>18</v>
      </c>
      <c r="M249" t="s">
        <v>40</v>
      </c>
      <c r="N249">
        <f>SalesData[[#This Row],[Quantity_Sold]]*SalesData[[#This Row],[Unit_Cost]]</f>
        <v>15225.63</v>
      </c>
      <c r="O249">
        <f>SalesData[[#This Row],[Quantity_Sold]]*SalesData[[#This Row],[Unit_Price]]</f>
        <v>17407.949999999979</v>
      </c>
      <c r="P249">
        <f>SalesData[[#This Row],[Gross_sales]]*(1-SalesData[[#This Row],[Discount]])</f>
        <v>14274.518999999984</v>
      </c>
      <c r="Q249" s="2">
        <f>SalesData[[#This Row],[Sales_amount]]-SalesData[[#This Row],[Total_Cost]]</f>
        <v>-951.11100000001534</v>
      </c>
      <c r="R249" s="2">
        <f>SalesData[[#This Row],[Profit]]/SalesData[[#This Row],[Sales_amount]]</f>
        <v>-6.6629985921067919E-2</v>
      </c>
      <c r="S249" s="2">
        <f>SalesData[[#This Row],[Unit_Price]]-SalesData[[#This Row],[Unit_Cost]]</f>
        <v>103.91999999999905</v>
      </c>
      <c r="T249" s="10">
        <f>SalesData[[#This Row],[Unit_Margin]]/SalesData[[#This Row],[Unit_Price]]</f>
        <v>0.12536341154472425</v>
      </c>
      <c r="U249" s="2" t="str">
        <f>IF(SalesData[[#This Row],[Unit_Margin]]&lt;0, "Negative margin", "Positive margin")</f>
        <v>Positive margin</v>
      </c>
      <c r="V249" s="2" t="str">
        <f>IF(SalesData[[#This Row],[Profit]]&lt;0, "Loss", "Profit")</f>
        <v>Loss</v>
      </c>
      <c r="W249" s="2">
        <f>SalesData[[#This Row],[Unit_Price]]*(1-SalesData[[#This Row],[Discount]])</f>
        <v>679.73899999999924</v>
      </c>
      <c r="X249" s="2">
        <f>SalesData[[#This Row],[Effective_Unit_Price]]-SalesData[[#This Row],[Unit_Cost]]</f>
        <v>-45.291000000000736</v>
      </c>
      <c r="Y249" s="2" t="str">
        <f>IF(SalesData[[#This Row],[Effective_Unit_Margin]]&lt;0,"Loss per Unit","Positive per Unit")</f>
        <v>Loss per Unit</v>
      </c>
    </row>
    <row r="250" spans="1:25" x14ac:dyDescent="0.3">
      <c r="A250">
        <v>1070</v>
      </c>
      <c r="B250" s="1">
        <v>44989</v>
      </c>
      <c r="C250" t="s">
        <v>13</v>
      </c>
      <c r="D250" t="s">
        <v>24</v>
      </c>
      <c r="E250">
        <v>15</v>
      </c>
      <c r="F250" t="s">
        <v>34</v>
      </c>
      <c r="G250">
        <v>3653.66</v>
      </c>
      <c r="H250">
        <v>3896.19</v>
      </c>
      <c r="I250" t="s">
        <v>29</v>
      </c>
      <c r="J250" s="2">
        <v>0.03</v>
      </c>
      <c r="K250" t="s">
        <v>30</v>
      </c>
      <c r="L250" t="s">
        <v>21</v>
      </c>
      <c r="M250" t="s">
        <v>31</v>
      </c>
      <c r="N250">
        <f>SalesData[[#This Row],[Quantity_Sold]]*SalesData[[#This Row],[Unit_Cost]]</f>
        <v>54804.899999999994</v>
      </c>
      <c r="O250">
        <f>SalesData[[#This Row],[Quantity_Sold]]*SalesData[[#This Row],[Unit_Price]]</f>
        <v>58442.85</v>
      </c>
      <c r="P250">
        <f>SalesData[[#This Row],[Gross_sales]]*(1-SalesData[[#This Row],[Discount]])</f>
        <v>56689.5645</v>
      </c>
      <c r="Q250" s="2">
        <f>SalesData[[#This Row],[Sales_amount]]-SalesData[[#This Row],[Total_Cost]]</f>
        <v>1884.6645000000062</v>
      </c>
      <c r="R250" s="2">
        <f>SalesData[[#This Row],[Profit]]/SalesData[[#This Row],[Sales_amount]]</f>
        <v>3.3245351532026783E-2</v>
      </c>
      <c r="S250" s="2">
        <f>SalesData[[#This Row],[Unit_Price]]-SalesData[[#This Row],[Unit_Cost]]</f>
        <v>242.5300000000002</v>
      </c>
      <c r="T250" s="10">
        <f>SalesData[[#This Row],[Unit_Margin]]/SalesData[[#This Row],[Unit_Price]]</f>
        <v>6.2247990986065926E-2</v>
      </c>
      <c r="U250" s="2" t="str">
        <f>IF(SalesData[[#This Row],[Unit_Margin]]&lt;0, "Negative margin", "Positive margin")</f>
        <v>Positive margin</v>
      </c>
      <c r="V250" s="2" t="str">
        <f>IF(SalesData[[#This Row],[Profit]]&lt;0, "Loss", "Profit")</f>
        <v>Profit</v>
      </c>
      <c r="W250" s="2">
        <f>SalesData[[#This Row],[Unit_Price]]*(1-SalesData[[#This Row],[Discount]])</f>
        <v>3779.3042999999998</v>
      </c>
      <c r="X250" s="2">
        <f>SalesData[[#This Row],[Effective_Unit_Price]]-SalesData[[#This Row],[Unit_Cost]]</f>
        <v>125.64429999999993</v>
      </c>
      <c r="Y250" s="2" t="str">
        <f>IF(SalesData[[#This Row],[Effective_Unit_Margin]]&lt;0,"Loss per Unit","Positive per Unit")</f>
        <v>Positive per Unit</v>
      </c>
    </row>
    <row r="251" spans="1:25" x14ac:dyDescent="0.3">
      <c r="A251">
        <v>1086</v>
      </c>
      <c r="B251" s="1">
        <v>45170</v>
      </c>
      <c r="C251" t="s">
        <v>32</v>
      </c>
      <c r="D251" t="s">
        <v>20</v>
      </c>
      <c r="E251">
        <v>17</v>
      </c>
      <c r="F251" t="s">
        <v>34</v>
      </c>
      <c r="G251">
        <v>4075.08</v>
      </c>
      <c r="H251">
        <v>4262.21</v>
      </c>
      <c r="I251" t="s">
        <v>29</v>
      </c>
      <c r="J251" s="2">
        <v>0.17</v>
      </c>
      <c r="K251" t="s">
        <v>17</v>
      </c>
      <c r="L251" t="s">
        <v>18</v>
      </c>
      <c r="M251" t="s">
        <v>36</v>
      </c>
      <c r="N251">
        <f>SalesData[[#This Row],[Quantity_Sold]]*SalesData[[#This Row],[Unit_Cost]]</f>
        <v>69276.36</v>
      </c>
      <c r="O251">
        <f>SalesData[[#This Row],[Quantity_Sold]]*SalesData[[#This Row],[Unit_Price]]</f>
        <v>72457.570000000007</v>
      </c>
      <c r="P251">
        <f>SalesData[[#This Row],[Gross_sales]]*(1-SalesData[[#This Row],[Discount]])</f>
        <v>60139.783100000001</v>
      </c>
      <c r="Q251" s="2">
        <f>SalesData[[#This Row],[Sales_amount]]-SalesData[[#This Row],[Total_Cost]]</f>
        <v>-9136.5769</v>
      </c>
      <c r="R251" s="2">
        <f>SalesData[[#This Row],[Profit]]/SalesData[[#This Row],[Sales_amount]]</f>
        <v>-0.15192234539336075</v>
      </c>
      <c r="S251" s="2">
        <f>SalesData[[#This Row],[Unit_Price]]-SalesData[[#This Row],[Unit_Cost]]</f>
        <v>187.13000000000011</v>
      </c>
      <c r="T251" s="10">
        <f>SalesData[[#This Row],[Unit_Margin]]/SalesData[[#This Row],[Unit_Price]]</f>
        <v>4.3904453323510596E-2</v>
      </c>
      <c r="U251" s="2" t="str">
        <f>IF(SalesData[[#This Row],[Unit_Margin]]&lt;0, "Negative margin", "Positive margin")</f>
        <v>Positive margin</v>
      </c>
      <c r="V251" s="2" t="str">
        <f>IF(SalesData[[#This Row],[Profit]]&lt;0, "Loss", "Profit")</f>
        <v>Loss</v>
      </c>
      <c r="W251" s="2">
        <f>SalesData[[#This Row],[Unit_Price]]*(1-SalesData[[#This Row],[Discount]])</f>
        <v>3537.6342999999997</v>
      </c>
      <c r="X251" s="2">
        <f>SalesData[[#This Row],[Effective_Unit_Price]]-SalesData[[#This Row],[Unit_Cost]]</f>
        <v>-537.44570000000022</v>
      </c>
      <c r="Y251" s="2" t="str">
        <f>IF(SalesData[[#This Row],[Effective_Unit_Margin]]&lt;0,"Loss per Unit","Positive per Unit")</f>
        <v>Loss per Unit</v>
      </c>
    </row>
    <row r="252" spans="1:25" x14ac:dyDescent="0.3">
      <c r="A252">
        <v>1011</v>
      </c>
      <c r="B252" s="1">
        <v>44951</v>
      </c>
      <c r="C252" t="s">
        <v>37</v>
      </c>
      <c r="D252" t="s">
        <v>14</v>
      </c>
      <c r="E252">
        <v>22</v>
      </c>
      <c r="F252" t="s">
        <v>34</v>
      </c>
      <c r="G252">
        <v>1324.52</v>
      </c>
      <c r="H252">
        <v>1510.3</v>
      </c>
      <c r="I252" t="s">
        <v>16</v>
      </c>
      <c r="J252" s="2">
        <v>0.15</v>
      </c>
      <c r="K252" t="s">
        <v>17</v>
      </c>
      <c r="L252" t="s">
        <v>21</v>
      </c>
      <c r="M252" t="s">
        <v>39</v>
      </c>
      <c r="N252">
        <f>SalesData[[#This Row],[Quantity_Sold]]*SalesData[[#This Row],[Unit_Cost]]</f>
        <v>29139.439999999999</v>
      </c>
      <c r="O252">
        <f>SalesData[[#This Row],[Quantity_Sold]]*SalesData[[#This Row],[Unit_Price]]</f>
        <v>33226.6</v>
      </c>
      <c r="P252">
        <f>SalesData[[#This Row],[Gross_sales]]*(1-SalesData[[#This Row],[Discount]])</f>
        <v>28242.609999999997</v>
      </c>
      <c r="Q252" s="2">
        <f>SalesData[[#This Row],[Sales_amount]]-SalesData[[#This Row],[Total_Cost]]</f>
        <v>-896.83000000000175</v>
      </c>
      <c r="R252" s="2">
        <f>SalesData[[#This Row],[Profit]]/SalesData[[#This Row],[Sales_amount]]</f>
        <v>-3.1754501443032421E-2</v>
      </c>
      <c r="S252" s="2">
        <f>SalesData[[#This Row],[Unit_Price]]-SalesData[[#This Row],[Unit_Cost]]</f>
        <v>185.77999999999997</v>
      </c>
      <c r="T252" s="10">
        <f>SalesData[[#This Row],[Unit_Margin]]/SalesData[[#This Row],[Unit_Price]]</f>
        <v>0.12300867377342248</v>
      </c>
      <c r="U252" s="2" t="str">
        <f>IF(SalesData[[#This Row],[Unit_Margin]]&lt;0, "Negative margin", "Positive margin")</f>
        <v>Positive margin</v>
      </c>
      <c r="V252" s="2" t="str">
        <f>IF(SalesData[[#This Row],[Profit]]&lt;0, "Loss", "Profit")</f>
        <v>Loss</v>
      </c>
      <c r="W252" s="2">
        <f>SalesData[[#This Row],[Unit_Price]]*(1-SalesData[[#This Row],[Discount]])</f>
        <v>1283.7549999999999</v>
      </c>
      <c r="X252" s="2">
        <f>SalesData[[#This Row],[Effective_Unit_Price]]-SalesData[[#This Row],[Unit_Cost]]</f>
        <v>-40.7650000000001</v>
      </c>
      <c r="Y252" s="2" t="str">
        <f>IF(SalesData[[#This Row],[Effective_Unit_Margin]]&lt;0,"Loss per Unit","Positive per Unit")</f>
        <v>Loss per Unit</v>
      </c>
    </row>
    <row r="253" spans="1:25" x14ac:dyDescent="0.3">
      <c r="A253">
        <v>1016</v>
      </c>
      <c r="B253" s="1">
        <v>45016</v>
      </c>
      <c r="C253" t="s">
        <v>37</v>
      </c>
      <c r="D253" t="s">
        <v>33</v>
      </c>
      <c r="E253">
        <v>38</v>
      </c>
      <c r="F253" t="s">
        <v>34</v>
      </c>
      <c r="G253">
        <v>3883.38</v>
      </c>
      <c r="H253">
        <v>4152.72</v>
      </c>
      <c r="I253" t="s">
        <v>16</v>
      </c>
      <c r="J253" s="2">
        <v>0.26</v>
      </c>
      <c r="K253" t="s">
        <v>17</v>
      </c>
      <c r="L253" t="s">
        <v>18</v>
      </c>
      <c r="M253" t="s">
        <v>47</v>
      </c>
      <c r="N253">
        <f>SalesData[[#This Row],[Quantity_Sold]]*SalesData[[#This Row],[Unit_Cost]]</f>
        <v>147568.44</v>
      </c>
      <c r="O253">
        <f>SalesData[[#This Row],[Quantity_Sold]]*SalesData[[#This Row],[Unit_Price]]</f>
        <v>157803.36000000002</v>
      </c>
      <c r="P253">
        <f>SalesData[[#This Row],[Gross_sales]]*(1-SalesData[[#This Row],[Discount]])</f>
        <v>116774.48640000001</v>
      </c>
      <c r="Q253" s="2">
        <f>SalesData[[#This Row],[Sales_amount]]-SalesData[[#This Row],[Total_Cost]]</f>
        <v>-30793.953599999993</v>
      </c>
      <c r="R253" s="2">
        <f>SalesData[[#This Row],[Profit]]/SalesData[[#This Row],[Sales_amount]]</f>
        <v>-0.26370446618380494</v>
      </c>
      <c r="S253" s="2">
        <f>SalesData[[#This Row],[Unit_Price]]-SalesData[[#This Row],[Unit_Cost]]</f>
        <v>269.34000000000015</v>
      </c>
      <c r="T253" s="10">
        <f>SalesData[[#This Row],[Unit_Margin]]/SalesData[[#This Row],[Unit_Price]]</f>
        <v>6.4858695023984309E-2</v>
      </c>
      <c r="U253" s="2" t="str">
        <f>IF(SalesData[[#This Row],[Unit_Margin]]&lt;0, "Negative margin", "Positive margin")</f>
        <v>Positive margin</v>
      </c>
      <c r="V253" s="2" t="str">
        <f>IF(SalesData[[#This Row],[Profit]]&lt;0, "Loss", "Profit")</f>
        <v>Loss</v>
      </c>
      <c r="W253" s="2">
        <f>SalesData[[#This Row],[Unit_Price]]*(1-SalesData[[#This Row],[Discount]])</f>
        <v>3073.0128</v>
      </c>
      <c r="X253" s="2">
        <f>SalesData[[#This Row],[Effective_Unit_Price]]-SalesData[[#This Row],[Unit_Cost]]</f>
        <v>-810.36720000000014</v>
      </c>
      <c r="Y253" s="2" t="str">
        <f>IF(SalesData[[#This Row],[Effective_Unit_Margin]]&lt;0,"Loss per Unit","Positive per Unit")</f>
        <v>Loss per Unit</v>
      </c>
    </row>
    <row r="254" spans="1:25" x14ac:dyDescent="0.3">
      <c r="A254">
        <v>1097</v>
      </c>
      <c r="B254" s="1">
        <v>45001</v>
      </c>
      <c r="C254" t="s">
        <v>23</v>
      </c>
      <c r="D254" t="s">
        <v>24</v>
      </c>
      <c r="E254">
        <v>35</v>
      </c>
      <c r="F254" t="s">
        <v>25</v>
      </c>
      <c r="G254">
        <v>1958.49</v>
      </c>
      <c r="H254">
        <v>2254.84</v>
      </c>
      <c r="I254" t="s">
        <v>29</v>
      </c>
      <c r="J254" s="2">
        <v>0.16</v>
      </c>
      <c r="K254" t="s">
        <v>30</v>
      </c>
      <c r="L254" t="s">
        <v>18</v>
      </c>
      <c r="M254" t="s">
        <v>27</v>
      </c>
      <c r="N254">
        <f>SalesData[[#This Row],[Quantity_Sold]]*SalesData[[#This Row],[Unit_Cost]]</f>
        <v>68547.149999999994</v>
      </c>
      <c r="O254">
        <f>SalesData[[#This Row],[Quantity_Sold]]*SalesData[[#This Row],[Unit_Price]]</f>
        <v>78919.400000000009</v>
      </c>
      <c r="P254">
        <f>SalesData[[#This Row],[Gross_sales]]*(1-SalesData[[#This Row],[Discount]])</f>
        <v>66292.296000000002</v>
      </c>
      <c r="Q254" s="2">
        <f>SalesData[[#This Row],[Sales_amount]]-SalesData[[#This Row],[Total_Cost]]</f>
        <v>-2254.8539999999921</v>
      </c>
      <c r="R254" s="2">
        <f>SalesData[[#This Row],[Profit]]/SalesData[[#This Row],[Sales_amount]]</f>
        <v>-3.4013816628103995E-2</v>
      </c>
      <c r="S254" s="2">
        <f>SalesData[[#This Row],[Unit_Price]]-SalesData[[#This Row],[Unit_Cost]]</f>
        <v>296.35000000000014</v>
      </c>
      <c r="T254" s="10">
        <f>SalesData[[#This Row],[Unit_Margin]]/SalesData[[#This Row],[Unit_Price]]</f>
        <v>0.13142839403239259</v>
      </c>
      <c r="U254" s="2" t="str">
        <f>IF(SalesData[[#This Row],[Unit_Margin]]&lt;0, "Negative margin", "Positive margin")</f>
        <v>Positive margin</v>
      </c>
      <c r="V254" s="2" t="str">
        <f>IF(SalesData[[#This Row],[Profit]]&lt;0, "Loss", "Profit")</f>
        <v>Loss</v>
      </c>
      <c r="W254" s="2">
        <f>SalesData[[#This Row],[Unit_Price]]*(1-SalesData[[#This Row],[Discount]])</f>
        <v>1894.0656000000001</v>
      </c>
      <c r="X254" s="2">
        <f>SalesData[[#This Row],[Effective_Unit_Price]]-SalesData[[#This Row],[Unit_Cost]]</f>
        <v>-64.424399999999878</v>
      </c>
      <c r="Y254" s="2" t="str">
        <f>IF(SalesData[[#This Row],[Effective_Unit_Margin]]&lt;0,"Loss per Unit","Positive per Unit")</f>
        <v>Loss per Unit</v>
      </c>
    </row>
    <row r="255" spans="1:25" x14ac:dyDescent="0.3">
      <c r="A255">
        <v>1073</v>
      </c>
      <c r="B255" s="1">
        <v>45220</v>
      </c>
      <c r="C255" t="s">
        <v>41</v>
      </c>
      <c r="D255" t="s">
        <v>20</v>
      </c>
      <c r="E255">
        <v>45</v>
      </c>
      <c r="F255" t="s">
        <v>15</v>
      </c>
      <c r="G255">
        <v>2558.09</v>
      </c>
      <c r="H255">
        <v>2958.55</v>
      </c>
      <c r="I255" t="s">
        <v>29</v>
      </c>
      <c r="J255" s="2">
        <v>0.08</v>
      </c>
      <c r="K255" t="s">
        <v>17</v>
      </c>
      <c r="L255" t="s">
        <v>18</v>
      </c>
      <c r="M255" t="s">
        <v>50</v>
      </c>
      <c r="N255">
        <f>SalesData[[#This Row],[Quantity_Sold]]*SalesData[[#This Row],[Unit_Cost]]</f>
        <v>115114.05</v>
      </c>
      <c r="O255">
        <f>SalesData[[#This Row],[Quantity_Sold]]*SalesData[[#This Row],[Unit_Price]]</f>
        <v>133134.75</v>
      </c>
      <c r="P255">
        <f>SalesData[[#This Row],[Gross_sales]]*(1-SalesData[[#This Row],[Discount]])</f>
        <v>122483.97</v>
      </c>
      <c r="Q255" s="2">
        <f>SalesData[[#This Row],[Sales_amount]]-SalesData[[#This Row],[Total_Cost]]</f>
        <v>7369.9199999999983</v>
      </c>
      <c r="R255" s="2">
        <f>SalesData[[#This Row],[Profit]]/SalesData[[#This Row],[Sales_amount]]</f>
        <v>6.017048598277798E-2</v>
      </c>
      <c r="S255" s="2">
        <f>SalesData[[#This Row],[Unit_Price]]-SalesData[[#This Row],[Unit_Cost]]</f>
        <v>400.46000000000004</v>
      </c>
      <c r="T255" s="10">
        <f>SalesData[[#This Row],[Unit_Margin]]/SalesData[[#This Row],[Unit_Price]]</f>
        <v>0.13535684710415577</v>
      </c>
      <c r="U255" s="2" t="str">
        <f>IF(SalesData[[#This Row],[Unit_Margin]]&lt;0, "Negative margin", "Positive margin")</f>
        <v>Positive margin</v>
      </c>
      <c r="V255" s="2" t="str">
        <f>IF(SalesData[[#This Row],[Profit]]&lt;0, "Loss", "Profit")</f>
        <v>Profit</v>
      </c>
      <c r="W255" s="2">
        <f>SalesData[[#This Row],[Unit_Price]]*(1-SalesData[[#This Row],[Discount]])</f>
        <v>2721.8660000000004</v>
      </c>
      <c r="X255" s="2">
        <f>SalesData[[#This Row],[Effective_Unit_Price]]-SalesData[[#This Row],[Unit_Cost]]</f>
        <v>163.77600000000029</v>
      </c>
      <c r="Y255" s="2" t="str">
        <f>IF(SalesData[[#This Row],[Effective_Unit_Margin]]&lt;0,"Loss per Unit","Positive per Unit")</f>
        <v>Positive per Unit</v>
      </c>
    </row>
    <row r="256" spans="1:25" x14ac:dyDescent="0.3">
      <c r="A256">
        <v>1059</v>
      </c>
      <c r="B256" s="1">
        <v>45136</v>
      </c>
      <c r="C256" t="s">
        <v>13</v>
      </c>
      <c r="D256" t="s">
        <v>24</v>
      </c>
      <c r="E256">
        <v>16</v>
      </c>
      <c r="F256" t="s">
        <v>15</v>
      </c>
      <c r="G256">
        <v>4287.21</v>
      </c>
      <c r="H256">
        <v>4464.28</v>
      </c>
      <c r="I256" t="s">
        <v>16</v>
      </c>
      <c r="J256" s="2">
        <v>0.2</v>
      </c>
      <c r="K256" t="s">
        <v>30</v>
      </c>
      <c r="L256" t="s">
        <v>21</v>
      </c>
      <c r="M256" t="s">
        <v>31</v>
      </c>
      <c r="N256">
        <f>SalesData[[#This Row],[Quantity_Sold]]*SalesData[[#This Row],[Unit_Cost]]</f>
        <v>68595.360000000001</v>
      </c>
      <c r="O256">
        <f>SalesData[[#This Row],[Quantity_Sold]]*SalesData[[#This Row],[Unit_Price]]</f>
        <v>71428.479999999996</v>
      </c>
      <c r="P256">
        <f>SalesData[[#This Row],[Gross_sales]]*(1-SalesData[[#This Row],[Discount]])</f>
        <v>57142.784</v>
      </c>
      <c r="Q256" s="2">
        <f>SalesData[[#This Row],[Sales_amount]]-SalesData[[#This Row],[Total_Cost]]</f>
        <v>-11452.576000000001</v>
      </c>
      <c r="R256" s="2">
        <f>SalesData[[#This Row],[Profit]]/SalesData[[#This Row],[Sales_amount]]</f>
        <v>-0.20042033653803079</v>
      </c>
      <c r="S256" s="2">
        <f>SalesData[[#This Row],[Unit_Price]]-SalesData[[#This Row],[Unit_Cost]]</f>
        <v>177.06999999999971</v>
      </c>
      <c r="T256" s="10">
        <f>SalesData[[#This Row],[Unit_Margin]]/SalesData[[#This Row],[Unit_Price]]</f>
        <v>3.9663730769575321E-2</v>
      </c>
      <c r="U256" s="2" t="str">
        <f>IF(SalesData[[#This Row],[Unit_Margin]]&lt;0, "Negative margin", "Positive margin")</f>
        <v>Positive margin</v>
      </c>
      <c r="V256" s="2" t="str">
        <f>IF(SalesData[[#This Row],[Profit]]&lt;0, "Loss", "Profit")</f>
        <v>Loss</v>
      </c>
      <c r="W256" s="2">
        <f>SalesData[[#This Row],[Unit_Price]]*(1-SalesData[[#This Row],[Discount]])</f>
        <v>3571.424</v>
      </c>
      <c r="X256" s="2">
        <f>SalesData[[#This Row],[Effective_Unit_Price]]-SalesData[[#This Row],[Unit_Cost]]</f>
        <v>-715.78600000000006</v>
      </c>
      <c r="Y256" s="2" t="str">
        <f>IF(SalesData[[#This Row],[Effective_Unit_Margin]]&lt;0,"Loss per Unit","Positive per Unit")</f>
        <v>Loss per Unit</v>
      </c>
    </row>
    <row r="257" spans="1:25" x14ac:dyDescent="0.3">
      <c r="A257">
        <v>1070</v>
      </c>
      <c r="B257" s="1">
        <v>45273</v>
      </c>
      <c r="C257" t="s">
        <v>41</v>
      </c>
      <c r="D257" t="s">
        <v>20</v>
      </c>
      <c r="E257">
        <v>8</v>
      </c>
      <c r="F257" t="s">
        <v>28</v>
      </c>
      <c r="G257">
        <v>3762.27</v>
      </c>
      <c r="H257">
        <v>4166.95</v>
      </c>
      <c r="I257" t="s">
        <v>16</v>
      </c>
      <c r="J257" s="2">
        <v>0.16</v>
      </c>
      <c r="K257" t="s">
        <v>26</v>
      </c>
      <c r="L257" t="s">
        <v>18</v>
      </c>
      <c r="M257" t="s">
        <v>50</v>
      </c>
      <c r="N257">
        <f>SalesData[[#This Row],[Quantity_Sold]]*SalesData[[#This Row],[Unit_Cost]]</f>
        <v>30098.16</v>
      </c>
      <c r="O257">
        <f>SalesData[[#This Row],[Quantity_Sold]]*SalesData[[#This Row],[Unit_Price]]</f>
        <v>33335.599999999999</v>
      </c>
      <c r="P257">
        <f>SalesData[[#This Row],[Gross_sales]]*(1-SalesData[[#This Row],[Discount]])</f>
        <v>28001.903999999999</v>
      </c>
      <c r="Q257" s="2">
        <f>SalesData[[#This Row],[Sales_amount]]-SalesData[[#This Row],[Total_Cost]]</f>
        <v>-2096.2560000000012</v>
      </c>
      <c r="R257" s="2">
        <f>SalesData[[#This Row],[Profit]]/SalesData[[#This Row],[Sales_amount]]</f>
        <v>-7.4861195153015356E-2</v>
      </c>
      <c r="S257" s="2">
        <f>SalesData[[#This Row],[Unit_Price]]-SalesData[[#This Row],[Unit_Cost]]</f>
        <v>404.67999999999984</v>
      </c>
      <c r="T257" s="10">
        <f>SalesData[[#This Row],[Unit_Margin]]/SalesData[[#This Row],[Unit_Price]]</f>
        <v>9.7116596071467109E-2</v>
      </c>
      <c r="U257" s="2" t="str">
        <f>IF(SalesData[[#This Row],[Unit_Margin]]&lt;0, "Negative margin", "Positive margin")</f>
        <v>Positive margin</v>
      </c>
      <c r="V257" s="2" t="str">
        <f>IF(SalesData[[#This Row],[Profit]]&lt;0, "Loss", "Profit")</f>
        <v>Loss</v>
      </c>
      <c r="W257" s="2">
        <f>SalesData[[#This Row],[Unit_Price]]*(1-SalesData[[#This Row],[Discount]])</f>
        <v>3500.2379999999998</v>
      </c>
      <c r="X257" s="2">
        <f>SalesData[[#This Row],[Effective_Unit_Price]]-SalesData[[#This Row],[Unit_Cost]]</f>
        <v>-262.03200000000015</v>
      </c>
      <c r="Y257" s="2" t="str">
        <f>IF(SalesData[[#This Row],[Effective_Unit_Margin]]&lt;0,"Loss per Unit","Positive per Unit")</f>
        <v>Loss per Unit</v>
      </c>
    </row>
    <row r="258" spans="1:25" x14ac:dyDescent="0.3">
      <c r="A258">
        <v>1080</v>
      </c>
      <c r="B258" s="1">
        <v>44943</v>
      </c>
      <c r="C258" t="s">
        <v>13</v>
      </c>
      <c r="D258" t="s">
        <v>24</v>
      </c>
      <c r="E258">
        <v>47</v>
      </c>
      <c r="F258" t="s">
        <v>15</v>
      </c>
      <c r="G258">
        <v>4035.33</v>
      </c>
      <c r="H258">
        <v>4211.25</v>
      </c>
      <c r="I258" t="s">
        <v>16</v>
      </c>
      <c r="J258" s="2">
        <v>7.0000000000000007E-2</v>
      </c>
      <c r="K258" t="s">
        <v>26</v>
      </c>
      <c r="L258" t="s">
        <v>18</v>
      </c>
      <c r="M258" t="s">
        <v>31</v>
      </c>
      <c r="N258">
        <f>SalesData[[#This Row],[Quantity_Sold]]*SalesData[[#This Row],[Unit_Cost]]</f>
        <v>189660.51</v>
      </c>
      <c r="O258">
        <f>SalesData[[#This Row],[Quantity_Sold]]*SalesData[[#This Row],[Unit_Price]]</f>
        <v>197928.75</v>
      </c>
      <c r="P258">
        <f>SalesData[[#This Row],[Gross_sales]]*(1-SalesData[[#This Row],[Discount]])</f>
        <v>184073.73749999999</v>
      </c>
      <c r="Q258" s="2">
        <f>SalesData[[#This Row],[Sales_amount]]-SalesData[[#This Row],[Total_Cost]]</f>
        <v>-5586.772500000021</v>
      </c>
      <c r="R258" s="2">
        <f>SalesData[[#This Row],[Profit]]/SalesData[[#This Row],[Sales_amount]]</f>
        <v>-3.0350731048746273E-2</v>
      </c>
      <c r="S258" s="2">
        <f>SalesData[[#This Row],[Unit_Price]]-SalesData[[#This Row],[Unit_Cost]]</f>
        <v>175.92000000000007</v>
      </c>
      <c r="T258" s="10">
        <f>SalesData[[#This Row],[Unit_Margin]]/SalesData[[#This Row],[Unit_Price]]</f>
        <v>4.1773820124666093E-2</v>
      </c>
      <c r="U258" s="2" t="str">
        <f>IF(SalesData[[#This Row],[Unit_Margin]]&lt;0, "Negative margin", "Positive margin")</f>
        <v>Positive margin</v>
      </c>
      <c r="V258" s="2" t="str">
        <f>IF(SalesData[[#This Row],[Profit]]&lt;0, "Loss", "Profit")</f>
        <v>Loss</v>
      </c>
      <c r="W258" s="2">
        <f>SalesData[[#This Row],[Unit_Price]]*(1-SalesData[[#This Row],[Discount]])</f>
        <v>3916.4624999999996</v>
      </c>
      <c r="X258" s="2">
        <f>SalesData[[#This Row],[Effective_Unit_Price]]-SalesData[[#This Row],[Unit_Cost]]</f>
        <v>-118.86750000000029</v>
      </c>
      <c r="Y258" s="2" t="str">
        <f>IF(SalesData[[#This Row],[Effective_Unit_Margin]]&lt;0,"Loss per Unit","Positive per Unit")</f>
        <v>Loss per Unit</v>
      </c>
    </row>
    <row r="259" spans="1:25" x14ac:dyDescent="0.3">
      <c r="A259">
        <v>1093</v>
      </c>
      <c r="B259" s="1">
        <v>45054</v>
      </c>
      <c r="C259" t="s">
        <v>13</v>
      </c>
      <c r="D259" t="s">
        <v>33</v>
      </c>
      <c r="E259">
        <v>17</v>
      </c>
      <c r="F259" t="s">
        <v>15</v>
      </c>
      <c r="G259">
        <v>727.38</v>
      </c>
      <c r="H259">
        <v>764.54</v>
      </c>
      <c r="I259" t="s">
        <v>16</v>
      </c>
      <c r="J259" s="2">
        <v>0.17</v>
      </c>
      <c r="K259" t="s">
        <v>30</v>
      </c>
      <c r="L259" t="s">
        <v>21</v>
      </c>
      <c r="M259" t="s">
        <v>45</v>
      </c>
      <c r="N259">
        <f>SalesData[[#This Row],[Quantity_Sold]]*SalesData[[#This Row],[Unit_Cost]]</f>
        <v>12365.46</v>
      </c>
      <c r="O259">
        <f>SalesData[[#This Row],[Quantity_Sold]]*SalesData[[#This Row],[Unit_Price]]</f>
        <v>12997.18</v>
      </c>
      <c r="P259">
        <f>SalesData[[#This Row],[Gross_sales]]*(1-SalesData[[#This Row],[Discount]])</f>
        <v>10787.6594</v>
      </c>
      <c r="Q259" s="2">
        <f>SalesData[[#This Row],[Sales_amount]]-SalesData[[#This Row],[Total_Cost]]</f>
        <v>-1577.8005999999987</v>
      </c>
      <c r="R259" s="2">
        <f>SalesData[[#This Row],[Profit]]/SalesData[[#This Row],[Sales_amount]]</f>
        <v>-0.14625977160532141</v>
      </c>
      <c r="S259" s="2">
        <f>SalesData[[#This Row],[Unit_Price]]-SalesData[[#This Row],[Unit_Cost]]</f>
        <v>37.159999999999968</v>
      </c>
      <c r="T259" s="10">
        <f>SalesData[[#This Row],[Unit_Margin]]/SalesData[[#This Row],[Unit_Price]]</f>
        <v>4.8604389567583083E-2</v>
      </c>
      <c r="U259" s="2" t="str">
        <f>IF(SalesData[[#This Row],[Unit_Margin]]&lt;0, "Negative margin", "Positive margin")</f>
        <v>Positive margin</v>
      </c>
      <c r="V259" s="2" t="str">
        <f>IF(SalesData[[#This Row],[Profit]]&lt;0, "Loss", "Profit")</f>
        <v>Loss</v>
      </c>
      <c r="W259" s="2">
        <f>SalesData[[#This Row],[Unit_Price]]*(1-SalesData[[#This Row],[Discount]])</f>
        <v>634.56819999999993</v>
      </c>
      <c r="X259" s="2">
        <f>SalesData[[#This Row],[Effective_Unit_Price]]-SalesData[[#This Row],[Unit_Cost]]</f>
        <v>-92.811800000000062</v>
      </c>
      <c r="Y259" s="2" t="str">
        <f>IF(SalesData[[#This Row],[Effective_Unit_Margin]]&lt;0,"Loss per Unit","Positive per Unit")</f>
        <v>Loss per Unit</v>
      </c>
    </row>
    <row r="260" spans="1:25" x14ac:dyDescent="0.3">
      <c r="A260">
        <v>1003</v>
      </c>
      <c r="B260" s="1">
        <v>45290</v>
      </c>
      <c r="C260" t="s">
        <v>41</v>
      </c>
      <c r="D260" t="s">
        <v>33</v>
      </c>
      <c r="E260">
        <v>17</v>
      </c>
      <c r="F260" t="s">
        <v>15</v>
      </c>
      <c r="G260">
        <v>395.11</v>
      </c>
      <c r="H260">
        <v>676.66</v>
      </c>
      <c r="I260" t="s">
        <v>16</v>
      </c>
      <c r="J260" s="2">
        <v>0.25</v>
      </c>
      <c r="K260" t="s">
        <v>17</v>
      </c>
      <c r="L260" t="s">
        <v>21</v>
      </c>
      <c r="M260" t="s">
        <v>51</v>
      </c>
      <c r="N260">
        <f>SalesData[[#This Row],[Quantity_Sold]]*SalesData[[#This Row],[Unit_Cost]]</f>
        <v>6716.87</v>
      </c>
      <c r="O260">
        <f>SalesData[[#This Row],[Quantity_Sold]]*SalesData[[#This Row],[Unit_Price]]</f>
        <v>11503.22</v>
      </c>
      <c r="P260">
        <f>SalesData[[#This Row],[Gross_sales]]*(1-SalesData[[#This Row],[Discount]])</f>
        <v>8627.4149999999991</v>
      </c>
      <c r="Q260" s="2">
        <f>SalesData[[#This Row],[Sales_amount]]-SalesData[[#This Row],[Total_Cost]]</f>
        <v>1910.5449999999992</v>
      </c>
      <c r="R260" s="2">
        <f>SalesData[[#This Row],[Profit]]/SalesData[[#This Row],[Sales_amount]]</f>
        <v>0.22145045763997667</v>
      </c>
      <c r="S260" s="2">
        <f>SalesData[[#This Row],[Unit_Price]]-SalesData[[#This Row],[Unit_Cost]]</f>
        <v>281.54999999999995</v>
      </c>
      <c r="T260" s="10">
        <f>SalesData[[#This Row],[Unit_Margin]]/SalesData[[#This Row],[Unit_Price]]</f>
        <v>0.41608784322998249</v>
      </c>
      <c r="U260" s="2" t="str">
        <f>IF(SalesData[[#This Row],[Unit_Margin]]&lt;0, "Negative margin", "Positive margin")</f>
        <v>Positive margin</v>
      </c>
      <c r="V260" s="2" t="str">
        <f>IF(SalesData[[#This Row],[Profit]]&lt;0, "Loss", "Profit")</f>
        <v>Profit</v>
      </c>
      <c r="W260" s="2">
        <f>SalesData[[#This Row],[Unit_Price]]*(1-SalesData[[#This Row],[Discount]])</f>
        <v>507.495</v>
      </c>
      <c r="X260" s="2">
        <f>SalesData[[#This Row],[Effective_Unit_Price]]-SalesData[[#This Row],[Unit_Cost]]</f>
        <v>112.38499999999999</v>
      </c>
      <c r="Y260" s="2" t="str">
        <f>IF(SalesData[[#This Row],[Effective_Unit_Margin]]&lt;0,"Loss per Unit","Positive per Unit")</f>
        <v>Positive per Unit</v>
      </c>
    </row>
    <row r="261" spans="1:25" x14ac:dyDescent="0.3">
      <c r="A261">
        <v>1020</v>
      </c>
      <c r="B261" s="1">
        <v>45177</v>
      </c>
      <c r="C261" t="s">
        <v>37</v>
      </c>
      <c r="D261" t="s">
        <v>14</v>
      </c>
      <c r="E261">
        <v>26</v>
      </c>
      <c r="F261" t="s">
        <v>28</v>
      </c>
      <c r="G261">
        <v>4472.3500000000004</v>
      </c>
      <c r="H261">
        <v>4770.42</v>
      </c>
      <c r="I261" t="s">
        <v>29</v>
      </c>
      <c r="J261" s="2">
        <v>0.01</v>
      </c>
      <c r="K261" t="s">
        <v>30</v>
      </c>
      <c r="L261" t="s">
        <v>21</v>
      </c>
      <c r="M261" t="s">
        <v>39</v>
      </c>
      <c r="N261">
        <f>SalesData[[#This Row],[Quantity_Sold]]*SalesData[[#This Row],[Unit_Cost]]</f>
        <v>116281.1</v>
      </c>
      <c r="O261">
        <f>SalesData[[#This Row],[Quantity_Sold]]*SalesData[[#This Row],[Unit_Price]]</f>
        <v>124030.92</v>
      </c>
      <c r="P261">
        <f>SalesData[[#This Row],[Gross_sales]]*(1-SalesData[[#This Row],[Discount]])</f>
        <v>122790.61079999999</v>
      </c>
      <c r="Q261" s="2">
        <f>SalesData[[#This Row],[Sales_amount]]-SalesData[[#This Row],[Total_Cost]]</f>
        <v>6509.5107999999891</v>
      </c>
      <c r="R261" s="2">
        <f>SalesData[[#This Row],[Profit]]/SalesData[[#This Row],[Sales_amount]]</f>
        <v>5.3013098946161359E-2</v>
      </c>
      <c r="S261" s="2">
        <f>SalesData[[#This Row],[Unit_Price]]-SalesData[[#This Row],[Unit_Cost]]</f>
        <v>298.06999999999971</v>
      </c>
      <c r="T261" s="10">
        <f>SalesData[[#This Row],[Unit_Margin]]/SalesData[[#This Row],[Unit_Price]]</f>
        <v>6.2482967956699768E-2</v>
      </c>
      <c r="U261" s="2" t="str">
        <f>IF(SalesData[[#This Row],[Unit_Margin]]&lt;0, "Negative margin", "Positive margin")</f>
        <v>Positive margin</v>
      </c>
      <c r="V261" s="2" t="str">
        <f>IF(SalesData[[#This Row],[Profit]]&lt;0, "Loss", "Profit")</f>
        <v>Profit</v>
      </c>
      <c r="W261" s="2">
        <f>SalesData[[#This Row],[Unit_Price]]*(1-SalesData[[#This Row],[Discount]])</f>
        <v>4722.7157999999999</v>
      </c>
      <c r="X261" s="2">
        <f>SalesData[[#This Row],[Effective_Unit_Price]]-SalesData[[#This Row],[Unit_Cost]]</f>
        <v>250.36579999999958</v>
      </c>
      <c r="Y261" s="2" t="str">
        <f>IF(SalesData[[#This Row],[Effective_Unit_Margin]]&lt;0,"Loss per Unit","Positive per Unit")</f>
        <v>Positive per Unit</v>
      </c>
    </row>
    <row r="262" spans="1:25" x14ac:dyDescent="0.3">
      <c r="A262">
        <v>1059</v>
      </c>
      <c r="B262" s="1">
        <v>45105</v>
      </c>
      <c r="C262" t="s">
        <v>13</v>
      </c>
      <c r="D262" t="s">
        <v>14</v>
      </c>
      <c r="E262">
        <v>13</v>
      </c>
      <c r="F262" t="s">
        <v>34</v>
      </c>
      <c r="G262">
        <v>1969.78</v>
      </c>
      <c r="H262">
        <v>2437.6999999999998</v>
      </c>
      <c r="I262" t="s">
        <v>29</v>
      </c>
      <c r="J262" s="2">
        <v>0.19</v>
      </c>
      <c r="K262" t="s">
        <v>30</v>
      </c>
      <c r="L262" t="s">
        <v>21</v>
      </c>
      <c r="M262" t="s">
        <v>19</v>
      </c>
      <c r="N262">
        <f>SalesData[[#This Row],[Quantity_Sold]]*SalesData[[#This Row],[Unit_Cost]]</f>
        <v>25607.14</v>
      </c>
      <c r="O262">
        <f>SalesData[[#This Row],[Quantity_Sold]]*SalesData[[#This Row],[Unit_Price]]</f>
        <v>31690.1</v>
      </c>
      <c r="P262">
        <f>SalesData[[#This Row],[Gross_sales]]*(1-SalesData[[#This Row],[Discount]])</f>
        <v>25668.981</v>
      </c>
      <c r="Q262" s="2">
        <f>SalesData[[#This Row],[Sales_amount]]-SalesData[[#This Row],[Total_Cost]]</f>
        <v>61.841000000000349</v>
      </c>
      <c r="R262" s="2">
        <f>SalesData[[#This Row],[Profit]]/SalesData[[#This Row],[Sales_amount]]</f>
        <v>2.4091723781322037E-3</v>
      </c>
      <c r="S262" s="2">
        <f>SalesData[[#This Row],[Unit_Price]]-SalesData[[#This Row],[Unit_Cost]]</f>
        <v>467.91999999999985</v>
      </c>
      <c r="T262" s="10">
        <f>SalesData[[#This Row],[Unit_Margin]]/SalesData[[#This Row],[Unit_Price]]</f>
        <v>0.19195142962628703</v>
      </c>
      <c r="U262" s="2" t="str">
        <f>IF(SalesData[[#This Row],[Unit_Margin]]&lt;0, "Negative margin", "Positive margin")</f>
        <v>Positive margin</v>
      </c>
      <c r="V262" s="2" t="str">
        <f>IF(SalesData[[#This Row],[Profit]]&lt;0, "Loss", "Profit")</f>
        <v>Profit</v>
      </c>
      <c r="W262" s="2">
        <f>SalesData[[#This Row],[Unit_Price]]*(1-SalesData[[#This Row],[Discount]])</f>
        <v>1974.537</v>
      </c>
      <c r="X262" s="2">
        <f>SalesData[[#This Row],[Effective_Unit_Price]]-SalesData[[#This Row],[Unit_Cost]]</f>
        <v>4.7570000000000618</v>
      </c>
      <c r="Y262" s="2" t="str">
        <f>IF(SalesData[[#This Row],[Effective_Unit_Margin]]&lt;0,"Loss per Unit","Positive per Unit")</f>
        <v>Positive per Unit</v>
      </c>
    </row>
    <row r="263" spans="1:25" x14ac:dyDescent="0.3">
      <c r="A263">
        <v>1036</v>
      </c>
      <c r="B263" s="1">
        <v>45108</v>
      </c>
      <c r="C263" t="s">
        <v>41</v>
      </c>
      <c r="D263" t="s">
        <v>20</v>
      </c>
      <c r="E263">
        <v>17</v>
      </c>
      <c r="F263" t="s">
        <v>15</v>
      </c>
      <c r="G263">
        <v>1475</v>
      </c>
      <c r="H263">
        <v>1840.77</v>
      </c>
      <c r="I263" t="s">
        <v>16</v>
      </c>
      <c r="J263" s="2">
        <v>0.1</v>
      </c>
      <c r="K263" t="s">
        <v>30</v>
      </c>
      <c r="L263" t="s">
        <v>18</v>
      </c>
      <c r="M263" t="s">
        <v>50</v>
      </c>
      <c r="N263">
        <f>SalesData[[#This Row],[Quantity_Sold]]*SalesData[[#This Row],[Unit_Cost]]</f>
        <v>25075</v>
      </c>
      <c r="O263">
        <f>SalesData[[#This Row],[Quantity_Sold]]*SalesData[[#This Row],[Unit_Price]]</f>
        <v>31293.09</v>
      </c>
      <c r="P263">
        <f>SalesData[[#This Row],[Gross_sales]]*(1-SalesData[[#This Row],[Discount]])</f>
        <v>28163.780999999999</v>
      </c>
      <c r="Q263" s="2">
        <f>SalesData[[#This Row],[Sales_amount]]-SalesData[[#This Row],[Total_Cost]]</f>
        <v>3088.780999999999</v>
      </c>
      <c r="R263" s="2">
        <f>SalesData[[#This Row],[Profit]]/SalesData[[#This Row],[Sales_amount]]</f>
        <v>0.10967209977950046</v>
      </c>
      <c r="S263" s="2">
        <f>SalesData[[#This Row],[Unit_Price]]-SalesData[[#This Row],[Unit_Cost]]</f>
        <v>365.77</v>
      </c>
      <c r="T263" s="10">
        <f>SalesData[[#This Row],[Unit_Margin]]/SalesData[[#This Row],[Unit_Price]]</f>
        <v>0.19870488980155043</v>
      </c>
      <c r="U263" s="2" t="str">
        <f>IF(SalesData[[#This Row],[Unit_Margin]]&lt;0, "Negative margin", "Positive margin")</f>
        <v>Positive margin</v>
      </c>
      <c r="V263" s="2" t="str">
        <f>IF(SalesData[[#This Row],[Profit]]&lt;0, "Loss", "Profit")</f>
        <v>Profit</v>
      </c>
      <c r="W263" s="2">
        <f>SalesData[[#This Row],[Unit_Price]]*(1-SalesData[[#This Row],[Discount]])</f>
        <v>1656.693</v>
      </c>
      <c r="X263" s="2">
        <f>SalesData[[#This Row],[Effective_Unit_Price]]-SalesData[[#This Row],[Unit_Cost]]</f>
        <v>181.69299999999998</v>
      </c>
      <c r="Y263" s="2" t="str">
        <f>IF(SalesData[[#This Row],[Effective_Unit_Margin]]&lt;0,"Loss per Unit","Positive per Unit")</f>
        <v>Positive per Unit</v>
      </c>
    </row>
    <row r="264" spans="1:25" x14ac:dyDescent="0.3">
      <c r="A264">
        <v>1019</v>
      </c>
      <c r="B264" s="1">
        <v>45078</v>
      </c>
      <c r="C264" t="s">
        <v>13</v>
      </c>
      <c r="D264" t="s">
        <v>33</v>
      </c>
      <c r="E264">
        <v>38</v>
      </c>
      <c r="F264" t="s">
        <v>28</v>
      </c>
      <c r="G264">
        <v>3637.25</v>
      </c>
      <c r="H264">
        <v>4096.96</v>
      </c>
      <c r="I264" t="s">
        <v>16</v>
      </c>
      <c r="J264" s="2">
        <v>0.09</v>
      </c>
      <c r="K264" t="s">
        <v>26</v>
      </c>
      <c r="L264" t="s">
        <v>18</v>
      </c>
      <c r="M264" t="s">
        <v>45</v>
      </c>
      <c r="N264">
        <f>SalesData[[#This Row],[Quantity_Sold]]*SalesData[[#This Row],[Unit_Cost]]</f>
        <v>138215.5</v>
      </c>
      <c r="O264">
        <f>SalesData[[#This Row],[Quantity_Sold]]*SalesData[[#This Row],[Unit_Price]]</f>
        <v>155684.48000000001</v>
      </c>
      <c r="P264">
        <f>SalesData[[#This Row],[Gross_sales]]*(1-SalesData[[#This Row],[Discount]])</f>
        <v>141672.87680000003</v>
      </c>
      <c r="Q264" s="2">
        <f>SalesData[[#This Row],[Sales_amount]]-SalesData[[#This Row],[Total_Cost]]</f>
        <v>3457.3768000000273</v>
      </c>
      <c r="R264" s="2">
        <f>SalesData[[#This Row],[Profit]]/SalesData[[#This Row],[Sales_amount]]</f>
        <v>2.4403942928898206E-2</v>
      </c>
      <c r="S264" s="2">
        <f>SalesData[[#This Row],[Unit_Price]]-SalesData[[#This Row],[Unit_Cost]]</f>
        <v>459.71000000000004</v>
      </c>
      <c r="T264" s="10">
        <f>SalesData[[#This Row],[Unit_Margin]]/SalesData[[#This Row],[Unit_Price]]</f>
        <v>0.11220758806529721</v>
      </c>
      <c r="U264" s="2" t="str">
        <f>IF(SalesData[[#This Row],[Unit_Margin]]&lt;0, "Negative margin", "Positive margin")</f>
        <v>Positive margin</v>
      </c>
      <c r="V264" s="2" t="str">
        <f>IF(SalesData[[#This Row],[Profit]]&lt;0, "Loss", "Profit")</f>
        <v>Profit</v>
      </c>
      <c r="W264" s="2">
        <f>SalesData[[#This Row],[Unit_Price]]*(1-SalesData[[#This Row],[Discount]])</f>
        <v>3728.2336</v>
      </c>
      <c r="X264" s="2">
        <f>SalesData[[#This Row],[Effective_Unit_Price]]-SalesData[[#This Row],[Unit_Cost]]</f>
        <v>90.983600000000024</v>
      </c>
      <c r="Y264" s="2" t="str">
        <f>IF(SalesData[[#This Row],[Effective_Unit_Margin]]&lt;0,"Loss per Unit","Positive per Unit")</f>
        <v>Positive per Unit</v>
      </c>
    </row>
    <row r="265" spans="1:25" x14ac:dyDescent="0.3">
      <c r="A265">
        <v>1090</v>
      </c>
      <c r="B265" s="1">
        <v>44951</v>
      </c>
      <c r="C265" t="s">
        <v>32</v>
      </c>
      <c r="D265" t="s">
        <v>24</v>
      </c>
      <c r="E265">
        <v>17</v>
      </c>
      <c r="F265" t="s">
        <v>28</v>
      </c>
      <c r="G265">
        <v>4190.26</v>
      </c>
      <c r="H265">
        <v>4645.3500000000004</v>
      </c>
      <c r="I265" t="s">
        <v>29</v>
      </c>
      <c r="J265" s="2">
        <v>0.12</v>
      </c>
      <c r="K265" t="s">
        <v>30</v>
      </c>
      <c r="L265" t="s">
        <v>21</v>
      </c>
      <c r="M265" t="s">
        <v>43</v>
      </c>
      <c r="N265">
        <f>SalesData[[#This Row],[Quantity_Sold]]*SalesData[[#This Row],[Unit_Cost]]</f>
        <v>71234.42</v>
      </c>
      <c r="O265">
        <f>SalesData[[#This Row],[Quantity_Sold]]*SalesData[[#This Row],[Unit_Price]]</f>
        <v>78970.950000000012</v>
      </c>
      <c r="P265">
        <f>SalesData[[#This Row],[Gross_sales]]*(1-SalesData[[#This Row],[Discount]])</f>
        <v>69494.436000000016</v>
      </c>
      <c r="Q265" s="2">
        <f>SalesData[[#This Row],[Sales_amount]]-SalesData[[#This Row],[Total_Cost]]</f>
        <v>-1739.9839999999822</v>
      </c>
      <c r="R265" s="2">
        <f>SalesData[[#This Row],[Profit]]/SalesData[[#This Row],[Sales_amount]]</f>
        <v>-2.5037745467852732E-2</v>
      </c>
      <c r="S265" s="2">
        <f>SalesData[[#This Row],[Unit_Price]]-SalesData[[#This Row],[Unit_Cost]]</f>
        <v>455.09000000000015</v>
      </c>
      <c r="T265" s="10">
        <f>SalesData[[#This Row],[Unit_Margin]]/SalesData[[#This Row],[Unit_Price]]</f>
        <v>9.7966783988289383E-2</v>
      </c>
      <c r="U265" s="2" t="str">
        <f>IF(SalesData[[#This Row],[Unit_Margin]]&lt;0, "Negative margin", "Positive margin")</f>
        <v>Positive margin</v>
      </c>
      <c r="V265" s="2" t="str">
        <f>IF(SalesData[[#This Row],[Profit]]&lt;0, "Loss", "Profit")</f>
        <v>Loss</v>
      </c>
      <c r="W265" s="2">
        <f>SalesData[[#This Row],[Unit_Price]]*(1-SalesData[[#This Row],[Discount]])</f>
        <v>4087.9080000000004</v>
      </c>
      <c r="X265" s="2">
        <f>SalesData[[#This Row],[Effective_Unit_Price]]-SalesData[[#This Row],[Unit_Cost]]</f>
        <v>-102.35199999999986</v>
      </c>
      <c r="Y265" s="2" t="str">
        <f>IF(SalesData[[#This Row],[Effective_Unit_Margin]]&lt;0,"Loss per Unit","Positive per Unit")</f>
        <v>Loss per Unit</v>
      </c>
    </row>
    <row r="266" spans="1:25" x14ac:dyDescent="0.3">
      <c r="A266">
        <v>1067</v>
      </c>
      <c r="B266" s="1">
        <v>45106</v>
      </c>
      <c r="C266" t="s">
        <v>37</v>
      </c>
      <c r="D266" t="s">
        <v>24</v>
      </c>
      <c r="E266">
        <v>48</v>
      </c>
      <c r="F266" t="s">
        <v>25</v>
      </c>
      <c r="G266">
        <v>4319.32</v>
      </c>
      <c r="H266">
        <v>4625.5599999999904</v>
      </c>
      <c r="I266" t="s">
        <v>16</v>
      </c>
      <c r="J266" s="2">
        <v>0.1</v>
      </c>
      <c r="K266" t="s">
        <v>26</v>
      </c>
      <c r="L266" t="s">
        <v>18</v>
      </c>
      <c r="M266" t="s">
        <v>38</v>
      </c>
      <c r="N266">
        <f>SalesData[[#This Row],[Quantity_Sold]]*SalesData[[#This Row],[Unit_Cost]]</f>
        <v>207327.35999999999</v>
      </c>
      <c r="O266">
        <f>SalesData[[#This Row],[Quantity_Sold]]*SalesData[[#This Row],[Unit_Price]]</f>
        <v>222026.87999999954</v>
      </c>
      <c r="P266">
        <f>SalesData[[#This Row],[Gross_sales]]*(1-SalesData[[#This Row],[Discount]])</f>
        <v>199824.1919999996</v>
      </c>
      <c r="Q266" s="2">
        <f>SalesData[[#This Row],[Sales_amount]]-SalesData[[#This Row],[Total_Cost]]</f>
        <v>-7503.1680000003835</v>
      </c>
      <c r="R266" s="2">
        <f>SalesData[[#This Row],[Profit]]/SalesData[[#This Row],[Sales_amount]]</f>
        <v>-3.7548846938414739E-2</v>
      </c>
      <c r="S266" s="2">
        <f>SalesData[[#This Row],[Unit_Price]]-SalesData[[#This Row],[Unit_Cost]]</f>
        <v>306.23999999999069</v>
      </c>
      <c r="T266" s="10">
        <f>SalesData[[#This Row],[Unit_Margin]]/SalesData[[#This Row],[Unit_Price]]</f>
        <v>6.6206037755426661E-2</v>
      </c>
      <c r="U266" s="2" t="str">
        <f>IF(SalesData[[#This Row],[Unit_Margin]]&lt;0, "Negative margin", "Positive margin")</f>
        <v>Positive margin</v>
      </c>
      <c r="V266" s="2" t="str">
        <f>IF(SalesData[[#This Row],[Profit]]&lt;0, "Loss", "Profit")</f>
        <v>Loss</v>
      </c>
      <c r="W266" s="2">
        <f>SalesData[[#This Row],[Unit_Price]]*(1-SalesData[[#This Row],[Discount]])</f>
        <v>4163.0039999999917</v>
      </c>
      <c r="X266" s="2">
        <f>SalesData[[#This Row],[Effective_Unit_Price]]-SalesData[[#This Row],[Unit_Cost]]</f>
        <v>-156.31600000000799</v>
      </c>
      <c r="Y266" s="2" t="str">
        <f>IF(SalesData[[#This Row],[Effective_Unit_Margin]]&lt;0,"Loss per Unit","Positive per Unit")</f>
        <v>Loss per Unit</v>
      </c>
    </row>
    <row r="267" spans="1:25" x14ac:dyDescent="0.3">
      <c r="A267">
        <v>1019</v>
      </c>
      <c r="B267" s="1">
        <v>45124</v>
      </c>
      <c r="C267" t="s">
        <v>23</v>
      </c>
      <c r="D267" t="s">
        <v>24</v>
      </c>
      <c r="E267">
        <v>14</v>
      </c>
      <c r="F267" t="s">
        <v>28</v>
      </c>
      <c r="G267">
        <v>1614.19</v>
      </c>
      <c r="H267">
        <v>1882.79</v>
      </c>
      <c r="I267" t="s">
        <v>29</v>
      </c>
      <c r="J267" s="2">
        <v>0.25</v>
      </c>
      <c r="K267" t="s">
        <v>30</v>
      </c>
      <c r="L267" t="s">
        <v>21</v>
      </c>
      <c r="M267" t="s">
        <v>27</v>
      </c>
      <c r="N267">
        <f>SalesData[[#This Row],[Quantity_Sold]]*SalesData[[#This Row],[Unit_Cost]]</f>
        <v>22598.66</v>
      </c>
      <c r="O267">
        <f>SalesData[[#This Row],[Quantity_Sold]]*SalesData[[#This Row],[Unit_Price]]</f>
        <v>26359.059999999998</v>
      </c>
      <c r="P267">
        <f>SalesData[[#This Row],[Gross_sales]]*(1-SalesData[[#This Row],[Discount]])</f>
        <v>19769.294999999998</v>
      </c>
      <c r="Q267" s="2">
        <f>SalesData[[#This Row],[Sales_amount]]-SalesData[[#This Row],[Total_Cost]]</f>
        <v>-2829.3650000000016</v>
      </c>
      <c r="R267" s="2">
        <f>SalesData[[#This Row],[Profit]]/SalesData[[#This Row],[Sales_amount]]</f>
        <v>-0.14311916535212824</v>
      </c>
      <c r="S267" s="2">
        <f>SalesData[[#This Row],[Unit_Price]]-SalesData[[#This Row],[Unit_Cost]]</f>
        <v>268.59999999999991</v>
      </c>
      <c r="T267" s="10">
        <f>SalesData[[#This Row],[Unit_Margin]]/SalesData[[#This Row],[Unit_Price]]</f>
        <v>0.14266062598590384</v>
      </c>
      <c r="U267" s="2" t="str">
        <f>IF(SalesData[[#This Row],[Unit_Margin]]&lt;0, "Negative margin", "Positive margin")</f>
        <v>Positive margin</v>
      </c>
      <c r="V267" s="2" t="str">
        <f>IF(SalesData[[#This Row],[Profit]]&lt;0, "Loss", "Profit")</f>
        <v>Loss</v>
      </c>
      <c r="W267" s="2">
        <f>SalesData[[#This Row],[Unit_Price]]*(1-SalesData[[#This Row],[Discount]])</f>
        <v>1412.0925</v>
      </c>
      <c r="X267" s="2">
        <f>SalesData[[#This Row],[Effective_Unit_Price]]-SalesData[[#This Row],[Unit_Cost]]</f>
        <v>-202.09750000000008</v>
      </c>
      <c r="Y267" s="2" t="str">
        <f>IF(SalesData[[#This Row],[Effective_Unit_Margin]]&lt;0,"Loss per Unit","Positive per Unit")</f>
        <v>Loss per Unit</v>
      </c>
    </row>
    <row r="268" spans="1:25" x14ac:dyDescent="0.3">
      <c r="A268">
        <v>1020</v>
      </c>
      <c r="B268" s="1">
        <v>45270</v>
      </c>
      <c r="C268" t="s">
        <v>13</v>
      </c>
      <c r="D268" t="s">
        <v>14</v>
      </c>
      <c r="E268">
        <v>45</v>
      </c>
      <c r="F268" t="s">
        <v>34</v>
      </c>
      <c r="G268">
        <v>4268.45</v>
      </c>
      <c r="H268">
        <v>4551.5999999999904</v>
      </c>
      <c r="I268" t="s">
        <v>29</v>
      </c>
      <c r="J268" s="2">
        <v>0.08</v>
      </c>
      <c r="K268" t="s">
        <v>26</v>
      </c>
      <c r="L268" t="s">
        <v>18</v>
      </c>
      <c r="M268" t="s">
        <v>19</v>
      </c>
      <c r="N268">
        <f>SalesData[[#This Row],[Quantity_Sold]]*SalesData[[#This Row],[Unit_Cost]]</f>
        <v>192080.25</v>
      </c>
      <c r="O268">
        <f>SalesData[[#This Row],[Quantity_Sold]]*SalesData[[#This Row],[Unit_Price]]</f>
        <v>204821.99999999956</v>
      </c>
      <c r="P268">
        <f>SalesData[[#This Row],[Gross_sales]]*(1-SalesData[[#This Row],[Discount]])</f>
        <v>188436.23999999961</v>
      </c>
      <c r="Q268" s="2">
        <f>SalesData[[#This Row],[Sales_amount]]-SalesData[[#This Row],[Total_Cost]]</f>
        <v>-3644.0100000003877</v>
      </c>
      <c r="R268" s="2">
        <f>SalesData[[#This Row],[Profit]]/SalesData[[#This Row],[Sales_amount]]</f>
        <v>-1.93381591566484E-2</v>
      </c>
      <c r="S268" s="2">
        <f>SalesData[[#This Row],[Unit_Price]]-SalesData[[#This Row],[Unit_Cost]]</f>
        <v>283.14999999999054</v>
      </c>
      <c r="T268" s="10">
        <f>SalesData[[#This Row],[Unit_Margin]]/SalesData[[#This Row],[Unit_Price]]</f>
        <v>6.2208893575883453E-2</v>
      </c>
      <c r="U268" s="2" t="str">
        <f>IF(SalesData[[#This Row],[Unit_Margin]]&lt;0, "Negative margin", "Positive margin")</f>
        <v>Positive margin</v>
      </c>
      <c r="V268" s="2" t="str">
        <f>IF(SalesData[[#This Row],[Profit]]&lt;0, "Loss", "Profit")</f>
        <v>Loss</v>
      </c>
      <c r="W268" s="2">
        <f>SalesData[[#This Row],[Unit_Price]]*(1-SalesData[[#This Row],[Discount]])</f>
        <v>4187.4719999999916</v>
      </c>
      <c r="X268" s="2">
        <f>SalesData[[#This Row],[Effective_Unit_Price]]-SalesData[[#This Row],[Unit_Cost]]</f>
        <v>-80.978000000008251</v>
      </c>
      <c r="Y268" s="2" t="str">
        <f>IF(SalesData[[#This Row],[Effective_Unit_Margin]]&lt;0,"Loss per Unit","Positive per Unit")</f>
        <v>Loss per Unit</v>
      </c>
    </row>
    <row r="269" spans="1:25" x14ac:dyDescent="0.3">
      <c r="A269">
        <v>1096</v>
      </c>
      <c r="B269" s="1">
        <v>45087</v>
      </c>
      <c r="C269" t="s">
        <v>32</v>
      </c>
      <c r="D269" t="s">
        <v>24</v>
      </c>
      <c r="E269">
        <v>6</v>
      </c>
      <c r="F269" t="s">
        <v>15</v>
      </c>
      <c r="G269">
        <v>252.62</v>
      </c>
      <c r="H269">
        <v>742</v>
      </c>
      <c r="I269" t="s">
        <v>29</v>
      </c>
      <c r="J269" s="2">
        <v>0.22</v>
      </c>
      <c r="K269" t="s">
        <v>30</v>
      </c>
      <c r="L269" t="s">
        <v>21</v>
      </c>
      <c r="M269" t="s">
        <v>43</v>
      </c>
      <c r="N269">
        <f>SalesData[[#This Row],[Quantity_Sold]]*SalesData[[#This Row],[Unit_Cost]]</f>
        <v>1515.72</v>
      </c>
      <c r="O269">
        <f>SalesData[[#This Row],[Quantity_Sold]]*SalesData[[#This Row],[Unit_Price]]</f>
        <v>4452</v>
      </c>
      <c r="P269">
        <f>SalesData[[#This Row],[Gross_sales]]*(1-SalesData[[#This Row],[Discount]])</f>
        <v>3472.56</v>
      </c>
      <c r="Q269" s="2">
        <f>SalesData[[#This Row],[Sales_amount]]-SalesData[[#This Row],[Total_Cost]]</f>
        <v>1956.84</v>
      </c>
      <c r="R269" s="2">
        <f>SalesData[[#This Row],[Profit]]/SalesData[[#This Row],[Sales_amount]]</f>
        <v>0.56351510125095028</v>
      </c>
      <c r="S269" s="2">
        <f>SalesData[[#This Row],[Unit_Price]]-SalesData[[#This Row],[Unit_Cost]]</f>
        <v>489.38</v>
      </c>
      <c r="T269" s="10">
        <f>SalesData[[#This Row],[Unit_Margin]]/SalesData[[#This Row],[Unit_Price]]</f>
        <v>0.65954177897574129</v>
      </c>
      <c r="U269" s="2" t="str">
        <f>IF(SalesData[[#This Row],[Unit_Margin]]&lt;0, "Negative margin", "Positive margin")</f>
        <v>Positive margin</v>
      </c>
      <c r="V269" s="2" t="str">
        <f>IF(SalesData[[#This Row],[Profit]]&lt;0, "Loss", "Profit")</f>
        <v>Profit</v>
      </c>
      <c r="W269" s="2">
        <f>SalesData[[#This Row],[Unit_Price]]*(1-SalesData[[#This Row],[Discount]])</f>
        <v>578.76</v>
      </c>
      <c r="X269" s="2">
        <f>SalesData[[#This Row],[Effective_Unit_Price]]-SalesData[[#This Row],[Unit_Cost]]</f>
        <v>326.14</v>
      </c>
      <c r="Y269" s="2" t="str">
        <f>IF(SalesData[[#This Row],[Effective_Unit_Margin]]&lt;0,"Loss per Unit","Positive per Unit")</f>
        <v>Positive per Unit</v>
      </c>
    </row>
    <row r="270" spans="1:25" x14ac:dyDescent="0.3">
      <c r="A270">
        <v>1071</v>
      </c>
      <c r="B270" s="1">
        <v>45103</v>
      </c>
      <c r="C270" t="s">
        <v>23</v>
      </c>
      <c r="D270" t="s">
        <v>14</v>
      </c>
      <c r="E270">
        <v>35</v>
      </c>
      <c r="F270" t="s">
        <v>28</v>
      </c>
      <c r="G270">
        <v>295.82</v>
      </c>
      <c r="H270">
        <v>684.67</v>
      </c>
      <c r="I270" t="s">
        <v>29</v>
      </c>
      <c r="J270" s="2">
        <v>0.03</v>
      </c>
      <c r="K270" t="s">
        <v>30</v>
      </c>
      <c r="L270" t="s">
        <v>18</v>
      </c>
      <c r="M270" t="s">
        <v>44</v>
      </c>
      <c r="N270">
        <f>SalesData[[#This Row],[Quantity_Sold]]*SalesData[[#This Row],[Unit_Cost]]</f>
        <v>10353.699999999999</v>
      </c>
      <c r="O270">
        <f>SalesData[[#This Row],[Quantity_Sold]]*SalesData[[#This Row],[Unit_Price]]</f>
        <v>23963.449999999997</v>
      </c>
      <c r="P270">
        <f>SalesData[[#This Row],[Gross_sales]]*(1-SalesData[[#This Row],[Discount]])</f>
        <v>23244.546499999997</v>
      </c>
      <c r="Q270" s="2">
        <f>SalesData[[#This Row],[Sales_amount]]-SalesData[[#This Row],[Total_Cost]]</f>
        <v>12890.846499999998</v>
      </c>
      <c r="R270" s="2">
        <f>SalesData[[#This Row],[Profit]]/SalesData[[#This Row],[Sales_amount]]</f>
        <v>0.55457509140907524</v>
      </c>
      <c r="S270" s="2">
        <f>SalesData[[#This Row],[Unit_Price]]-SalesData[[#This Row],[Unit_Cost]]</f>
        <v>388.84999999999997</v>
      </c>
      <c r="T270" s="10">
        <f>SalesData[[#This Row],[Unit_Margin]]/SalesData[[#This Row],[Unit_Price]]</f>
        <v>0.56793783866680292</v>
      </c>
      <c r="U270" s="2" t="str">
        <f>IF(SalesData[[#This Row],[Unit_Margin]]&lt;0, "Negative margin", "Positive margin")</f>
        <v>Positive margin</v>
      </c>
      <c r="V270" s="2" t="str">
        <f>IF(SalesData[[#This Row],[Profit]]&lt;0, "Loss", "Profit")</f>
        <v>Profit</v>
      </c>
      <c r="W270" s="2">
        <f>SalesData[[#This Row],[Unit_Price]]*(1-SalesData[[#This Row],[Discount]])</f>
        <v>664.12989999999991</v>
      </c>
      <c r="X270" s="2">
        <f>SalesData[[#This Row],[Effective_Unit_Price]]-SalesData[[#This Row],[Unit_Cost]]</f>
        <v>368.30989999999991</v>
      </c>
      <c r="Y270" s="2" t="str">
        <f>IF(SalesData[[#This Row],[Effective_Unit_Margin]]&lt;0,"Loss per Unit","Positive per Unit")</f>
        <v>Positive per Unit</v>
      </c>
    </row>
    <row r="271" spans="1:25" x14ac:dyDescent="0.3">
      <c r="A271">
        <v>1052</v>
      </c>
      <c r="B271" s="1">
        <v>45211</v>
      </c>
      <c r="C271" t="s">
        <v>23</v>
      </c>
      <c r="D271" t="s">
        <v>14</v>
      </c>
      <c r="E271">
        <v>46</v>
      </c>
      <c r="F271" t="s">
        <v>34</v>
      </c>
      <c r="G271">
        <v>3136.42</v>
      </c>
      <c r="H271">
        <v>3198.49</v>
      </c>
      <c r="I271" t="s">
        <v>16</v>
      </c>
      <c r="J271" s="2">
        <v>0.28999999999999998</v>
      </c>
      <c r="K271" t="s">
        <v>17</v>
      </c>
      <c r="L271" t="s">
        <v>21</v>
      </c>
      <c r="M271" t="s">
        <v>44</v>
      </c>
      <c r="N271">
        <f>SalesData[[#This Row],[Quantity_Sold]]*SalesData[[#This Row],[Unit_Cost]]</f>
        <v>144275.32</v>
      </c>
      <c r="O271">
        <f>SalesData[[#This Row],[Quantity_Sold]]*SalesData[[#This Row],[Unit_Price]]</f>
        <v>147130.53999999998</v>
      </c>
      <c r="P271">
        <f>SalesData[[#This Row],[Gross_sales]]*(1-SalesData[[#This Row],[Discount]])</f>
        <v>104462.68339999998</v>
      </c>
      <c r="Q271" s="2">
        <f>SalesData[[#This Row],[Sales_amount]]-SalesData[[#This Row],[Total_Cost]]</f>
        <v>-39812.636600000027</v>
      </c>
      <c r="R271" s="2">
        <f>SalesData[[#This Row],[Profit]]/SalesData[[#This Row],[Sales_amount]]</f>
        <v>-0.38111826447682501</v>
      </c>
      <c r="S271" s="2">
        <f>SalesData[[#This Row],[Unit_Price]]-SalesData[[#This Row],[Unit_Cost]]</f>
        <v>62.069999999999709</v>
      </c>
      <c r="T271" s="10">
        <f>SalesData[[#This Row],[Unit_Margin]]/SalesData[[#This Row],[Unit_Price]]</f>
        <v>1.9406032221454411E-2</v>
      </c>
      <c r="U271" s="2" t="str">
        <f>IF(SalesData[[#This Row],[Unit_Margin]]&lt;0, "Negative margin", "Positive margin")</f>
        <v>Positive margin</v>
      </c>
      <c r="V271" s="2" t="str">
        <f>IF(SalesData[[#This Row],[Profit]]&lt;0, "Loss", "Profit")</f>
        <v>Loss</v>
      </c>
      <c r="W271" s="2">
        <f>SalesData[[#This Row],[Unit_Price]]*(1-SalesData[[#This Row],[Discount]])</f>
        <v>2270.9278999999997</v>
      </c>
      <c r="X271" s="2">
        <f>SalesData[[#This Row],[Effective_Unit_Price]]-SalesData[[#This Row],[Unit_Cost]]</f>
        <v>-865.49210000000039</v>
      </c>
      <c r="Y271" s="2" t="str">
        <f>IF(SalesData[[#This Row],[Effective_Unit_Margin]]&lt;0,"Loss per Unit","Positive per Unit")</f>
        <v>Loss per Unit</v>
      </c>
    </row>
    <row r="272" spans="1:25" x14ac:dyDescent="0.3">
      <c r="A272">
        <v>1033</v>
      </c>
      <c r="B272" s="1">
        <v>44989</v>
      </c>
      <c r="C272" t="s">
        <v>13</v>
      </c>
      <c r="D272" t="s">
        <v>20</v>
      </c>
      <c r="E272">
        <v>14</v>
      </c>
      <c r="F272" t="s">
        <v>28</v>
      </c>
      <c r="G272">
        <v>362.38</v>
      </c>
      <c r="H272">
        <v>753.81</v>
      </c>
      <c r="I272" t="s">
        <v>16</v>
      </c>
      <c r="J272" s="2">
        <v>0.19</v>
      </c>
      <c r="K272" t="s">
        <v>17</v>
      </c>
      <c r="L272" t="s">
        <v>21</v>
      </c>
      <c r="M272" t="s">
        <v>22</v>
      </c>
      <c r="N272">
        <f>SalesData[[#This Row],[Quantity_Sold]]*SalesData[[#This Row],[Unit_Cost]]</f>
        <v>5073.32</v>
      </c>
      <c r="O272">
        <f>SalesData[[#This Row],[Quantity_Sold]]*SalesData[[#This Row],[Unit_Price]]</f>
        <v>10553.34</v>
      </c>
      <c r="P272">
        <f>SalesData[[#This Row],[Gross_sales]]*(1-SalesData[[#This Row],[Discount]])</f>
        <v>8548.2054000000007</v>
      </c>
      <c r="Q272" s="2">
        <f>SalesData[[#This Row],[Sales_amount]]-SalesData[[#This Row],[Total_Cost]]</f>
        <v>3474.885400000001</v>
      </c>
      <c r="R272" s="2">
        <f>SalesData[[#This Row],[Profit]]/SalesData[[#This Row],[Sales_amount]]</f>
        <v>0.40650466821960091</v>
      </c>
      <c r="S272" s="2">
        <f>SalesData[[#This Row],[Unit_Price]]-SalesData[[#This Row],[Unit_Cost]]</f>
        <v>391.42999999999995</v>
      </c>
      <c r="T272" s="10">
        <f>SalesData[[#This Row],[Unit_Margin]]/SalesData[[#This Row],[Unit_Price]]</f>
        <v>0.51926878125787668</v>
      </c>
      <c r="U272" s="2" t="str">
        <f>IF(SalesData[[#This Row],[Unit_Margin]]&lt;0, "Negative margin", "Positive margin")</f>
        <v>Positive margin</v>
      </c>
      <c r="V272" s="2" t="str">
        <f>IF(SalesData[[#This Row],[Profit]]&lt;0, "Loss", "Profit")</f>
        <v>Profit</v>
      </c>
      <c r="W272" s="2">
        <f>SalesData[[#This Row],[Unit_Price]]*(1-SalesData[[#This Row],[Discount]])</f>
        <v>610.58609999999999</v>
      </c>
      <c r="X272" s="2">
        <f>SalesData[[#This Row],[Effective_Unit_Price]]-SalesData[[#This Row],[Unit_Cost]]</f>
        <v>248.20609999999999</v>
      </c>
      <c r="Y272" s="2" t="str">
        <f>IF(SalesData[[#This Row],[Effective_Unit_Margin]]&lt;0,"Loss per Unit","Positive per Unit")</f>
        <v>Positive per Unit</v>
      </c>
    </row>
    <row r="273" spans="1:25" x14ac:dyDescent="0.3">
      <c r="A273">
        <v>1040</v>
      </c>
      <c r="B273" s="1">
        <v>45076</v>
      </c>
      <c r="C273" t="s">
        <v>41</v>
      </c>
      <c r="D273" t="s">
        <v>24</v>
      </c>
      <c r="E273">
        <v>47</v>
      </c>
      <c r="F273" t="s">
        <v>28</v>
      </c>
      <c r="G273">
        <v>1656.82</v>
      </c>
      <c r="H273">
        <v>1750.3799999999901</v>
      </c>
      <c r="I273" t="s">
        <v>29</v>
      </c>
      <c r="J273" s="2">
        <v>0.21</v>
      </c>
      <c r="K273" t="s">
        <v>30</v>
      </c>
      <c r="L273" t="s">
        <v>18</v>
      </c>
      <c r="M273" t="s">
        <v>42</v>
      </c>
      <c r="N273">
        <f>SalesData[[#This Row],[Quantity_Sold]]*SalesData[[#This Row],[Unit_Cost]]</f>
        <v>77870.539999999994</v>
      </c>
      <c r="O273">
        <f>SalesData[[#This Row],[Quantity_Sold]]*SalesData[[#This Row],[Unit_Price]]</f>
        <v>82267.859999999535</v>
      </c>
      <c r="P273">
        <f>SalesData[[#This Row],[Gross_sales]]*(1-SalesData[[#This Row],[Discount]])</f>
        <v>64991.609399999637</v>
      </c>
      <c r="Q273" s="2">
        <f>SalesData[[#This Row],[Sales_amount]]-SalesData[[#This Row],[Total_Cost]]</f>
        <v>-12878.930600000356</v>
      </c>
      <c r="R273" s="2">
        <f>SalesData[[#This Row],[Profit]]/SalesData[[#This Row],[Sales_amount]]</f>
        <v>-0.19816297394230137</v>
      </c>
      <c r="S273" s="2">
        <f>SalesData[[#This Row],[Unit_Price]]-SalesData[[#This Row],[Unit_Cost]]</f>
        <v>93.559999999990168</v>
      </c>
      <c r="T273" s="10">
        <f>SalesData[[#This Row],[Unit_Margin]]/SalesData[[#This Row],[Unit_Price]]</f>
        <v>5.3451250585581818E-2</v>
      </c>
      <c r="U273" s="2" t="str">
        <f>IF(SalesData[[#This Row],[Unit_Margin]]&lt;0, "Negative margin", "Positive margin")</f>
        <v>Positive margin</v>
      </c>
      <c r="V273" s="2" t="str">
        <f>IF(SalesData[[#This Row],[Profit]]&lt;0, "Loss", "Profit")</f>
        <v>Loss</v>
      </c>
      <c r="W273" s="2">
        <f>SalesData[[#This Row],[Unit_Price]]*(1-SalesData[[#This Row],[Discount]])</f>
        <v>1382.8001999999922</v>
      </c>
      <c r="X273" s="2">
        <f>SalesData[[#This Row],[Effective_Unit_Price]]-SalesData[[#This Row],[Unit_Cost]]</f>
        <v>-274.01980000000776</v>
      </c>
      <c r="Y273" s="2" t="str">
        <f>IF(SalesData[[#This Row],[Effective_Unit_Margin]]&lt;0,"Loss per Unit","Positive per Unit")</f>
        <v>Loss per Unit</v>
      </c>
    </row>
    <row r="274" spans="1:25" x14ac:dyDescent="0.3">
      <c r="A274">
        <v>1039</v>
      </c>
      <c r="B274" s="1">
        <v>45080</v>
      </c>
      <c r="C274" t="s">
        <v>13</v>
      </c>
      <c r="D274" t="s">
        <v>24</v>
      </c>
      <c r="E274">
        <v>8</v>
      </c>
      <c r="F274" t="s">
        <v>28</v>
      </c>
      <c r="G274">
        <v>3380.14</v>
      </c>
      <c r="H274">
        <v>3609.3399999999901</v>
      </c>
      <c r="I274" t="s">
        <v>16</v>
      </c>
      <c r="J274" s="2">
        <v>0.09</v>
      </c>
      <c r="K274" t="s">
        <v>30</v>
      </c>
      <c r="L274" t="s">
        <v>18</v>
      </c>
      <c r="M274" t="s">
        <v>31</v>
      </c>
      <c r="N274">
        <f>SalesData[[#This Row],[Quantity_Sold]]*SalesData[[#This Row],[Unit_Cost]]</f>
        <v>27041.119999999999</v>
      </c>
      <c r="O274">
        <f>SalesData[[#This Row],[Quantity_Sold]]*SalesData[[#This Row],[Unit_Price]]</f>
        <v>28874.719999999921</v>
      </c>
      <c r="P274">
        <f>SalesData[[#This Row],[Gross_sales]]*(1-SalesData[[#This Row],[Discount]])</f>
        <v>26275.995199999928</v>
      </c>
      <c r="Q274" s="2">
        <f>SalesData[[#This Row],[Sales_amount]]-SalesData[[#This Row],[Total_Cost]]</f>
        <v>-765.12480000007054</v>
      </c>
      <c r="R274" s="2">
        <f>SalesData[[#This Row],[Profit]]/SalesData[[#This Row],[Sales_amount]]</f>
        <v>-2.9118775299520248E-2</v>
      </c>
      <c r="S274" s="2">
        <f>SalesData[[#This Row],[Unit_Price]]-SalesData[[#This Row],[Unit_Cost]]</f>
        <v>229.19999999999027</v>
      </c>
      <c r="T274" s="10">
        <f>SalesData[[#This Row],[Unit_Margin]]/SalesData[[#This Row],[Unit_Price]]</f>
        <v>6.3501914477436569E-2</v>
      </c>
      <c r="U274" s="2" t="str">
        <f>IF(SalesData[[#This Row],[Unit_Margin]]&lt;0, "Negative margin", "Positive margin")</f>
        <v>Positive margin</v>
      </c>
      <c r="V274" s="2" t="str">
        <f>IF(SalesData[[#This Row],[Profit]]&lt;0, "Loss", "Profit")</f>
        <v>Loss</v>
      </c>
      <c r="W274" s="2">
        <f>SalesData[[#This Row],[Unit_Price]]*(1-SalesData[[#This Row],[Discount]])</f>
        <v>3284.4993999999911</v>
      </c>
      <c r="X274" s="2">
        <f>SalesData[[#This Row],[Effective_Unit_Price]]-SalesData[[#This Row],[Unit_Cost]]</f>
        <v>-95.640600000008817</v>
      </c>
      <c r="Y274" s="2" t="str">
        <f>IF(SalesData[[#This Row],[Effective_Unit_Margin]]&lt;0,"Loss per Unit","Positive per Unit")</f>
        <v>Loss per Unit</v>
      </c>
    </row>
    <row r="275" spans="1:25" x14ac:dyDescent="0.3">
      <c r="A275">
        <v>1082</v>
      </c>
      <c r="B275" s="1">
        <v>45082</v>
      </c>
      <c r="C275" t="s">
        <v>32</v>
      </c>
      <c r="D275" t="s">
        <v>33</v>
      </c>
      <c r="E275">
        <v>15</v>
      </c>
      <c r="F275" t="s">
        <v>28</v>
      </c>
      <c r="G275">
        <v>1719.47</v>
      </c>
      <c r="H275">
        <v>1832.6</v>
      </c>
      <c r="I275" t="s">
        <v>16</v>
      </c>
      <c r="J275" s="2">
        <v>0.12</v>
      </c>
      <c r="K275" t="s">
        <v>30</v>
      </c>
      <c r="L275" t="s">
        <v>18</v>
      </c>
      <c r="M275" t="s">
        <v>35</v>
      </c>
      <c r="N275">
        <f>SalesData[[#This Row],[Quantity_Sold]]*SalesData[[#This Row],[Unit_Cost]]</f>
        <v>25792.05</v>
      </c>
      <c r="O275">
        <f>SalesData[[#This Row],[Quantity_Sold]]*SalesData[[#This Row],[Unit_Price]]</f>
        <v>27489</v>
      </c>
      <c r="P275">
        <f>SalesData[[#This Row],[Gross_sales]]*(1-SalesData[[#This Row],[Discount]])</f>
        <v>24190.32</v>
      </c>
      <c r="Q275" s="2">
        <f>SalesData[[#This Row],[Sales_amount]]-SalesData[[#This Row],[Total_Cost]]</f>
        <v>-1601.7299999999996</v>
      </c>
      <c r="R275" s="2">
        <f>SalesData[[#This Row],[Profit]]/SalesData[[#This Row],[Sales_amount]]</f>
        <v>-6.6213675552865753E-2</v>
      </c>
      <c r="S275" s="2">
        <f>SalesData[[#This Row],[Unit_Price]]-SalesData[[#This Row],[Unit_Cost]]</f>
        <v>113.12999999999988</v>
      </c>
      <c r="T275" s="10">
        <f>SalesData[[#This Row],[Unit_Margin]]/SalesData[[#This Row],[Unit_Price]]</f>
        <v>6.1731965513478058E-2</v>
      </c>
      <c r="U275" s="2" t="str">
        <f>IF(SalesData[[#This Row],[Unit_Margin]]&lt;0, "Negative margin", "Positive margin")</f>
        <v>Positive margin</v>
      </c>
      <c r="V275" s="2" t="str">
        <f>IF(SalesData[[#This Row],[Profit]]&lt;0, "Loss", "Profit")</f>
        <v>Loss</v>
      </c>
      <c r="W275" s="2">
        <f>SalesData[[#This Row],[Unit_Price]]*(1-SalesData[[#This Row],[Discount]])</f>
        <v>1612.6879999999999</v>
      </c>
      <c r="X275" s="2">
        <f>SalesData[[#This Row],[Effective_Unit_Price]]-SalesData[[#This Row],[Unit_Cost]]</f>
        <v>-106.78200000000015</v>
      </c>
      <c r="Y275" s="2" t="str">
        <f>IF(SalesData[[#This Row],[Effective_Unit_Margin]]&lt;0,"Loss per Unit","Positive per Unit")</f>
        <v>Loss per Unit</v>
      </c>
    </row>
    <row r="276" spans="1:25" x14ac:dyDescent="0.3">
      <c r="A276">
        <v>1001</v>
      </c>
      <c r="B276" s="1">
        <v>44975</v>
      </c>
      <c r="C276" t="s">
        <v>23</v>
      </c>
      <c r="D276" t="s">
        <v>20</v>
      </c>
      <c r="E276">
        <v>27</v>
      </c>
      <c r="F276" t="s">
        <v>28</v>
      </c>
      <c r="G276">
        <v>939.02</v>
      </c>
      <c r="H276">
        <v>1286.92</v>
      </c>
      <c r="I276" t="s">
        <v>16</v>
      </c>
      <c r="J276" s="2">
        <v>7.0000000000000007E-2</v>
      </c>
      <c r="K276" t="s">
        <v>30</v>
      </c>
      <c r="L276" t="s">
        <v>21</v>
      </c>
      <c r="M276" t="s">
        <v>46</v>
      </c>
      <c r="N276">
        <f>SalesData[[#This Row],[Quantity_Sold]]*SalesData[[#This Row],[Unit_Cost]]</f>
        <v>25353.54</v>
      </c>
      <c r="O276">
        <f>SalesData[[#This Row],[Quantity_Sold]]*SalesData[[#This Row],[Unit_Price]]</f>
        <v>34746.840000000004</v>
      </c>
      <c r="P276">
        <f>SalesData[[#This Row],[Gross_sales]]*(1-SalesData[[#This Row],[Discount]])</f>
        <v>32314.5612</v>
      </c>
      <c r="Q276" s="2">
        <f>SalesData[[#This Row],[Sales_amount]]-SalesData[[#This Row],[Total_Cost]]</f>
        <v>6961.0211999999992</v>
      </c>
      <c r="R276" s="2">
        <f>SalesData[[#This Row],[Profit]]/SalesData[[#This Row],[Sales_amount]]</f>
        <v>0.21541438105617844</v>
      </c>
      <c r="S276" s="2">
        <f>SalesData[[#This Row],[Unit_Price]]-SalesData[[#This Row],[Unit_Cost]]</f>
        <v>347.90000000000009</v>
      </c>
      <c r="T276" s="10">
        <f>SalesData[[#This Row],[Unit_Margin]]/SalesData[[#This Row],[Unit_Price]]</f>
        <v>0.27033537438224603</v>
      </c>
      <c r="U276" s="2" t="str">
        <f>IF(SalesData[[#This Row],[Unit_Margin]]&lt;0, "Negative margin", "Positive margin")</f>
        <v>Positive margin</v>
      </c>
      <c r="V276" s="2" t="str">
        <f>IF(SalesData[[#This Row],[Profit]]&lt;0, "Loss", "Profit")</f>
        <v>Profit</v>
      </c>
      <c r="W276" s="2">
        <f>SalesData[[#This Row],[Unit_Price]]*(1-SalesData[[#This Row],[Discount]])</f>
        <v>1196.8355999999999</v>
      </c>
      <c r="X276" s="2">
        <f>SalesData[[#This Row],[Effective_Unit_Price]]-SalesData[[#This Row],[Unit_Cost]]</f>
        <v>257.8155999999999</v>
      </c>
      <c r="Y276" s="2" t="str">
        <f>IF(SalesData[[#This Row],[Effective_Unit_Margin]]&lt;0,"Loss per Unit","Positive per Unit")</f>
        <v>Positive per Unit</v>
      </c>
    </row>
    <row r="277" spans="1:25" x14ac:dyDescent="0.3">
      <c r="A277">
        <v>1011</v>
      </c>
      <c r="B277" s="1">
        <v>45263</v>
      </c>
      <c r="C277" t="s">
        <v>13</v>
      </c>
      <c r="D277" t="s">
        <v>33</v>
      </c>
      <c r="E277">
        <v>13</v>
      </c>
      <c r="F277" t="s">
        <v>34</v>
      </c>
      <c r="G277">
        <v>1442.69</v>
      </c>
      <c r="H277">
        <v>1882.57</v>
      </c>
      <c r="I277" t="s">
        <v>16</v>
      </c>
      <c r="J277" s="2">
        <v>0.28000000000000003</v>
      </c>
      <c r="K277" t="s">
        <v>17</v>
      </c>
      <c r="L277" t="s">
        <v>18</v>
      </c>
      <c r="M277" t="s">
        <v>45</v>
      </c>
      <c r="N277">
        <f>SalesData[[#This Row],[Quantity_Sold]]*SalesData[[#This Row],[Unit_Cost]]</f>
        <v>18754.97</v>
      </c>
      <c r="O277">
        <f>SalesData[[#This Row],[Quantity_Sold]]*SalesData[[#This Row],[Unit_Price]]</f>
        <v>24473.41</v>
      </c>
      <c r="P277">
        <f>SalesData[[#This Row],[Gross_sales]]*(1-SalesData[[#This Row],[Discount]])</f>
        <v>17620.855199999998</v>
      </c>
      <c r="Q277" s="2">
        <f>SalesData[[#This Row],[Sales_amount]]-SalesData[[#This Row],[Total_Cost]]</f>
        <v>-1134.114800000003</v>
      </c>
      <c r="R277" s="2">
        <f>SalesData[[#This Row],[Profit]]/SalesData[[#This Row],[Sales_amount]]</f>
        <v>-6.4362074776030342E-2</v>
      </c>
      <c r="S277" s="2">
        <f>SalesData[[#This Row],[Unit_Price]]-SalesData[[#This Row],[Unit_Cost]]</f>
        <v>439.87999999999988</v>
      </c>
      <c r="T277" s="10">
        <f>SalesData[[#This Row],[Unit_Margin]]/SalesData[[#This Row],[Unit_Price]]</f>
        <v>0.23365930616125821</v>
      </c>
      <c r="U277" s="2" t="str">
        <f>IF(SalesData[[#This Row],[Unit_Margin]]&lt;0, "Negative margin", "Positive margin")</f>
        <v>Positive margin</v>
      </c>
      <c r="V277" s="2" t="str">
        <f>IF(SalesData[[#This Row],[Profit]]&lt;0, "Loss", "Profit")</f>
        <v>Loss</v>
      </c>
      <c r="W277" s="2">
        <f>SalesData[[#This Row],[Unit_Price]]*(1-SalesData[[#This Row],[Discount]])</f>
        <v>1355.4503999999999</v>
      </c>
      <c r="X277" s="2">
        <f>SalesData[[#This Row],[Effective_Unit_Price]]-SalesData[[#This Row],[Unit_Cost]]</f>
        <v>-87.23960000000011</v>
      </c>
      <c r="Y277" s="2" t="str">
        <f>IF(SalesData[[#This Row],[Effective_Unit_Margin]]&lt;0,"Loss per Unit","Positive per Unit")</f>
        <v>Loss per Unit</v>
      </c>
    </row>
    <row r="278" spans="1:25" x14ac:dyDescent="0.3">
      <c r="A278">
        <v>1092</v>
      </c>
      <c r="B278" s="1">
        <v>45010</v>
      </c>
      <c r="C278" t="s">
        <v>41</v>
      </c>
      <c r="D278" t="s">
        <v>20</v>
      </c>
      <c r="E278">
        <v>49</v>
      </c>
      <c r="F278" t="s">
        <v>15</v>
      </c>
      <c r="G278">
        <v>2315</v>
      </c>
      <c r="H278">
        <v>2467.2800000000002</v>
      </c>
      <c r="I278" t="s">
        <v>29</v>
      </c>
      <c r="J278" s="2">
        <v>0.15</v>
      </c>
      <c r="K278" t="s">
        <v>26</v>
      </c>
      <c r="L278" t="s">
        <v>21</v>
      </c>
      <c r="M278" t="s">
        <v>50</v>
      </c>
      <c r="N278">
        <f>SalesData[[#This Row],[Quantity_Sold]]*SalesData[[#This Row],[Unit_Cost]]</f>
        <v>113435</v>
      </c>
      <c r="O278">
        <f>SalesData[[#This Row],[Quantity_Sold]]*SalesData[[#This Row],[Unit_Price]]</f>
        <v>120896.72000000002</v>
      </c>
      <c r="P278">
        <f>SalesData[[#This Row],[Gross_sales]]*(1-SalesData[[#This Row],[Discount]])</f>
        <v>102762.21200000001</v>
      </c>
      <c r="Q278" s="2">
        <f>SalesData[[#This Row],[Sales_amount]]-SalesData[[#This Row],[Total_Cost]]</f>
        <v>-10672.787999999986</v>
      </c>
      <c r="R278" s="2">
        <f>SalesData[[#This Row],[Profit]]/SalesData[[#This Row],[Sales_amount]]</f>
        <v>-0.10385907224340388</v>
      </c>
      <c r="S278" s="2">
        <f>SalesData[[#This Row],[Unit_Price]]-SalesData[[#This Row],[Unit_Cost]]</f>
        <v>152.2800000000002</v>
      </c>
      <c r="T278" s="10">
        <f>SalesData[[#This Row],[Unit_Margin]]/SalesData[[#This Row],[Unit_Price]]</f>
        <v>6.1719788593106652E-2</v>
      </c>
      <c r="U278" s="2" t="str">
        <f>IF(SalesData[[#This Row],[Unit_Margin]]&lt;0, "Negative margin", "Positive margin")</f>
        <v>Positive margin</v>
      </c>
      <c r="V278" s="2" t="str">
        <f>IF(SalesData[[#This Row],[Profit]]&lt;0, "Loss", "Profit")</f>
        <v>Loss</v>
      </c>
      <c r="W278" s="2">
        <f>SalesData[[#This Row],[Unit_Price]]*(1-SalesData[[#This Row],[Discount]])</f>
        <v>2097.1880000000001</v>
      </c>
      <c r="X278" s="2">
        <f>SalesData[[#This Row],[Effective_Unit_Price]]-SalesData[[#This Row],[Unit_Cost]]</f>
        <v>-217.8119999999999</v>
      </c>
      <c r="Y278" s="2" t="str">
        <f>IF(SalesData[[#This Row],[Effective_Unit_Margin]]&lt;0,"Loss per Unit","Positive per Unit")</f>
        <v>Loss per Unit</v>
      </c>
    </row>
    <row r="279" spans="1:25" x14ac:dyDescent="0.3">
      <c r="A279">
        <v>1057</v>
      </c>
      <c r="B279" s="1">
        <v>45287</v>
      </c>
      <c r="C279" t="s">
        <v>13</v>
      </c>
      <c r="D279" t="s">
        <v>24</v>
      </c>
      <c r="E279">
        <v>31</v>
      </c>
      <c r="F279" t="s">
        <v>15</v>
      </c>
      <c r="G279">
        <v>2403.16</v>
      </c>
      <c r="H279">
        <v>2453.35</v>
      </c>
      <c r="I279" t="s">
        <v>16</v>
      </c>
      <c r="J279" s="2">
        <v>0.19</v>
      </c>
      <c r="K279" t="s">
        <v>30</v>
      </c>
      <c r="L279" t="s">
        <v>18</v>
      </c>
      <c r="M279" t="s">
        <v>31</v>
      </c>
      <c r="N279">
        <f>SalesData[[#This Row],[Quantity_Sold]]*SalesData[[#This Row],[Unit_Cost]]</f>
        <v>74497.959999999992</v>
      </c>
      <c r="O279">
        <f>SalesData[[#This Row],[Quantity_Sold]]*SalesData[[#This Row],[Unit_Price]]</f>
        <v>76053.849999999991</v>
      </c>
      <c r="P279">
        <f>SalesData[[#This Row],[Gross_sales]]*(1-SalesData[[#This Row],[Discount]])</f>
        <v>61603.618499999997</v>
      </c>
      <c r="Q279" s="2">
        <f>SalesData[[#This Row],[Sales_amount]]-SalesData[[#This Row],[Total_Cost]]</f>
        <v>-12894.341499999995</v>
      </c>
      <c r="R279" s="2">
        <f>SalesData[[#This Row],[Profit]]/SalesData[[#This Row],[Sales_amount]]</f>
        <v>-0.20931143030177676</v>
      </c>
      <c r="S279" s="2">
        <f>SalesData[[#This Row],[Unit_Price]]-SalesData[[#This Row],[Unit_Cost]]</f>
        <v>50.190000000000055</v>
      </c>
      <c r="T279" s="10">
        <f>SalesData[[#This Row],[Unit_Margin]]/SalesData[[#This Row],[Unit_Price]]</f>
        <v>2.0457741455560789E-2</v>
      </c>
      <c r="U279" s="2" t="str">
        <f>IF(SalesData[[#This Row],[Unit_Margin]]&lt;0, "Negative margin", "Positive margin")</f>
        <v>Positive margin</v>
      </c>
      <c r="V279" s="2" t="str">
        <f>IF(SalesData[[#This Row],[Profit]]&lt;0, "Loss", "Profit")</f>
        <v>Loss</v>
      </c>
      <c r="W279" s="2">
        <f>SalesData[[#This Row],[Unit_Price]]*(1-SalesData[[#This Row],[Discount]])</f>
        <v>1987.2135000000001</v>
      </c>
      <c r="X279" s="2">
        <f>SalesData[[#This Row],[Effective_Unit_Price]]-SalesData[[#This Row],[Unit_Cost]]</f>
        <v>-415.94649999999979</v>
      </c>
      <c r="Y279" s="2" t="str">
        <f>IF(SalesData[[#This Row],[Effective_Unit_Margin]]&lt;0,"Loss per Unit","Positive per Unit")</f>
        <v>Loss per Unit</v>
      </c>
    </row>
    <row r="280" spans="1:25" x14ac:dyDescent="0.3">
      <c r="A280">
        <v>1089</v>
      </c>
      <c r="B280" s="1">
        <v>45103</v>
      </c>
      <c r="C280" t="s">
        <v>37</v>
      </c>
      <c r="D280" t="s">
        <v>14</v>
      </c>
      <c r="E280">
        <v>35</v>
      </c>
      <c r="F280" t="s">
        <v>15</v>
      </c>
      <c r="G280">
        <v>3925.85</v>
      </c>
      <c r="H280">
        <v>4082.1099999999901</v>
      </c>
      <c r="I280" t="s">
        <v>29</v>
      </c>
      <c r="J280" s="2">
        <v>0.22</v>
      </c>
      <c r="K280" t="s">
        <v>17</v>
      </c>
      <c r="L280" t="s">
        <v>18</v>
      </c>
      <c r="M280" t="s">
        <v>39</v>
      </c>
      <c r="N280">
        <f>SalesData[[#This Row],[Quantity_Sold]]*SalesData[[#This Row],[Unit_Cost]]</f>
        <v>137404.75</v>
      </c>
      <c r="O280">
        <f>SalesData[[#This Row],[Quantity_Sold]]*SalesData[[#This Row],[Unit_Price]]</f>
        <v>142873.84999999966</v>
      </c>
      <c r="P280">
        <f>SalesData[[#This Row],[Gross_sales]]*(1-SalesData[[#This Row],[Discount]])</f>
        <v>111441.60299999974</v>
      </c>
      <c r="Q280" s="2">
        <f>SalesData[[#This Row],[Sales_amount]]-SalesData[[#This Row],[Total_Cost]]</f>
        <v>-25963.147000000259</v>
      </c>
      <c r="R280" s="2">
        <f>SalesData[[#This Row],[Profit]]/SalesData[[#This Row],[Sales_amount]]</f>
        <v>-0.23297535481430862</v>
      </c>
      <c r="S280" s="2">
        <f>SalesData[[#This Row],[Unit_Price]]-SalesData[[#This Row],[Unit_Cost]]</f>
        <v>156.25999999999021</v>
      </c>
      <c r="T280" s="10">
        <f>SalesData[[#This Row],[Unit_Margin]]/SalesData[[#This Row],[Unit_Price]]</f>
        <v>3.8279223244839213E-2</v>
      </c>
      <c r="U280" s="2" t="str">
        <f>IF(SalesData[[#This Row],[Unit_Margin]]&lt;0, "Negative margin", "Positive margin")</f>
        <v>Positive margin</v>
      </c>
      <c r="V280" s="2" t="str">
        <f>IF(SalesData[[#This Row],[Profit]]&lt;0, "Loss", "Profit")</f>
        <v>Loss</v>
      </c>
      <c r="W280" s="2">
        <f>SalesData[[#This Row],[Unit_Price]]*(1-SalesData[[#This Row],[Discount]])</f>
        <v>3184.0457999999926</v>
      </c>
      <c r="X280" s="2">
        <f>SalesData[[#This Row],[Effective_Unit_Price]]-SalesData[[#This Row],[Unit_Cost]]</f>
        <v>-741.80420000000731</v>
      </c>
      <c r="Y280" s="2" t="str">
        <f>IF(SalesData[[#This Row],[Effective_Unit_Margin]]&lt;0,"Loss per Unit","Positive per Unit")</f>
        <v>Loss per Unit</v>
      </c>
    </row>
    <row r="281" spans="1:25" x14ac:dyDescent="0.3">
      <c r="A281">
        <v>1050</v>
      </c>
      <c r="B281" s="1">
        <v>45074</v>
      </c>
      <c r="C281" t="s">
        <v>41</v>
      </c>
      <c r="D281" t="s">
        <v>14</v>
      </c>
      <c r="E281">
        <v>6</v>
      </c>
      <c r="F281" t="s">
        <v>15</v>
      </c>
      <c r="G281">
        <v>3763.26</v>
      </c>
      <c r="H281">
        <v>4102.72</v>
      </c>
      <c r="I281" t="s">
        <v>29</v>
      </c>
      <c r="J281" s="2">
        <v>0.11</v>
      </c>
      <c r="K281" t="s">
        <v>30</v>
      </c>
      <c r="L281" t="s">
        <v>21</v>
      </c>
      <c r="M281" t="s">
        <v>48</v>
      </c>
      <c r="N281">
        <f>SalesData[[#This Row],[Quantity_Sold]]*SalesData[[#This Row],[Unit_Cost]]</f>
        <v>22579.56</v>
      </c>
      <c r="O281">
        <f>SalesData[[#This Row],[Quantity_Sold]]*SalesData[[#This Row],[Unit_Price]]</f>
        <v>24616.32</v>
      </c>
      <c r="P281">
        <f>SalesData[[#This Row],[Gross_sales]]*(1-SalesData[[#This Row],[Discount]])</f>
        <v>21908.524799999999</v>
      </c>
      <c r="Q281" s="2">
        <f>SalesData[[#This Row],[Sales_amount]]-SalesData[[#This Row],[Total_Cost]]</f>
        <v>-671.03520000000208</v>
      </c>
      <c r="R281" s="2">
        <f>SalesData[[#This Row],[Profit]]/SalesData[[#This Row],[Sales_amount]]</f>
        <v>-3.062895407727325E-2</v>
      </c>
      <c r="S281" s="2">
        <f>SalesData[[#This Row],[Unit_Price]]-SalesData[[#This Row],[Unit_Cost]]</f>
        <v>339.46000000000004</v>
      </c>
      <c r="T281" s="10">
        <f>SalesData[[#This Row],[Unit_Margin]]/SalesData[[#This Row],[Unit_Price]]</f>
        <v>8.2740230871226894E-2</v>
      </c>
      <c r="U281" s="2" t="str">
        <f>IF(SalesData[[#This Row],[Unit_Margin]]&lt;0, "Negative margin", "Positive margin")</f>
        <v>Positive margin</v>
      </c>
      <c r="V281" s="2" t="str">
        <f>IF(SalesData[[#This Row],[Profit]]&lt;0, "Loss", "Profit")</f>
        <v>Loss</v>
      </c>
      <c r="W281" s="2">
        <f>SalesData[[#This Row],[Unit_Price]]*(1-SalesData[[#This Row],[Discount]])</f>
        <v>3651.4208000000003</v>
      </c>
      <c r="X281" s="2">
        <f>SalesData[[#This Row],[Effective_Unit_Price]]-SalesData[[#This Row],[Unit_Cost]]</f>
        <v>-111.83919999999989</v>
      </c>
      <c r="Y281" s="2" t="str">
        <f>IF(SalesData[[#This Row],[Effective_Unit_Margin]]&lt;0,"Loss per Unit","Positive per Unit")</f>
        <v>Loss per Unit</v>
      </c>
    </row>
    <row r="282" spans="1:25" x14ac:dyDescent="0.3">
      <c r="A282">
        <v>1023</v>
      </c>
      <c r="B282" s="1">
        <v>45044</v>
      </c>
      <c r="C282" t="s">
        <v>32</v>
      </c>
      <c r="D282" t="s">
        <v>14</v>
      </c>
      <c r="E282">
        <v>5</v>
      </c>
      <c r="F282" t="s">
        <v>34</v>
      </c>
      <c r="G282">
        <v>2311.25</v>
      </c>
      <c r="H282">
        <v>2482.34</v>
      </c>
      <c r="I282" t="s">
        <v>16</v>
      </c>
      <c r="J282" s="2">
        <v>0.22</v>
      </c>
      <c r="K282" t="s">
        <v>30</v>
      </c>
      <c r="L282" t="s">
        <v>21</v>
      </c>
      <c r="M282" t="s">
        <v>52</v>
      </c>
      <c r="N282">
        <f>SalesData[[#This Row],[Quantity_Sold]]*SalesData[[#This Row],[Unit_Cost]]</f>
        <v>11556.25</v>
      </c>
      <c r="O282">
        <f>SalesData[[#This Row],[Quantity_Sold]]*SalesData[[#This Row],[Unit_Price]]</f>
        <v>12411.7</v>
      </c>
      <c r="P282">
        <f>SalesData[[#This Row],[Gross_sales]]*(1-SalesData[[#This Row],[Discount]])</f>
        <v>9681.1260000000002</v>
      </c>
      <c r="Q282" s="2">
        <f>SalesData[[#This Row],[Sales_amount]]-SalesData[[#This Row],[Total_Cost]]</f>
        <v>-1875.1239999999998</v>
      </c>
      <c r="R282" s="2">
        <f>SalesData[[#This Row],[Profit]]/SalesData[[#This Row],[Sales_amount]]</f>
        <v>-0.19368862671552872</v>
      </c>
      <c r="S282" s="2">
        <f>SalesData[[#This Row],[Unit_Price]]-SalesData[[#This Row],[Unit_Cost]]</f>
        <v>171.09000000000015</v>
      </c>
      <c r="T282" s="10">
        <f>SalesData[[#This Row],[Unit_Margin]]/SalesData[[#This Row],[Unit_Price]]</f>
        <v>6.8922871161887625E-2</v>
      </c>
      <c r="U282" s="2" t="str">
        <f>IF(SalesData[[#This Row],[Unit_Margin]]&lt;0, "Negative margin", "Positive margin")</f>
        <v>Positive margin</v>
      </c>
      <c r="V282" s="2" t="str">
        <f>IF(SalesData[[#This Row],[Profit]]&lt;0, "Loss", "Profit")</f>
        <v>Loss</v>
      </c>
      <c r="W282" s="2">
        <f>SalesData[[#This Row],[Unit_Price]]*(1-SalesData[[#This Row],[Discount]])</f>
        <v>1936.2252000000001</v>
      </c>
      <c r="X282" s="2">
        <f>SalesData[[#This Row],[Effective_Unit_Price]]-SalesData[[#This Row],[Unit_Cost]]</f>
        <v>-375.02479999999991</v>
      </c>
      <c r="Y282" s="2" t="str">
        <f>IF(SalesData[[#This Row],[Effective_Unit_Margin]]&lt;0,"Loss per Unit","Positive per Unit")</f>
        <v>Loss per Unit</v>
      </c>
    </row>
    <row r="283" spans="1:25" x14ac:dyDescent="0.3">
      <c r="A283">
        <v>1031</v>
      </c>
      <c r="B283" s="1">
        <v>45268</v>
      </c>
      <c r="C283" t="s">
        <v>23</v>
      </c>
      <c r="D283" t="s">
        <v>14</v>
      </c>
      <c r="E283">
        <v>22</v>
      </c>
      <c r="F283" t="s">
        <v>25</v>
      </c>
      <c r="G283">
        <v>4236.05</v>
      </c>
      <c r="H283">
        <v>4382.32</v>
      </c>
      <c r="I283" t="s">
        <v>29</v>
      </c>
      <c r="J283" s="2">
        <v>0.2</v>
      </c>
      <c r="K283" t="s">
        <v>26</v>
      </c>
      <c r="L283" t="s">
        <v>18</v>
      </c>
      <c r="M283" t="s">
        <v>44</v>
      </c>
      <c r="N283">
        <f>SalesData[[#This Row],[Quantity_Sold]]*SalesData[[#This Row],[Unit_Cost]]</f>
        <v>93193.1</v>
      </c>
      <c r="O283">
        <f>SalesData[[#This Row],[Quantity_Sold]]*SalesData[[#This Row],[Unit_Price]]</f>
        <v>96411.04</v>
      </c>
      <c r="P283">
        <f>SalesData[[#This Row],[Gross_sales]]*(1-SalesData[[#This Row],[Discount]])</f>
        <v>77128.831999999995</v>
      </c>
      <c r="Q283" s="2">
        <f>SalesData[[#This Row],[Sales_amount]]-SalesData[[#This Row],[Total_Cost]]</f>
        <v>-16064.268000000011</v>
      </c>
      <c r="R283" s="2">
        <f>SalesData[[#This Row],[Profit]]/SalesData[[#This Row],[Sales_amount]]</f>
        <v>-0.20827837766297319</v>
      </c>
      <c r="S283" s="2">
        <f>SalesData[[#This Row],[Unit_Price]]-SalesData[[#This Row],[Unit_Cost]]</f>
        <v>146.26999999999953</v>
      </c>
      <c r="T283" s="10">
        <f>SalesData[[#This Row],[Unit_Margin]]/SalesData[[#This Row],[Unit_Price]]</f>
        <v>3.3377297869621465E-2</v>
      </c>
      <c r="U283" s="2" t="str">
        <f>IF(SalesData[[#This Row],[Unit_Margin]]&lt;0, "Negative margin", "Positive margin")</f>
        <v>Positive margin</v>
      </c>
      <c r="V283" s="2" t="str">
        <f>IF(SalesData[[#This Row],[Profit]]&lt;0, "Loss", "Profit")</f>
        <v>Loss</v>
      </c>
      <c r="W283" s="2">
        <f>SalesData[[#This Row],[Unit_Price]]*(1-SalesData[[#This Row],[Discount]])</f>
        <v>3505.8559999999998</v>
      </c>
      <c r="X283" s="2">
        <f>SalesData[[#This Row],[Effective_Unit_Price]]-SalesData[[#This Row],[Unit_Cost]]</f>
        <v>-730.19400000000041</v>
      </c>
      <c r="Y283" s="2" t="str">
        <f>IF(SalesData[[#This Row],[Effective_Unit_Margin]]&lt;0,"Loss per Unit","Positive per Unit")</f>
        <v>Loss per Unit</v>
      </c>
    </row>
    <row r="284" spans="1:25" x14ac:dyDescent="0.3">
      <c r="A284">
        <v>1094</v>
      </c>
      <c r="B284" s="1">
        <v>44989</v>
      </c>
      <c r="C284" t="s">
        <v>13</v>
      </c>
      <c r="D284" t="s">
        <v>14</v>
      </c>
      <c r="E284">
        <v>49</v>
      </c>
      <c r="F284" t="s">
        <v>25</v>
      </c>
      <c r="G284">
        <v>615.47</v>
      </c>
      <c r="H284">
        <v>715.84</v>
      </c>
      <c r="I284" t="s">
        <v>16</v>
      </c>
      <c r="J284" s="2">
        <v>0.21</v>
      </c>
      <c r="K284" t="s">
        <v>30</v>
      </c>
      <c r="L284" t="s">
        <v>21</v>
      </c>
      <c r="M284" t="s">
        <v>19</v>
      </c>
      <c r="N284">
        <f>SalesData[[#This Row],[Quantity_Sold]]*SalesData[[#This Row],[Unit_Cost]]</f>
        <v>30158.030000000002</v>
      </c>
      <c r="O284">
        <f>SalesData[[#This Row],[Quantity_Sold]]*SalesData[[#This Row],[Unit_Price]]</f>
        <v>35076.160000000003</v>
      </c>
      <c r="P284">
        <f>SalesData[[#This Row],[Gross_sales]]*(1-SalesData[[#This Row],[Discount]])</f>
        <v>27710.166400000006</v>
      </c>
      <c r="Q284" s="2">
        <f>SalesData[[#This Row],[Sales_amount]]-SalesData[[#This Row],[Total_Cost]]</f>
        <v>-2447.8635999999969</v>
      </c>
      <c r="R284" s="2">
        <f>SalesData[[#This Row],[Profit]]/SalesData[[#This Row],[Sales_amount]]</f>
        <v>-8.8338105396580963E-2</v>
      </c>
      <c r="S284" s="2">
        <f>SalesData[[#This Row],[Unit_Price]]-SalesData[[#This Row],[Unit_Cost]]</f>
        <v>100.37</v>
      </c>
      <c r="T284" s="10">
        <f>SalesData[[#This Row],[Unit_Margin]]/SalesData[[#This Row],[Unit_Price]]</f>
        <v>0.14021289673670093</v>
      </c>
      <c r="U284" s="2" t="str">
        <f>IF(SalesData[[#This Row],[Unit_Margin]]&lt;0, "Negative margin", "Positive margin")</f>
        <v>Positive margin</v>
      </c>
      <c r="V284" s="2" t="str">
        <f>IF(SalesData[[#This Row],[Profit]]&lt;0, "Loss", "Profit")</f>
        <v>Loss</v>
      </c>
      <c r="W284" s="2">
        <f>SalesData[[#This Row],[Unit_Price]]*(1-SalesData[[#This Row],[Discount]])</f>
        <v>565.5136</v>
      </c>
      <c r="X284" s="2">
        <f>SalesData[[#This Row],[Effective_Unit_Price]]-SalesData[[#This Row],[Unit_Cost]]</f>
        <v>-49.956400000000031</v>
      </c>
      <c r="Y284" s="2" t="str">
        <f>IF(SalesData[[#This Row],[Effective_Unit_Margin]]&lt;0,"Loss per Unit","Positive per Unit")</f>
        <v>Loss per Unit</v>
      </c>
    </row>
    <row r="285" spans="1:25" x14ac:dyDescent="0.3">
      <c r="A285">
        <v>1042</v>
      </c>
      <c r="B285" s="1">
        <v>45115</v>
      </c>
      <c r="C285" t="s">
        <v>41</v>
      </c>
      <c r="D285" t="s">
        <v>33</v>
      </c>
      <c r="E285">
        <v>23</v>
      </c>
      <c r="F285" t="s">
        <v>34</v>
      </c>
      <c r="G285">
        <v>1314</v>
      </c>
      <c r="H285">
        <v>1567.78</v>
      </c>
      <c r="I285" t="s">
        <v>16</v>
      </c>
      <c r="J285" s="2">
        <v>0.15</v>
      </c>
      <c r="K285" t="s">
        <v>30</v>
      </c>
      <c r="L285" t="s">
        <v>21</v>
      </c>
      <c r="M285" t="s">
        <v>51</v>
      </c>
      <c r="N285">
        <f>SalesData[[#This Row],[Quantity_Sold]]*SalesData[[#This Row],[Unit_Cost]]</f>
        <v>30222</v>
      </c>
      <c r="O285">
        <f>SalesData[[#This Row],[Quantity_Sold]]*SalesData[[#This Row],[Unit_Price]]</f>
        <v>36058.94</v>
      </c>
      <c r="P285">
        <f>SalesData[[#This Row],[Gross_sales]]*(1-SalesData[[#This Row],[Discount]])</f>
        <v>30650.099000000002</v>
      </c>
      <c r="Q285" s="2">
        <f>SalesData[[#This Row],[Sales_amount]]-SalesData[[#This Row],[Total_Cost]]</f>
        <v>428.09900000000198</v>
      </c>
      <c r="R285" s="2">
        <f>SalesData[[#This Row],[Profit]]/SalesData[[#This Row],[Sales_amount]]</f>
        <v>1.396729583157307E-2</v>
      </c>
      <c r="S285" s="2">
        <f>SalesData[[#This Row],[Unit_Price]]-SalesData[[#This Row],[Unit_Cost]]</f>
        <v>253.77999999999997</v>
      </c>
      <c r="T285" s="10">
        <f>SalesData[[#This Row],[Unit_Margin]]/SalesData[[#This Row],[Unit_Price]]</f>
        <v>0.16187220145683703</v>
      </c>
      <c r="U285" s="2" t="str">
        <f>IF(SalesData[[#This Row],[Unit_Margin]]&lt;0, "Negative margin", "Positive margin")</f>
        <v>Positive margin</v>
      </c>
      <c r="V285" s="2" t="str">
        <f>IF(SalesData[[#This Row],[Profit]]&lt;0, "Loss", "Profit")</f>
        <v>Profit</v>
      </c>
      <c r="W285" s="2">
        <f>SalesData[[#This Row],[Unit_Price]]*(1-SalesData[[#This Row],[Discount]])</f>
        <v>1332.6129999999998</v>
      </c>
      <c r="X285" s="2">
        <f>SalesData[[#This Row],[Effective_Unit_Price]]-SalesData[[#This Row],[Unit_Cost]]</f>
        <v>18.612999999999829</v>
      </c>
      <c r="Y285" s="2" t="str">
        <f>IF(SalesData[[#This Row],[Effective_Unit_Margin]]&lt;0,"Loss per Unit","Positive per Unit")</f>
        <v>Positive per Unit</v>
      </c>
    </row>
    <row r="286" spans="1:25" x14ac:dyDescent="0.3">
      <c r="A286">
        <v>1099</v>
      </c>
      <c r="B286" s="1">
        <v>45286</v>
      </c>
      <c r="C286" t="s">
        <v>37</v>
      </c>
      <c r="D286" t="s">
        <v>20</v>
      </c>
      <c r="E286">
        <v>25</v>
      </c>
      <c r="F286" t="s">
        <v>34</v>
      </c>
      <c r="G286">
        <v>4148.4799999999996</v>
      </c>
      <c r="H286">
        <v>4293.6899999999996</v>
      </c>
      <c r="I286" t="s">
        <v>29</v>
      </c>
      <c r="J286" s="2">
        <v>0.11</v>
      </c>
      <c r="K286" t="s">
        <v>26</v>
      </c>
      <c r="L286" t="s">
        <v>18</v>
      </c>
      <c r="M286" t="s">
        <v>40</v>
      </c>
      <c r="N286">
        <f>SalesData[[#This Row],[Quantity_Sold]]*SalesData[[#This Row],[Unit_Cost]]</f>
        <v>103711.99999999999</v>
      </c>
      <c r="O286">
        <f>SalesData[[#This Row],[Quantity_Sold]]*SalesData[[#This Row],[Unit_Price]]</f>
        <v>107342.24999999999</v>
      </c>
      <c r="P286">
        <f>SalesData[[#This Row],[Gross_sales]]*(1-SalesData[[#This Row],[Discount]])</f>
        <v>95534.602499999994</v>
      </c>
      <c r="Q286" s="2">
        <f>SalesData[[#This Row],[Sales_amount]]-SalesData[[#This Row],[Total_Cost]]</f>
        <v>-8177.3974999999919</v>
      </c>
      <c r="R286" s="2">
        <f>SalesData[[#This Row],[Profit]]/SalesData[[#This Row],[Sales_amount]]</f>
        <v>-8.5596184900648881E-2</v>
      </c>
      <c r="S286" s="2">
        <f>SalesData[[#This Row],[Unit_Price]]-SalesData[[#This Row],[Unit_Cost]]</f>
        <v>145.21000000000004</v>
      </c>
      <c r="T286" s="10">
        <f>SalesData[[#This Row],[Unit_Margin]]/SalesData[[#This Row],[Unit_Price]]</f>
        <v>3.3819395438422439E-2</v>
      </c>
      <c r="U286" s="2" t="str">
        <f>IF(SalesData[[#This Row],[Unit_Margin]]&lt;0, "Negative margin", "Positive margin")</f>
        <v>Positive margin</v>
      </c>
      <c r="V286" s="2" t="str">
        <f>IF(SalesData[[#This Row],[Profit]]&lt;0, "Loss", "Profit")</f>
        <v>Loss</v>
      </c>
      <c r="W286" s="2">
        <f>SalesData[[#This Row],[Unit_Price]]*(1-SalesData[[#This Row],[Discount]])</f>
        <v>3821.3840999999998</v>
      </c>
      <c r="X286" s="2">
        <f>SalesData[[#This Row],[Effective_Unit_Price]]-SalesData[[#This Row],[Unit_Cost]]</f>
        <v>-327.0958999999998</v>
      </c>
      <c r="Y286" s="2" t="str">
        <f>IF(SalesData[[#This Row],[Effective_Unit_Margin]]&lt;0,"Loss per Unit","Positive per Unit")</f>
        <v>Loss per Unit</v>
      </c>
    </row>
    <row r="287" spans="1:25" x14ac:dyDescent="0.3">
      <c r="A287">
        <v>1007</v>
      </c>
      <c r="B287" s="1">
        <v>44975</v>
      </c>
      <c r="C287" t="s">
        <v>41</v>
      </c>
      <c r="D287" t="s">
        <v>24</v>
      </c>
      <c r="E287">
        <v>34</v>
      </c>
      <c r="F287" t="s">
        <v>28</v>
      </c>
      <c r="G287">
        <v>1921.07</v>
      </c>
      <c r="H287">
        <v>2289.27</v>
      </c>
      <c r="I287" t="s">
        <v>16</v>
      </c>
      <c r="J287" s="2">
        <v>7.0000000000000007E-2</v>
      </c>
      <c r="K287" t="s">
        <v>26</v>
      </c>
      <c r="L287" t="s">
        <v>21</v>
      </c>
      <c r="M287" t="s">
        <v>42</v>
      </c>
      <c r="N287">
        <f>SalesData[[#This Row],[Quantity_Sold]]*SalesData[[#This Row],[Unit_Cost]]</f>
        <v>65316.38</v>
      </c>
      <c r="O287">
        <f>SalesData[[#This Row],[Quantity_Sold]]*SalesData[[#This Row],[Unit_Price]]</f>
        <v>77835.179999999993</v>
      </c>
      <c r="P287">
        <f>SalesData[[#This Row],[Gross_sales]]*(1-SalesData[[#This Row],[Discount]])</f>
        <v>72386.717399999994</v>
      </c>
      <c r="Q287" s="2">
        <f>SalesData[[#This Row],[Sales_amount]]-SalesData[[#This Row],[Total_Cost]]</f>
        <v>7070.3373999999967</v>
      </c>
      <c r="R287" s="2">
        <f>SalesData[[#This Row],[Profit]]/SalesData[[#This Row],[Sales_amount]]</f>
        <v>9.7674513418396808E-2</v>
      </c>
      <c r="S287" s="2">
        <f>SalesData[[#This Row],[Unit_Price]]-SalesData[[#This Row],[Unit_Cost]]</f>
        <v>368.20000000000005</v>
      </c>
      <c r="T287" s="10">
        <f>SalesData[[#This Row],[Unit_Margin]]/SalesData[[#This Row],[Unit_Price]]</f>
        <v>0.16083729747910908</v>
      </c>
      <c r="U287" s="2" t="str">
        <f>IF(SalesData[[#This Row],[Unit_Margin]]&lt;0, "Negative margin", "Positive margin")</f>
        <v>Positive margin</v>
      </c>
      <c r="V287" s="2" t="str">
        <f>IF(SalesData[[#This Row],[Profit]]&lt;0, "Loss", "Profit")</f>
        <v>Profit</v>
      </c>
      <c r="W287" s="2">
        <f>SalesData[[#This Row],[Unit_Price]]*(1-SalesData[[#This Row],[Discount]])</f>
        <v>2129.0210999999999</v>
      </c>
      <c r="X287" s="2">
        <f>SalesData[[#This Row],[Effective_Unit_Price]]-SalesData[[#This Row],[Unit_Cost]]</f>
        <v>207.9511</v>
      </c>
      <c r="Y287" s="2" t="str">
        <f>IF(SalesData[[#This Row],[Effective_Unit_Margin]]&lt;0,"Loss per Unit","Positive per Unit")</f>
        <v>Positive per Unit</v>
      </c>
    </row>
    <row r="288" spans="1:25" x14ac:dyDescent="0.3">
      <c r="A288">
        <v>1016</v>
      </c>
      <c r="B288" s="1">
        <v>45253</v>
      </c>
      <c r="C288" t="s">
        <v>37</v>
      </c>
      <c r="D288" t="s">
        <v>33</v>
      </c>
      <c r="E288">
        <v>26</v>
      </c>
      <c r="F288" t="s">
        <v>28</v>
      </c>
      <c r="G288">
        <v>4906.8500000000004</v>
      </c>
      <c r="H288">
        <v>4954.3900000000003</v>
      </c>
      <c r="I288" t="s">
        <v>29</v>
      </c>
      <c r="J288" s="2">
        <v>0.25</v>
      </c>
      <c r="K288" t="s">
        <v>26</v>
      </c>
      <c r="L288" t="s">
        <v>18</v>
      </c>
      <c r="M288" t="s">
        <v>47</v>
      </c>
      <c r="N288">
        <f>SalesData[[#This Row],[Quantity_Sold]]*SalesData[[#This Row],[Unit_Cost]]</f>
        <v>127578.1</v>
      </c>
      <c r="O288">
        <f>SalesData[[#This Row],[Quantity_Sold]]*SalesData[[#This Row],[Unit_Price]]</f>
        <v>128814.14000000001</v>
      </c>
      <c r="P288">
        <f>SalesData[[#This Row],[Gross_sales]]*(1-SalesData[[#This Row],[Discount]])</f>
        <v>96610.60500000001</v>
      </c>
      <c r="Q288" s="2">
        <f>SalesData[[#This Row],[Sales_amount]]-SalesData[[#This Row],[Total_Cost]]</f>
        <v>-30967.494999999995</v>
      </c>
      <c r="R288" s="2">
        <f>SalesData[[#This Row],[Profit]]/SalesData[[#This Row],[Sales_amount]]</f>
        <v>-0.32053929276190735</v>
      </c>
      <c r="S288" s="2">
        <f>SalesData[[#This Row],[Unit_Price]]-SalesData[[#This Row],[Unit_Cost]]</f>
        <v>47.539999999999964</v>
      </c>
      <c r="T288" s="10">
        <f>SalesData[[#This Row],[Unit_Margin]]/SalesData[[#This Row],[Unit_Price]]</f>
        <v>9.5955304285694019E-3</v>
      </c>
      <c r="U288" s="2" t="str">
        <f>IF(SalesData[[#This Row],[Unit_Margin]]&lt;0, "Negative margin", "Positive margin")</f>
        <v>Positive margin</v>
      </c>
      <c r="V288" s="2" t="str">
        <f>IF(SalesData[[#This Row],[Profit]]&lt;0, "Loss", "Profit")</f>
        <v>Loss</v>
      </c>
      <c r="W288" s="2">
        <f>SalesData[[#This Row],[Unit_Price]]*(1-SalesData[[#This Row],[Discount]])</f>
        <v>3715.7925000000005</v>
      </c>
      <c r="X288" s="2">
        <f>SalesData[[#This Row],[Effective_Unit_Price]]-SalesData[[#This Row],[Unit_Cost]]</f>
        <v>-1191.0574999999999</v>
      </c>
      <c r="Y288" s="2" t="str">
        <f>IF(SalesData[[#This Row],[Effective_Unit_Margin]]&lt;0,"Loss per Unit","Positive per Unit")</f>
        <v>Loss per Unit</v>
      </c>
    </row>
    <row r="289" spans="1:25" x14ac:dyDescent="0.3">
      <c r="A289">
        <v>1090</v>
      </c>
      <c r="B289" s="1">
        <v>45183</v>
      </c>
      <c r="C289" t="s">
        <v>32</v>
      </c>
      <c r="D289" t="s">
        <v>20</v>
      </c>
      <c r="E289">
        <v>47</v>
      </c>
      <c r="F289" t="s">
        <v>28</v>
      </c>
      <c r="G289">
        <v>2357.9499999999998</v>
      </c>
      <c r="H289">
        <v>2693.33</v>
      </c>
      <c r="I289" t="s">
        <v>29</v>
      </c>
      <c r="J289" s="2">
        <v>0.18</v>
      </c>
      <c r="K289" t="s">
        <v>26</v>
      </c>
      <c r="L289" t="s">
        <v>18</v>
      </c>
      <c r="M289" t="s">
        <v>36</v>
      </c>
      <c r="N289">
        <f>SalesData[[#This Row],[Quantity_Sold]]*SalesData[[#This Row],[Unit_Cost]]</f>
        <v>110823.65</v>
      </c>
      <c r="O289">
        <f>SalesData[[#This Row],[Quantity_Sold]]*SalesData[[#This Row],[Unit_Price]]</f>
        <v>126586.51</v>
      </c>
      <c r="P289">
        <f>SalesData[[#This Row],[Gross_sales]]*(1-SalesData[[#This Row],[Discount]])</f>
        <v>103800.9382</v>
      </c>
      <c r="Q289" s="2">
        <f>SalesData[[#This Row],[Sales_amount]]-SalesData[[#This Row],[Total_Cost]]</f>
        <v>-7022.71179999999</v>
      </c>
      <c r="R289" s="2">
        <f>SalesData[[#This Row],[Profit]]/SalesData[[#This Row],[Sales_amount]]</f>
        <v>-6.7655571537020939E-2</v>
      </c>
      <c r="S289" s="2">
        <f>SalesData[[#This Row],[Unit_Price]]-SalesData[[#This Row],[Unit_Cost]]</f>
        <v>335.38000000000011</v>
      </c>
      <c r="T289" s="10">
        <f>SalesData[[#This Row],[Unit_Margin]]/SalesData[[#This Row],[Unit_Price]]</f>
        <v>0.12452243133964279</v>
      </c>
      <c r="U289" s="2" t="str">
        <f>IF(SalesData[[#This Row],[Unit_Margin]]&lt;0, "Negative margin", "Positive margin")</f>
        <v>Positive margin</v>
      </c>
      <c r="V289" s="2" t="str">
        <f>IF(SalesData[[#This Row],[Profit]]&lt;0, "Loss", "Profit")</f>
        <v>Loss</v>
      </c>
      <c r="W289" s="2">
        <f>SalesData[[#This Row],[Unit_Price]]*(1-SalesData[[#This Row],[Discount]])</f>
        <v>2208.5306</v>
      </c>
      <c r="X289" s="2">
        <f>SalesData[[#This Row],[Effective_Unit_Price]]-SalesData[[#This Row],[Unit_Cost]]</f>
        <v>-149.41939999999977</v>
      </c>
      <c r="Y289" s="2" t="str">
        <f>IF(SalesData[[#This Row],[Effective_Unit_Margin]]&lt;0,"Loss per Unit","Positive per Unit")</f>
        <v>Loss per Unit</v>
      </c>
    </row>
    <row r="290" spans="1:25" x14ac:dyDescent="0.3">
      <c r="A290">
        <v>1060</v>
      </c>
      <c r="B290" s="1">
        <v>45150</v>
      </c>
      <c r="C290" t="s">
        <v>23</v>
      </c>
      <c r="D290" t="s">
        <v>14</v>
      </c>
      <c r="E290">
        <v>5</v>
      </c>
      <c r="F290" t="s">
        <v>15</v>
      </c>
      <c r="G290">
        <v>3970.08</v>
      </c>
      <c r="H290">
        <v>4096.4799999999996</v>
      </c>
      <c r="I290" t="s">
        <v>16</v>
      </c>
      <c r="J290" s="2">
        <v>0.13</v>
      </c>
      <c r="K290" t="s">
        <v>17</v>
      </c>
      <c r="L290" t="s">
        <v>21</v>
      </c>
      <c r="M290" t="s">
        <v>44</v>
      </c>
      <c r="N290">
        <f>SalesData[[#This Row],[Quantity_Sold]]*SalesData[[#This Row],[Unit_Cost]]</f>
        <v>19850.400000000001</v>
      </c>
      <c r="O290">
        <f>SalesData[[#This Row],[Quantity_Sold]]*SalesData[[#This Row],[Unit_Price]]</f>
        <v>20482.399999999998</v>
      </c>
      <c r="P290">
        <f>SalesData[[#This Row],[Gross_sales]]*(1-SalesData[[#This Row],[Discount]])</f>
        <v>17819.687999999998</v>
      </c>
      <c r="Q290" s="2">
        <f>SalesData[[#This Row],[Sales_amount]]-SalesData[[#This Row],[Total_Cost]]</f>
        <v>-2030.7120000000032</v>
      </c>
      <c r="R290" s="2">
        <f>SalesData[[#This Row],[Profit]]/SalesData[[#This Row],[Sales_amount]]</f>
        <v>-0.11395889759686047</v>
      </c>
      <c r="S290" s="2">
        <f>SalesData[[#This Row],[Unit_Price]]-SalesData[[#This Row],[Unit_Cost]]</f>
        <v>126.39999999999964</v>
      </c>
      <c r="T290" s="10">
        <f>SalesData[[#This Row],[Unit_Margin]]/SalesData[[#This Row],[Unit_Price]]</f>
        <v>3.0855759090731471E-2</v>
      </c>
      <c r="U290" s="2" t="str">
        <f>IF(SalesData[[#This Row],[Unit_Margin]]&lt;0, "Negative margin", "Positive margin")</f>
        <v>Positive margin</v>
      </c>
      <c r="V290" s="2" t="str">
        <f>IF(SalesData[[#This Row],[Profit]]&lt;0, "Loss", "Profit")</f>
        <v>Loss</v>
      </c>
      <c r="W290" s="2">
        <f>SalesData[[#This Row],[Unit_Price]]*(1-SalesData[[#This Row],[Discount]])</f>
        <v>3563.9375999999997</v>
      </c>
      <c r="X290" s="2">
        <f>SalesData[[#This Row],[Effective_Unit_Price]]-SalesData[[#This Row],[Unit_Cost]]</f>
        <v>-406.14240000000018</v>
      </c>
      <c r="Y290" s="2" t="str">
        <f>IF(SalesData[[#This Row],[Effective_Unit_Margin]]&lt;0,"Loss per Unit","Positive per Unit")</f>
        <v>Loss per Unit</v>
      </c>
    </row>
    <row r="291" spans="1:25" x14ac:dyDescent="0.3">
      <c r="A291">
        <v>1002</v>
      </c>
      <c r="B291" s="1">
        <v>45067</v>
      </c>
      <c r="C291" t="s">
        <v>32</v>
      </c>
      <c r="D291" t="s">
        <v>20</v>
      </c>
      <c r="E291">
        <v>26</v>
      </c>
      <c r="F291" t="s">
        <v>28</v>
      </c>
      <c r="G291">
        <v>2041.42</v>
      </c>
      <c r="H291">
        <v>2291.17</v>
      </c>
      <c r="I291" t="s">
        <v>16</v>
      </c>
      <c r="J291" s="2">
        <v>0.28000000000000003</v>
      </c>
      <c r="K291" t="s">
        <v>17</v>
      </c>
      <c r="L291" t="s">
        <v>18</v>
      </c>
      <c r="M291" t="s">
        <v>36</v>
      </c>
      <c r="N291">
        <f>SalesData[[#This Row],[Quantity_Sold]]*SalesData[[#This Row],[Unit_Cost]]</f>
        <v>53076.92</v>
      </c>
      <c r="O291">
        <f>SalesData[[#This Row],[Quantity_Sold]]*SalesData[[#This Row],[Unit_Price]]</f>
        <v>59570.42</v>
      </c>
      <c r="P291">
        <f>SalesData[[#This Row],[Gross_sales]]*(1-SalesData[[#This Row],[Discount]])</f>
        <v>42890.702399999995</v>
      </c>
      <c r="Q291" s="2">
        <f>SalesData[[#This Row],[Sales_amount]]-SalesData[[#This Row],[Total_Cost]]</f>
        <v>-10186.217600000004</v>
      </c>
      <c r="R291" s="2">
        <f>SalesData[[#This Row],[Profit]]/SalesData[[#This Row],[Sales_amount]]</f>
        <v>-0.23749244078595469</v>
      </c>
      <c r="S291" s="2">
        <f>SalesData[[#This Row],[Unit_Price]]-SalesData[[#This Row],[Unit_Cost]]</f>
        <v>249.75</v>
      </c>
      <c r="T291" s="10">
        <f>SalesData[[#This Row],[Unit_Margin]]/SalesData[[#This Row],[Unit_Price]]</f>
        <v>0.1090054426341127</v>
      </c>
      <c r="U291" s="2" t="str">
        <f>IF(SalesData[[#This Row],[Unit_Margin]]&lt;0, "Negative margin", "Positive margin")</f>
        <v>Positive margin</v>
      </c>
      <c r="V291" s="2" t="str">
        <f>IF(SalesData[[#This Row],[Profit]]&lt;0, "Loss", "Profit")</f>
        <v>Loss</v>
      </c>
      <c r="W291" s="2">
        <f>SalesData[[#This Row],[Unit_Price]]*(1-SalesData[[#This Row],[Discount]])</f>
        <v>1649.6424</v>
      </c>
      <c r="X291" s="2">
        <f>SalesData[[#This Row],[Effective_Unit_Price]]-SalesData[[#This Row],[Unit_Cost]]</f>
        <v>-391.77760000000012</v>
      </c>
      <c r="Y291" s="2" t="str">
        <f>IF(SalesData[[#This Row],[Effective_Unit_Margin]]&lt;0,"Loss per Unit","Positive per Unit")</f>
        <v>Loss per Unit</v>
      </c>
    </row>
    <row r="292" spans="1:25" x14ac:dyDescent="0.3">
      <c r="A292">
        <v>1001</v>
      </c>
      <c r="B292" s="1">
        <v>45141</v>
      </c>
      <c r="C292" t="s">
        <v>13</v>
      </c>
      <c r="D292" t="s">
        <v>20</v>
      </c>
      <c r="E292">
        <v>20</v>
      </c>
      <c r="F292" t="s">
        <v>25</v>
      </c>
      <c r="G292">
        <v>2153.52</v>
      </c>
      <c r="H292">
        <v>2303.6999999999998</v>
      </c>
      <c r="I292" t="s">
        <v>16</v>
      </c>
      <c r="J292" s="2">
        <v>0.01</v>
      </c>
      <c r="K292" t="s">
        <v>17</v>
      </c>
      <c r="L292" t="s">
        <v>21</v>
      </c>
      <c r="M292" t="s">
        <v>22</v>
      </c>
      <c r="N292">
        <f>SalesData[[#This Row],[Quantity_Sold]]*SalesData[[#This Row],[Unit_Cost]]</f>
        <v>43070.400000000001</v>
      </c>
      <c r="O292">
        <f>SalesData[[#This Row],[Quantity_Sold]]*SalesData[[#This Row],[Unit_Price]]</f>
        <v>46074</v>
      </c>
      <c r="P292">
        <f>SalesData[[#This Row],[Gross_sales]]*(1-SalesData[[#This Row],[Discount]])</f>
        <v>45613.26</v>
      </c>
      <c r="Q292" s="2">
        <f>SalesData[[#This Row],[Sales_amount]]-SalesData[[#This Row],[Total_Cost]]</f>
        <v>2542.8600000000006</v>
      </c>
      <c r="R292" s="2">
        <f>SalesData[[#This Row],[Profit]]/SalesData[[#This Row],[Sales_amount]]</f>
        <v>5.5748262676248099E-2</v>
      </c>
      <c r="S292" s="2">
        <f>SalesData[[#This Row],[Unit_Price]]-SalesData[[#This Row],[Unit_Cost]]</f>
        <v>150.17999999999984</v>
      </c>
      <c r="T292" s="10">
        <f>SalesData[[#This Row],[Unit_Margin]]/SalesData[[#This Row],[Unit_Price]]</f>
        <v>6.5190780049485544E-2</v>
      </c>
      <c r="U292" s="2" t="str">
        <f>IF(SalesData[[#This Row],[Unit_Margin]]&lt;0, "Negative margin", "Positive margin")</f>
        <v>Positive margin</v>
      </c>
      <c r="V292" s="2" t="str">
        <f>IF(SalesData[[#This Row],[Profit]]&lt;0, "Loss", "Profit")</f>
        <v>Profit</v>
      </c>
      <c r="W292" s="2">
        <f>SalesData[[#This Row],[Unit_Price]]*(1-SalesData[[#This Row],[Discount]])</f>
        <v>2280.663</v>
      </c>
      <c r="X292" s="2">
        <f>SalesData[[#This Row],[Effective_Unit_Price]]-SalesData[[#This Row],[Unit_Cost]]</f>
        <v>127.14300000000003</v>
      </c>
      <c r="Y292" s="2" t="str">
        <f>IF(SalesData[[#This Row],[Effective_Unit_Margin]]&lt;0,"Loss per Unit","Positive per Unit")</f>
        <v>Positive per Unit</v>
      </c>
    </row>
    <row r="293" spans="1:25" x14ac:dyDescent="0.3">
      <c r="A293">
        <v>1048</v>
      </c>
      <c r="B293" s="1">
        <v>45137</v>
      </c>
      <c r="C293" t="s">
        <v>41</v>
      </c>
      <c r="D293" t="s">
        <v>14</v>
      </c>
      <c r="E293">
        <v>6</v>
      </c>
      <c r="F293" t="s">
        <v>15</v>
      </c>
      <c r="G293">
        <v>1945.27</v>
      </c>
      <c r="H293">
        <v>2309.4299999999998</v>
      </c>
      <c r="I293" t="s">
        <v>29</v>
      </c>
      <c r="J293" s="2">
        <v>0.26</v>
      </c>
      <c r="K293" t="s">
        <v>30</v>
      </c>
      <c r="L293" t="s">
        <v>18</v>
      </c>
      <c r="M293" t="s">
        <v>48</v>
      </c>
      <c r="N293">
        <f>SalesData[[#This Row],[Quantity_Sold]]*SalesData[[#This Row],[Unit_Cost]]</f>
        <v>11671.619999999999</v>
      </c>
      <c r="O293">
        <f>SalesData[[#This Row],[Quantity_Sold]]*SalesData[[#This Row],[Unit_Price]]</f>
        <v>13856.579999999998</v>
      </c>
      <c r="P293">
        <f>SalesData[[#This Row],[Gross_sales]]*(1-SalesData[[#This Row],[Discount]])</f>
        <v>10253.869199999999</v>
      </c>
      <c r="Q293" s="2">
        <f>SalesData[[#This Row],[Sales_amount]]-SalesData[[#This Row],[Total_Cost]]</f>
        <v>-1417.7507999999998</v>
      </c>
      <c r="R293" s="2">
        <f>SalesData[[#This Row],[Profit]]/SalesData[[#This Row],[Sales_amount]]</f>
        <v>-0.13826495855827767</v>
      </c>
      <c r="S293" s="2">
        <f>SalesData[[#This Row],[Unit_Price]]-SalesData[[#This Row],[Unit_Cost]]</f>
        <v>364.15999999999985</v>
      </c>
      <c r="T293" s="10">
        <f>SalesData[[#This Row],[Unit_Margin]]/SalesData[[#This Row],[Unit_Price]]</f>
        <v>0.15768393066687444</v>
      </c>
      <c r="U293" s="2" t="str">
        <f>IF(SalesData[[#This Row],[Unit_Margin]]&lt;0, "Negative margin", "Positive margin")</f>
        <v>Positive margin</v>
      </c>
      <c r="V293" s="2" t="str">
        <f>IF(SalesData[[#This Row],[Profit]]&lt;0, "Loss", "Profit")</f>
        <v>Loss</v>
      </c>
      <c r="W293" s="2">
        <f>SalesData[[#This Row],[Unit_Price]]*(1-SalesData[[#This Row],[Discount]])</f>
        <v>1708.9781999999998</v>
      </c>
      <c r="X293" s="2">
        <f>SalesData[[#This Row],[Effective_Unit_Price]]-SalesData[[#This Row],[Unit_Cost]]</f>
        <v>-236.29180000000019</v>
      </c>
      <c r="Y293" s="2" t="str">
        <f>IF(SalesData[[#This Row],[Effective_Unit_Margin]]&lt;0,"Loss per Unit","Positive per Unit")</f>
        <v>Loss per Unit</v>
      </c>
    </row>
    <row r="294" spans="1:25" x14ac:dyDescent="0.3">
      <c r="A294">
        <v>1012</v>
      </c>
      <c r="B294" s="1">
        <v>45244</v>
      </c>
      <c r="C294" t="s">
        <v>37</v>
      </c>
      <c r="D294" t="s">
        <v>14</v>
      </c>
      <c r="E294">
        <v>6</v>
      </c>
      <c r="F294" t="s">
        <v>28</v>
      </c>
      <c r="G294">
        <v>3609.42</v>
      </c>
      <c r="H294">
        <v>4082.62</v>
      </c>
      <c r="I294" t="s">
        <v>16</v>
      </c>
      <c r="J294" s="2">
        <v>0.3</v>
      </c>
      <c r="K294" t="s">
        <v>26</v>
      </c>
      <c r="L294" t="s">
        <v>21</v>
      </c>
      <c r="M294" t="s">
        <v>39</v>
      </c>
      <c r="N294">
        <f>SalesData[[#This Row],[Quantity_Sold]]*SalesData[[#This Row],[Unit_Cost]]</f>
        <v>21656.52</v>
      </c>
      <c r="O294">
        <f>SalesData[[#This Row],[Quantity_Sold]]*SalesData[[#This Row],[Unit_Price]]</f>
        <v>24495.72</v>
      </c>
      <c r="P294">
        <f>SalesData[[#This Row],[Gross_sales]]*(1-SalesData[[#This Row],[Discount]])</f>
        <v>17147.004000000001</v>
      </c>
      <c r="Q294" s="2">
        <f>SalesData[[#This Row],[Sales_amount]]-SalesData[[#This Row],[Total_Cost]]</f>
        <v>-4509.5159999999996</v>
      </c>
      <c r="R294" s="2">
        <f>SalesData[[#This Row],[Profit]]/SalesData[[#This Row],[Sales_amount]]</f>
        <v>-0.26299148236041697</v>
      </c>
      <c r="S294" s="2">
        <f>SalesData[[#This Row],[Unit_Price]]-SalesData[[#This Row],[Unit_Cost]]</f>
        <v>473.19999999999982</v>
      </c>
      <c r="T294" s="10">
        <f>SalesData[[#This Row],[Unit_Margin]]/SalesData[[#This Row],[Unit_Price]]</f>
        <v>0.11590596234770804</v>
      </c>
      <c r="U294" s="2" t="str">
        <f>IF(SalesData[[#This Row],[Unit_Margin]]&lt;0, "Negative margin", "Positive margin")</f>
        <v>Positive margin</v>
      </c>
      <c r="V294" s="2" t="str">
        <f>IF(SalesData[[#This Row],[Profit]]&lt;0, "Loss", "Profit")</f>
        <v>Loss</v>
      </c>
      <c r="W294" s="2">
        <f>SalesData[[#This Row],[Unit_Price]]*(1-SalesData[[#This Row],[Discount]])</f>
        <v>2857.8339999999998</v>
      </c>
      <c r="X294" s="2">
        <f>SalesData[[#This Row],[Effective_Unit_Price]]-SalesData[[#This Row],[Unit_Cost]]</f>
        <v>-751.58600000000024</v>
      </c>
      <c r="Y294" s="2" t="str">
        <f>IF(SalesData[[#This Row],[Effective_Unit_Margin]]&lt;0,"Loss per Unit","Positive per Unit")</f>
        <v>Loss per Unit</v>
      </c>
    </row>
    <row r="295" spans="1:25" x14ac:dyDescent="0.3">
      <c r="A295">
        <v>1069</v>
      </c>
      <c r="B295" s="1">
        <v>44958</v>
      </c>
      <c r="C295" t="s">
        <v>37</v>
      </c>
      <c r="D295" t="s">
        <v>14</v>
      </c>
      <c r="E295">
        <v>18</v>
      </c>
      <c r="F295" t="s">
        <v>15</v>
      </c>
      <c r="G295">
        <v>2760.21</v>
      </c>
      <c r="H295">
        <v>3219.58</v>
      </c>
      <c r="I295" t="s">
        <v>29</v>
      </c>
      <c r="J295" s="2">
        <v>0.27</v>
      </c>
      <c r="K295" t="s">
        <v>26</v>
      </c>
      <c r="L295" t="s">
        <v>21</v>
      </c>
      <c r="M295" t="s">
        <v>39</v>
      </c>
      <c r="N295">
        <f>SalesData[[#This Row],[Quantity_Sold]]*SalesData[[#This Row],[Unit_Cost]]</f>
        <v>49683.78</v>
      </c>
      <c r="O295">
        <f>SalesData[[#This Row],[Quantity_Sold]]*SalesData[[#This Row],[Unit_Price]]</f>
        <v>57952.44</v>
      </c>
      <c r="P295">
        <f>SalesData[[#This Row],[Gross_sales]]*(1-SalesData[[#This Row],[Discount]])</f>
        <v>42305.281199999998</v>
      </c>
      <c r="Q295" s="2">
        <f>SalesData[[#This Row],[Sales_amount]]-SalesData[[#This Row],[Total_Cost]]</f>
        <v>-7378.4988000000012</v>
      </c>
      <c r="R295" s="2">
        <f>SalesData[[#This Row],[Profit]]/SalesData[[#This Row],[Sales_amount]]</f>
        <v>-0.17441082036821448</v>
      </c>
      <c r="S295" s="2">
        <f>SalesData[[#This Row],[Unit_Price]]-SalesData[[#This Row],[Unit_Cost]]</f>
        <v>459.36999999999989</v>
      </c>
      <c r="T295" s="10">
        <f>SalesData[[#This Row],[Unit_Margin]]/SalesData[[#This Row],[Unit_Price]]</f>
        <v>0.14268010113120341</v>
      </c>
      <c r="U295" s="2" t="str">
        <f>IF(SalesData[[#This Row],[Unit_Margin]]&lt;0, "Negative margin", "Positive margin")</f>
        <v>Positive margin</v>
      </c>
      <c r="V295" s="2" t="str">
        <f>IF(SalesData[[#This Row],[Profit]]&lt;0, "Loss", "Profit")</f>
        <v>Loss</v>
      </c>
      <c r="W295" s="2">
        <f>SalesData[[#This Row],[Unit_Price]]*(1-SalesData[[#This Row],[Discount]])</f>
        <v>2350.2934</v>
      </c>
      <c r="X295" s="2">
        <f>SalesData[[#This Row],[Effective_Unit_Price]]-SalesData[[#This Row],[Unit_Cost]]</f>
        <v>-409.91660000000002</v>
      </c>
      <c r="Y295" s="2" t="str">
        <f>IF(SalesData[[#This Row],[Effective_Unit_Margin]]&lt;0,"Loss per Unit","Positive per Unit")</f>
        <v>Loss per Unit</v>
      </c>
    </row>
    <row r="296" spans="1:25" x14ac:dyDescent="0.3">
      <c r="A296">
        <v>1037</v>
      </c>
      <c r="B296" s="1">
        <v>45084</v>
      </c>
      <c r="C296" t="s">
        <v>41</v>
      </c>
      <c r="D296" t="s">
        <v>24</v>
      </c>
      <c r="E296">
        <v>4</v>
      </c>
      <c r="F296" t="s">
        <v>25</v>
      </c>
      <c r="G296">
        <v>4721.7</v>
      </c>
      <c r="H296">
        <v>5017.58</v>
      </c>
      <c r="I296" t="s">
        <v>29</v>
      </c>
      <c r="J296" s="2">
        <v>0.24</v>
      </c>
      <c r="K296" t="s">
        <v>17</v>
      </c>
      <c r="L296" t="s">
        <v>21</v>
      </c>
      <c r="M296" t="s">
        <v>42</v>
      </c>
      <c r="N296">
        <f>SalesData[[#This Row],[Quantity_Sold]]*SalesData[[#This Row],[Unit_Cost]]</f>
        <v>18886.8</v>
      </c>
      <c r="O296">
        <f>SalesData[[#This Row],[Quantity_Sold]]*SalesData[[#This Row],[Unit_Price]]</f>
        <v>20070.32</v>
      </c>
      <c r="P296">
        <f>SalesData[[#This Row],[Gross_sales]]*(1-SalesData[[#This Row],[Discount]])</f>
        <v>15253.4432</v>
      </c>
      <c r="Q296" s="2">
        <f>SalesData[[#This Row],[Sales_amount]]-SalesData[[#This Row],[Total_Cost]]</f>
        <v>-3633.3567999999996</v>
      </c>
      <c r="R296" s="2">
        <f>SalesData[[#This Row],[Profit]]/SalesData[[#This Row],[Sales_amount]]</f>
        <v>-0.23819912346085897</v>
      </c>
      <c r="S296" s="2">
        <f>SalesData[[#This Row],[Unit_Price]]-SalesData[[#This Row],[Unit_Cost]]</f>
        <v>295.88000000000011</v>
      </c>
      <c r="T296" s="10">
        <f>SalesData[[#This Row],[Unit_Margin]]/SalesData[[#This Row],[Unit_Price]]</f>
        <v>5.8968666169747191E-2</v>
      </c>
      <c r="U296" s="2" t="str">
        <f>IF(SalesData[[#This Row],[Unit_Margin]]&lt;0, "Negative margin", "Positive margin")</f>
        <v>Positive margin</v>
      </c>
      <c r="V296" s="2" t="str">
        <f>IF(SalesData[[#This Row],[Profit]]&lt;0, "Loss", "Profit")</f>
        <v>Loss</v>
      </c>
      <c r="W296" s="2">
        <f>SalesData[[#This Row],[Unit_Price]]*(1-SalesData[[#This Row],[Discount]])</f>
        <v>3813.3607999999999</v>
      </c>
      <c r="X296" s="2">
        <f>SalesData[[#This Row],[Effective_Unit_Price]]-SalesData[[#This Row],[Unit_Cost]]</f>
        <v>-908.33919999999989</v>
      </c>
      <c r="Y296" s="2" t="str">
        <f>IF(SalesData[[#This Row],[Effective_Unit_Margin]]&lt;0,"Loss per Unit","Positive per Unit")</f>
        <v>Loss per Unit</v>
      </c>
    </row>
    <row r="297" spans="1:25" x14ac:dyDescent="0.3">
      <c r="A297">
        <v>1032</v>
      </c>
      <c r="B297" s="1">
        <v>45211</v>
      </c>
      <c r="C297" t="s">
        <v>41</v>
      </c>
      <c r="D297" t="s">
        <v>14</v>
      </c>
      <c r="E297">
        <v>17</v>
      </c>
      <c r="F297" t="s">
        <v>28</v>
      </c>
      <c r="G297">
        <v>1291.9100000000001</v>
      </c>
      <c r="H297">
        <v>1528.59</v>
      </c>
      <c r="I297" t="s">
        <v>16</v>
      </c>
      <c r="J297" s="2">
        <v>0.11</v>
      </c>
      <c r="K297" t="s">
        <v>30</v>
      </c>
      <c r="L297" t="s">
        <v>21</v>
      </c>
      <c r="M297" t="s">
        <v>48</v>
      </c>
      <c r="N297">
        <f>SalesData[[#This Row],[Quantity_Sold]]*SalesData[[#This Row],[Unit_Cost]]</f>
        <v>21962.47</v>
      </c>
      <c r="O297">
        <f>SalesData[[#This Row],[Quantity_Sold]]*SalesData[[#This Row],[Unit_Price]]</f>
        <v>25986.03</v>
      </c>
      <c r="P297">
        <f>SalesData[[#This Row],[Gross_sales]]*(1-SalesData[[#This Row],[Discount]])</f>
        <v>23127.566699999999</v>
      </c>
      <c r="Q297" s="2">
        <f>SalesData[[#This Row],[Sales_amount]]-SalesData[[#This Row],[Total_Cost]]</f>
        <v>1165.0966999999982</v>
      </c>
      <c r="R297" s="2">
        <f>SalesData[[#This Row],[Profit]]/SalesData[[#This Row],[Sales_amount]]</f>
        <v>5.0376968537723353E-2</v>
      </c>
      <c r="S297" s="2">
        <f>SalesData[[#This Row],[Unit_Price]]-SalesData[[#This Row],[Unit_Cost]]</f>
        <v>236.67999999999984</v>
      </c>
      <c r="T297" s="10">
        <f>SalesData[[#This Row],[Unit_Margin]]/SalesData[[#This Row],[Unit_Price]]</f>
        <v>0.15483550199857374</v>
      </c>
      <c r="U297" s="2" t="str">
        <f>IF(SalesData[[#This Row],[Unit_Margin]]&lt;0, "Negative margin", "Positive margin")</f>
        <v>Positive margin</v>
      </c>
      <c r="V297" s="2" t="str">
        <f>IF(SalesData[[#This Row],[Profit]]&lt;0, "Loss", "Profit")</f>
        <v>Profit</v>
      </c>
      <c r="W297" s="2">
        <f>SalesData[[#This Row],[Unit_Price]]*(1-SalesData[[#This Row],[Discount]])</f>
        <v>1360.4450999999999</v>
      </c>
      <c r="X297" s="2">
        <f>SalesData[[#This Row],[Effective_Unit_Price]]-SalesData[[#This Row],[Unit_Cost]]</f>
        <v>68.535099999999829</v>
      </c>
      <c r="Y297" s="2" t="str">
        <f>IF(SalesData[[#This Row],[Effective_Unit_Margin]]&lt;0,"Loss per Unit","Positive per Unit")</f>
        <v>Positive per Unit</v>
      </c>
    </row>
    <row r="298" spans="1:25" x14ac:dyDescent="0.3">
      <c r="A298">
        <v>1009</v>
      </c>
      <c r="B298" s="1">
        <v>45231</v>
      </c>
      <c r="C298" t="s">
        <v>13</v>
      </c>
      <c r="D298" t="s">
        <v>24</v>
      </c>
      <c r="E298">
        <v>14</v>
      </c>
      <c r="F298" t="s">
        <v>25</v>
      </c>
      <c r="G298">
        <v>547.79</v>
      </c>
      <c r="H298">
        <v>958.76</v>
      </c>
      <c r="I298" t="s">
        <v>16</v>
      </c>
      <c r="J298" s="2">
        <v>7.0000000000000007E-2</v>
      </c>
      <c r="K298" t="s">
        <v>30</v>
      </c>
      <c r="L298" t="s">
        <v>21</v>
      </c>
      <c r="M298" t="s">
        <v>31</v>
      </c>
      <c r="N298">
        <f>SalesData[[#This Row],[Quantity_Sold]]*SalesData[[#This Row],[Unit_Cost]]</f>
        <v>7669.0599999999995</v>
      </c>
      <c r="O298">
        <f>SalesData[[#This Row],[Quantity_Sold]]*SalesData[[#This Row],[Unit_Price]]</f>
        <v>13422.64</v>
      </c>
      <c r="P298">
        <f>SalesData[[#This Row],[Gross_sales]]*(1-SalesData[[#This Row],[Discount]])</f>
        <v>12483.055199999999</v>
      </c>
      <c r="Q298" s="2">
        <f>SalesData[[#This Row],[Sales_amount]]-SalesData[[#This Row],[Total_Cost]]</f>
        <v>4813.9951999999994</v>
      </c>
      <c r="R298" s="2">
        <f>SalesData[[#This Row],[Profit]]/SalesData[[#This Row],[Sales_amount]]</f>
        <v>0.38564238664906325</v>
      </c>
      <c r="S298" s="2">
        <f>SalesData[[#This Row],[Unit_Price]]-SalesData[[#This Row],[Unit_Cost]]</f>
        <v>410.97</v>
      </c>
      <c r="T298" s="10">
        <f>SalesData[[#This Row],[Unit_Margin]]/SalesData[[#This Row],[Unit_Price]]</f>
        <v>0.4286474195836289</v>
      </c>
      <c r="U298" s="2" t="str">
        <f>IF(SalesData[[#This Row],[Unit_Margin]]&lt;0, "Negative margin", "Positive margin")</f>
        <v>Positive margin</v>
      </c>
      <c r="V298" s="2" t="str">
        <f>IF(SalesData[[#This Row],[Profit]]&lt;0, "Loss", "Profit")</f>
        <v>Profit</v>
      </c>
      <c r="W298" s="2">
        <f>SalesData[[#This Row],[Unit_Price]]*(1-SalesData[[#This Row],[Discount]])</f>
        <v>891.64679999999998</v>
      </c>
      <c r="X298" s="2">
        <f>SalesData[[#This Row],[Effective_Unit_Price]]-SalesData[[#This Row],[Unit_Cost]]</f>
        <v>343.85680000000002</v>
      </c>
      <c r="Y298" s="2" t="str">
        <f>IF(SalesData[[#This Row],[Effective_Unit_Margin]]&lt;0,"Loss per Unit","Positive per Unit")</f>
        <v>Positive per Unit</v>
      </c>
    </row>
    <row r="299" spans="1:25" x14ac:dyDescent="0.3">
      <c r="A299">
        <v>1099</v>
      </c>
      <c r="B299" s="1">
        <v>45212</v>
      </c>
      <c r="C299" t="s">
        <v>32</v>
      </c>
      <c r="D299" t="s">
        <v>14</v>
      </c>
      <c r="E299">
        <v>14</v>
      </c>
      <c r="F299" t="s">
        <v>25</v>
      </c>
      <c r="G299">
        <v>1996.64</v>
      </c>
      <c r="H299">
        <v>2341.4699999999998</v>
      </c>
      <c r="I299" t="s">
        <v>16</v>
      </c>
      <c r="J299" s="2">
        <v>0.22</v>
      </c>
      <c r="K299" t="s">
        <v>30</v>
      </c>
      <c r="L299" t="s">
        <v>18</v>
      </c>
      <c r="M299" t="s">
        <v>52</v>
      </c>
      <c r="N299">
        <f>SalesData[[#This Row],[Quantity_Sold]]*SalesData[[#This Row],[Unit_Cost]]</f>
        <v>27952.960000000003</v>
      </c>
      <c r="O299">
        <f>SalesData[[#This Row],[Quantity_Sold]]*SalesData[[#This Row],[Unit_Price]]</f>
        <v>32780.579999999994</v>
      </c>
      <c r="P299">
        <f>SalesData[[#This Row],[Gross_sales]]*(1-SalesData[[#This Row],[Discount]])</f>
        <v>25568.852399999996</v>
      </c>
      <c r="Q299" s="2">
        <f>SalesData[[#This Row],[Sales_amount]]-SalesData[[#This Row],[Total_Cost]]</f>
        <v>-2384.1076000000066</v>
      </c>
      <c r="R299" s="2">
        <f>SalesData[[#This Row],[Profit]]/SalesData[[#This Row],[Sales_amount]]</f>
        <v>-9.3242651750768721E-2</v>
      </c>
      <c r="S299" s="2">
        <f>SalesData[[#This Row],[Unit_Price]]-SalesData[[#This Row],[Unit_Cost]]</f>
        <v>344.8299999999997</v>
      </c>
      <c r="T299" s="10">
        <f>SalesData[[#This Row],[Unit_Margin]]/SalesData[[#This Row],[Unit_Price]]</f>
        <v>0.14727073163440049</v>
      </c>
      <c r="U299" s="2" t="str">
        <f>IF(SalesData[[#This Row],[Unit_Margin]]&lt;0, "Negative margin", "Positive margin")</f>
        <v>Positive margin</v>
      </c>
      <c r="V299" s="2" t="str">
        <f>IF(SalesData[[#This Row],[Profit]]&lt;0, "Loss", "Profit")</f>
        <v>Loss</v>
      </c>
      <c r="W299" s="2">
        <f>SalesData[[#This Row],[Unit_Price]]*(1-SalesData[[#This Row],[Discount]])</f>
        <v>1826.3465999999999</v>
      </c>
      <c r="X299" s="2">
        <f>SalesData[[#This Row],[Effective_Unit_Price]]-SalesData[[#This Row],[Unit_Cost]]</f>
        <v>-170.29340000000025</v>
      </c>
      <c r="Y299" s="2" t="str">
        <f>IF(SalesData[[#This Row],[Effective_Unit_Margin]]&lt;0,"Loss per Unit","Positive per Unit")</f>
        <v>Loss per Unit</v>
      </c>
    </row>
    <row r="300" spans="1:25" x14ac:dyDescent="0.3">
      <c r="A300">
        <v>1019</v>
      </c>
      <c r="B300" s="1">
        <v>45070</v>
      </c>
      <c r="C300" t="s">
        <v>37</v>
      </c>
      <c r="D300" t="s">
        <v>24</v>
      </c>
      <c r="E300">
        <v>13</v>
      </c>
      <c r="F300" t="s">
        <v>25</v>
      </c>
      <c r="G300">
        <v>3102.73</v>
      </c>
      <c r="H300">
        <v>3202.68</v>
      </c>
      <c r="I300" t="s">
        <v>29</v>
      </c>
      <c r="J300" s="2">
        <v>0.09</v>
      </c>
      <c r="K300" t="s">
        <v>17</v>
      </c>
      <c r="L300" t="s">
        <v>18</v>
      </c>
      <c r="M300" t="s">
        <v>38</v>
      </c>
      <c r="N300">
        <f>SalesData[[#This Row],[Quantity_Sold]]*SalesData[[#This Row],[Unit_Cost]]</f>
        <v>40335.49</v>
      </c>
      <c r="O300">
        <f>SalesData[[#This Row],[Quantity_Sold]]*SalesData[[#This Row],[Unit_Price]]</f>
        <v>41634.839999999997</v>
      </c>
      <c r="P300">
        <f>SalesData[[#This Row],[Gross_sales]]*(1-SalesData[[#This Row],[Discount]])</f>
        <v>37887.704399999995</v>
      </c>
      <c r="Q300" s="2">
        <f>SalesData[[#This Row],[Sales_amount]]-SalesData[[#This Row],[Total_Cost]]</f>
        <v>-2447.7856000000029</v>
      </c>
      <c r="R300" s="2">
        <f>SalesData[[#This Row],[Profit]]/SalesData[[#This Row],[Sales_amount]]</f>
        <v>-6.4606331757592658E-2</v>
      </c>
      <c r="S300" s="2">
        <f>SalesData[[#This Row],[Unit_Price]]-SalesData[[#This Row],[Unit_Cost]]</f>
        <v>99.949999999999818</v>
      </c>
      <c r="T300" s="10">
        <f>SalesData[[#This Row],[Unit_Margin]]/SalesData[[#This Row],[Unit_Price]]</f>
        <v>3.1208238100590702E-2</v>
      </c>
      <c r="U300" s="2" t="str">
        <f>IF(SalesData[[#This Row],[Unit_Margin]]&lt;0, "Negative margin", "Positive margin")</f>
        <v>Positive margin</v>
      </c>
      <c r="V300" s="2" t="str">
        <f>IF(SalesData[[#This Row],[Profit]]&lt;0, "Loss", "Profit")</f>
        <v>Loss</v>
      </c>
      <c r="W300" s="2">
        <f>SalesData[[#This Row],[Unit_Price]]*(1-SalesData[[#This Row],[Discount]])</f>
        <v>2914.4387999999999</v>
      </c>
      <c r="X300" s="2">
        <f>SalesData[[#This Row],[Effective_Unit_Price]]-SalesData[[#This Row],[Unit_Cost]]</f>
        <v>-188.29120000000012</v>
      </c>
      <c r="Y300" s="2" t="str">
        <f>IF(SalesData[[#This Row],[Effective_Unit_Margin]]&lt;0,"Loss per Unit","Positive per Unit")</f>
        <v>Loss per Unit</v>
      </c>
    </row>
    <row r="301" spans="1:25" x14ac:dyDescent="0.3">
      <c r="A301">
        <v>1048</v>
      </c>
      <c r="B301" s="1">
        <v>44945</v>
      </c>
      <c r="C301" t="s">
        <v>13</v>
      </c>
      <c r="D301" t="s">
        <v>20</v>
      </c>
      <c r="E301">
        <v>7</v>
      </c>
      <c r="F301" t="s">
        <v>28</v>
      </c>
      <c r="G301">
        <v>4310.95</v>
      </c>
      <c r="H301">
        <v>4723.2</v>
      </c>
      <c r="I301" t="s">
        <v>16</v>
      </c>
      <c r="J301" s="2">
        <v>0.05</v>
      </c>
      <c r="K301" t="s">
        <v>30</v>
      </c>
      <c r="L301" t="s">
        <v>21</v>
      </c>
      <c r="M301" t="s">
        <v>22</v>
      </c>
      <c r="N301">
        <f>SalesData[[#This Row],[Quantity_Sold]]*SalesData[[#This Row],[Unit_Cost]]</f>
        <v>30176.649999999998</v>
      </c>
      <c r="O301">
        <f>SalesData[[#This Row],[Quantity_Sold]]*SalesData[[#This Row],[Unit_Price]]</f>
        <v>33062.400000000001</v>
      </c>
      <c r="P301">
        <f>SalesData[[#This Row],[Gross_sales]]*(1-SalesData[[#This Row],[Discount]])</f>
        <v>31409.279999999999</v>
      </c>
      <c r="Q301" s="2">
        <f>SalesData[[#This Row],[Sales_amount]]-SalesData[[#This Row],[Total_Cost]]</f>
        <v>1232.630000000001</v>
      </c>
      <c r="R301" s="2">
        <f>SalesData[[#This Row],[Profit]]/SalesData[[#This Row],[Sales_amount]]</f>
        <v>3.9244134217658003E-2</v>
      </c>
      <c r="S301" s="2">
        <f>SalesData[[#This Row],[Unit_Price]]-SalesData[[#This Row],[Unit_Cost]]</f>
        <v>412.25</v>
      </c>
      <c r="T301" s="10">
        <f>SalesData[[#This Row],[Unit_Margin]]/SalesData[[#This Row],[Unit_Price]]</f>
        <v>8.7281927506775075E-2</v>
      </c>
      <c r="U301" s="2" t="str">
        <f>IF(SalesData[[#This Row],[Unit_Margin]]&lt;0, "Negative margin", "Positive margin")</f>
        <v>Positive margin</v>
      </c>
      <c r="V301" s="2" t="str">
        <f>IF(SalesData[[#This Row],[Profit]]&lt;0, "Loss", "Profit")</f>
        <v>Profit</v>
      </c>
      <c r="W301" s="2">
        <f>SalesData[[#This Row],[Unit_Price]]*(1-SalesData[[#This Row],[Discount]])</f>
        <v>4487.04</v>
      </c>
      <c r="X301" s="2">
        <f>SalesData[[#This Row],[Effective_Unit_Price]]-SalesData[[#This Row],[Unit_Cost]]</f>
        <v>176.09000000000015</v>
      </c>
      <c r="Y301" s="2" t="str">
        <f>IF(SalesData[[#This Row],[Effective_Unit_Margin]]&lt;0,"Loss per Unit","Positive per Unit")</f>
        <v>Positive per Unit</v>
      </c>
    </row>
    <row r="302" spans="1:25" x14ac:dyDescent="0.3">
      <c r="A302">
        <v>1080</v>
      </c>
      <c r="B302" s="1">
        <v>44944</v>
      </c>
      <c r="C302" t="s">
        <v>32</v>
      </c>
      <c r="D302" t="s">
        <v>33</v>
      </c>
      <c r="E302">
        <v>44</v>
      </c>
      <c r="F302" t="s">
        <v>34</v>
      </c>
      <c r="G302">
        <v>1763.67</v>
      </c>
      <c r="H302">
        <v>1983.82</v>
      </c>
      <c r="I302" t="s">
        <v>29</v>
      </c>
      <c r="J302" s="2">
        <v>0.24</v>
      </c>
      <c r="K302" t="s">
        <v>30</v>
      </c>
      <c r="L302" t="s">
        <v>18</v>
      </c>
      <c r="M302" t="s">
        <v>35</v>
      </c>
      <c r="N302">
        <f>SalesData[[#This Row],[Quantity_Sold]]*SalesData[[#This Row],[Unit_Cost]]</f>
        <v>77601.48000000001</v>
      </c>
      <c r="O302">
        <f>SalesData[[#This Row],[Quantity_Sold]]*SalesData[[#This Row],[Unit_Price]]</f>
        <v>87288.08</v>
      </c>
      <c r="P302">
        <f>SalesData[[#This Row],[Gross_sales]]*(1-SalesData[[#This Row],[Discount]])</f>
        <v>66338.940799999997</v>
      </c>
      <c r="Q302" s="2">
        <f>SalesData[[#This Row],[Sales_amount]]-SalesData[[#This Row],[Total_Cost]]</f>
        <v>-11262.539200000014</v>
      </c>
      <c r="R302" s="2">
        <f>SalesData[[#This Row],[Profit]]/SalesData[[#This Row],[Sales_amount]]</f>
        <v>-0.16977267143825145</v>
      </c>
      <c r="S302" s="2">
        <f>SalesData[[#This Row],[Unit_Price]]-SalesData[[#This Row],[Unit_Cost]]</f>
        <v>220.14999999999986</v>
      </c>
      <c r="T302" s="10">
        <f>SalesData[[#This Row],[Unit_Margin]]/SalesData[[#This Row],[Unit_Price]]</f>
        <v>0.11097276970692899</v>
      </c>
      <c r="U302" s="2" t="str">
        <f>IF(SalesData[[#This Row],[Unit_Margin]]&lt;0, "Negative margin", "Positive margin")</f>
        <v>Positive margin</v>
      </c>
      <c r="V302" s="2" t="str">
        <f>IF(SalesData[[#This Row],[Profit]]&lt;0, "Loss", "Profit")</f>
        <v>Loss</v>
      </c>
      <c r="W302" s="2">
        <f>SalesData[[#This Row],[Unit_Price]]*(1-SalesData[[#This Row],[Discount]])</f>
        <v>1507.7031999999999</v>
      </c>
      <c r="X302" s="2">
        <f>SalesData[[#This Row],[Effective_Unit_Price]]-SalesData[[#This Row],[Unit_Cost]]</f>
        <v>-255.96680000000015</v>
      </c>
      <c r="Y302" s="2" t="str">
        <f>IF(SalesData[[#This Row],[Effective_Unit_Margin]]&lt;0,"Loss per Unit","Positive per Unit")</f>
        <v>Loss per Unit</v>
      </c>
    </row>
    <row r="303" spans="1:25" x14ac:dyDescent="0.3">
      <c r="A303">
        <v>1003</v>
      </c>
      <c r="B303" s="1">
        <v>45183</v>
      </c>
      <c r="C303" t="s">
        <v>13</v>
      </c>
      <c r="D303" t="s">
        <v>20</v>
      </c>
      <c r="E303">
        <v>15</v>
      </c>
      <c r="F303" t="s">
        <v>28</v>
      </c>
      <c r="G303">
        <v>3286.24</v>
      </c>
      <c r="H303">
        <v>3388.8399999999901</v>
      </c>
      <c r="I303" t="s">
        <v>16</v>
      </c>
      <c r="J303" s="2">
        <v>0.09</v>
      </c>
      <c r="K303" t="s">
        <v>30</v>
      </c>
      <c r="L303" t="s">
        <v>21</v>
      </c>
      <c r="M303" t="s">
        <v>22</v>
      </c>
      <c r="N303">
        <f>SalesData[[#This Row],[Quantity_Sold]]*SalesData[[#This Row],[Unit_Cost]]</f>
        <v>49293.599999999999</v>
      </c>
      <c r="O303">
        <f>SalesData[[#This Row],[Quantity_Sold]]*SalesData[[#This Row],[Unit_Price]]</f>
        <v>50832.599999999853</v>
      </c>
      <c r="P303">
        <f>SalesData[[#This Row],[Gross_sales]]*(1-SalesData[[#This Row],[Discount]])</f>
        <v>46257.665999999866</v>
      </c>
      <c r="Q303" s="2">
        <f>SalesData[[#This Row],[Sales_amount]]-SalesData[[#This Row],[Total_Cost]]</f>
        <v>-3035.9340000001321</v>
      </c>
      <c r="R303" s="2">
        <f>SalesData[[#This Row],[Profit]]/SalesData[[#This Row],[Sales_amount]]</f>
        <v>-6.5630937799588521E-2</v>
      </c>
      <c r="S303" s="2">
        <f>SalesData[[#This Row],[Unit_Price]]-SalesData[[#This Row],[Unit_Cost]]</f>
        <v>102.59999999999036</v>
      </c>
      <c r="T303" s="10">
        <f>SalesData[[#This Row],[Unit_Margin]]/SalesData[[#This Row],[Unit_Price]]</f>
        <v>3.0275846602374458E-2</v>
      </c>
      <c r="U303" s="2" t="str">
        <f>IF(SalesData[[#This Row],[Unit_Margin]]&lt;0, "Negative margin", "Positive margin")</f>
        <v>Positive margin</v>
      </c>
      <c r="V303" s="2" t="str">
        <f>IF(SalesData[[#This Row],[Profit]]&lt;0, "Loss", "Profit")</f>
        <v>Loss</v>
      </c>
      <c r="W303" s="2">
        <f>SalesData[[#This Row],[Unit_Price]]*(1-SalesData[[#This Row],[Discount]])</f>
        <v>3083.8443999999913</v>
      </c>
      <c r="X303" s="2">
        <f>SalesData[[#This Row],[Effective_Unit_Price]]-SalesData[[#This Row],[Unit_Cost]]</f>
        <v>-202.39560000000847</v>
      </c>
      <c r="Y303" s="2" t="str">
        <f>IF(SalesData[[#This Row],[Effective_Unit_Margin]]&lt;0,"Loss per Unit","Positive per Unit")</f>
        <v>Loss per Unit</v>
      </c>
    </row>
    <row r="304" spans="1:25" x14ac:dyDescent="0.3">
      <c r="A304">
        <v>1020</v>
      </c>
      <c r="B304" s="1">
        <v>45004</v>
      </c>
      <c r="C304" t="s">
        <v>37</v>
      </c>
      <c r="D304" t="s">
        <v>20</v>
      </c>
      <c r="E304">
        <v>19</v>
      </c>
      <c r="F304" t="s">
        <v>25</v>
      </c>
      <c r="G304">
        <v>1783.48</v>
      </c>
      <c r="H304">
        <v>1931.56</v>
      </c>
      <c r="I304" t="s">
        <v>16</v>
      </c>
      <c r="J304" s="2">
        <v>0.27</v>
      </c>
      <c r="K304" t="s">
        <v>26</v>
      </c>
      <c r="L304" t="s">
        <v>21</v>
      </c>
      <c r="M304" t="s">
        <v>40</v>
      </c>
      <c r="N304">
        <f>SalesData[[#This Row],[Quantity_Sold]]*SalesData[[#This Row],[Unit_Cost]]</f>
        <v>33886.120000000003</v>
      </c>
      <c r="O304">
        <f>SalesData[[#This Row],[Quantity_Sold]]*SalesData[[#This Row],[Unit_Price]]</f>
        <v>36699.64</v>
      </c>
      <c r="P304">
        <f>SalesData[[#This Row],[Gross_sales]]*(1-SalesData[[#This Row],[Discount]])</f>
        <v>26790.7372</v>
      </c>
      <c r="Q304" s="2">
        <f>SalesData[[#This Row],[Sales_amount]]-SalesData[[#This Row],[Total_Cost]]</f>
        <v>-7095.382800000003</v>
      </c>
      <c r="R304" s="2">
        <f>SalesData[[#This Row],[Profit]]/SalesData[[#This Row],[Sales_amount]]</f>
        <v>-0.26484462697054872</v>
      </c>
      <c r="S304" s="2">
        <f>SalesData[[#This Row],[Unit_Price]]-SalesData[[#This Row],[Unit_Cost]]</f>
        <v>148.07999999999993</v>
      </c>
      <c r="T304" s="10">
        <f>SalesData[[#This Row],[Unit_Margin]]/SalesData[[#This Row],[Unit_Price]]</f>
        <v>7.6663422311499474E-2</v>
      </c>
      <c r="U304" s="2" t="str">
        <f>IF(SalesData[[#This Row],[Unit_Margin]]&lt;0, "Negative margin", "Positive margin")</f>
        <v>Positive margin</v>
      </c>
      <c r="V304" s="2" t="str">
        <f>IF(SalesData[[#This Row],[Profit]]&lt;0, "Loss", "Profit")</f>
        <v>Loss</v>
      </c>
      <c r="W304" s="2">
        <f>SalesData[[#This Row],[Unit_Price]]*(1-SalesData[[#This Row],[Discount]])</f>
        <v>1410.0388</v>
      </c>
      <c r="X304" s="2">
        <f>SalesData[[#This Row],[Effective_Unit_Price]]-SalesData[[#This Row],[Unit_Cost]]</f>
        <v>-373.44119999999998</v>
      </c>
      <c r="Y304" s="2" t="str">
        <f>IF(SalesData[[#This Row],[Effective_Unit_Margin]]&lt;0,"Loss per Unit","Positive per Unit")</f>
        <v>Loss per Unit</v>
      </c>
    </row>
    <row r="305" spans="1:25" x14ac:dyDescent="0.3">
      <c r="A305">
        <v>1024</v>
      </c>
      <c r="B305" s="1">
        <v>45101</v>
      </c>
      <c r="C305" t="s">
        <v>41</v>
      </c>
      <c r="D305" t="s">
        <v>14</v>
      </c>
      <c r="E305">
        <v>43</v>
      </c>
      <c r="F305" t="s">
        <v>28</v>
      </c>
      <c r="G305">
        <v>3105.24</v>
      </c>
      <c r="H305">
        <v>3246.33</v>
      </c>
      <c r="I305" t="s">
        <v>29</v>
      </c>
      <c r="J305" s="2">
        <v>0.25</v>
      </c>
      <c r="K305" t="s">
        <v>17</v>
      </c>
      <c r="L305" t="s">
        <v>18</v>
      </c>
      <c r="M305" t="s">
        <v>48</v>
      </c>
      <c r="N305">
        <f>SalesData[[#This Row],[Quantity_Sold]]*SalesData[[#This Row],[Unit_Cost]]</f>
        <v>133525.31999999998</v>
      </c>
      <c r="O305">
        <f>SalesData[[#This Row],[Quantity_Sold]]*SalesData[[#This Row],[Unit_Price]]</f>
        <v>139592.19</v>
      </c>
      <c r="P305">
        <f>SalesData[[#This Row],[Gross_sales]]*(1-SalesData[[#This Row],[Discount]])</f>
        <v>104694.1425</v>
      </c>
      <c r="Q305" s="2">
        <f>SalesData[[#This Row],[Sales_amount]]-SalesData[[#This Row],[Total_Cost]]</f>
        <v>-28831.177499999976</v>
      </c>
      <c r="R305" s="2">
        <f>SalesData[[#This Row],[Profit]]/SalesData[[#This Row],[Sales_amount]]</f>
        <v>-0.27538481916502611</v>
      </c>
      <c r="S305" s="2">
        <f>SalesData[[#This Row],[Unit_Price]]-SalesData[[#This Row],[Unit_Cost]]</f>
        <v>141.09000000000015</v>
      </c>
      <c r="T305" s="10">
        <f>SalesData[[#This Row],[Unit_Margin]]/SalesData[[#This Row],[Unit_Price]]</f>
        <v>4.3461385626230281E-2</v>
      </c>
      <c r="U305" s="2" t="str">
        <f>IF(SalesData[[#This Row],[Unit_Margin]]&lt;0, "Negative margin", "Positive margin")</f>
        <v>Positive margin</v>
      </c>
      <c r="V305" s="2" t="str">
        <f>IF(SalesData[[#This Row],[Profit]]&lt;0, "Loss", "Profit")</f>
        <v>Loss</v>
      </c>
      <c r="W305" s="2">
        <f>SalesData[[#This Row],[Unit_Price]]*(1-SalesData[[#This Row],[Discount]])</f>
        <v>2434.7474999999999</v>
      </c>
      <c r="X305" s="2">
        <f>SalesData[[#This Row],[Effective_Unit_Price]]-SalesData[[#This Row],[Unit_Cost]]</f>
        <v>-670.49249999999984</v>
      </c>
      <c r="Y305" s="2" t="str">
        <f>IF(SalesData[[#This Row],[Effective_Unit_Margin]]&lt;0,"Loss per Unit","Positive per Unit")</f>
        <v>Loss per Unit</v>
      </c>
    </row>
    <row r="306" spans="1:25" x14ac:dyDescent="0.3">
      <c r="A306">
        <v>1054</v>
      </c>
      <c r="B306" s="1">
        <v>45120</v>
      </c>
      <c r="C306" t="s">
        <v>41</v>
      </c>
      <c r="D306" t="s">
        <v>24</v>
      </c>
      <c r="E306">
        <v>47</v>
      </c>
      <c r="F306" t="s">
        <v>25</v>
      </c>
      <c r="G306">
        <v>4429.8</v>
      </c>
      <c r="H306">
        <v>4694.21</v>
      </c>
      <c r="I306" t="s">
        <v>29</v>
      </c>
      <c r="J306" s="2">
        <v>0.25</v>
      </c>
      <c r="K306" t="s">
        <v>26</v>
      </c>
      <c r="L306" t="s">
        <v>18</v>
      </c>
      <c r="M306" t="s">
        <v>42</v>
      </c>
      <c r="N306">
        <f>SalesData[[#This Row],[Quantity_Sold]]*SalesData[[#This Row],[Unit_Cost]]</f>
        <v>208200.6</v>
      </c>
      <c r="O306">
        <f>SalesData[[#This Row],[Quantity_Sold]]*SalesData[[#This Row],[Unit_Price]]</f>
        <v>220627.87</v>
      </c>
      <c r="P306">
        <f>SalesData[[#This Row],[Gross_sales]]*(1-SalesData[[#This Row],[Discount]])</f>
        <v>165470.9025</v>
      </c>
      <c r="Q306" s="2">
        <f>SalesData[[#This Row],[Sales_amount]]-SalesData[[#This Row],[Total_Cost]]</f>
        <v>-42729.697500000009</v>
      </c>
      <c r="R306" s="2">
        <f>SalesData[[#This Row],[Profit]]/SalesData[[#This Row],[Sales_amount]]</f>
        <v>-0.25823088442996806</v>
      </c>
      <c r="S306" s="2">
        <f>SalesData[[#This Row],[Unit_Price]]-SalesData[[#This Row],[Unit_Cost]]</f>
        <v>264.40999999999985</v>
      </c>
      <c r="T306" s="10">
        <f>SalesData[[#This Row],[Unit_Margin]]/SalesData[[#This Row],[Unit_Price]]</f>
        <v>5.632683667752398E-2</v>
      </c>
      <c r="U306" s="2" t="str">
        <f>IF(SalesData[[#This Row],[Unit_Margin]]&lt;0, "Negative margin", "Positive margin")</f>
        <v>Positive margin</v>
      </c>
      <c r="V306" s="2" t="str">
        <f>IF(SalesData[[#This Row],[Profit]]&lt;0, "Loss", "Profit")</f>
        <v>Loss</v>
      </c>
      <c r="W306" s="2">
        <f>SalesData[[#This Row],[Unit_Price]]*(1-SalesData[[#This Row],[Discount]])</f>
        <v>3520.6575000000003</v>
      </c>
      <c r="X306" s="2">
        <f>SalesData[[#This Row],[Effective_Unit_Price]]-SalesData[[#This Row],[Unit_Cost]]</f>
        <v>-909.14249999999993</v>
      </c>
      <c r="Y306" s="2" t="str">
        <f>IF(SalesData[[#This Row],[Effective_Unit_Margin]]&lt;0,"Loss per Unit","Positive per Unit")</f>
        <v>Loss per Unit</v>
      </c>
    </row>
    <row r="307" spans="1:25" x14ac:dyDescent="0.3">
      <c r="A307">
        <v>1033</v>
      </c>
      <c r="B307" s="1">
        <v>45039</v>
      </c>
      <c r="C307" t="s">
        <v>32</v>
      </c>
      <c r="D307" t="s">
        <v>33</v>
      </c>
      <c r="E307">
        <v>44</v>
      </c>
      <c r="F307" t="s">
        <v>34</v>
      </c>
      <c r="G307">
        <v>1195.22</v>
      </c>
      <c r="H307">
        <v>1320.06</v>
      </c>
      <c r="I307" t="s">
        <v>16</v>
      </c>
      <c r="J307" s="2">
        <v>0.23</v>
      </c>
      <c r="K307" t="s">
        <v>26</v>
      </c>
      <c r="L307" t="s">
        <v>21</v>
      </c>
      <c r="M307" t="s">
        <v>35</v>
      </c>
      <c r="N307">
        <f>SalesData[[#This Row],[Quantity_Sold]]*SalesData[[#This Row],[Unit_Cost]]</f>
        <v>52589.68</v>
      </c>
      <c r="O307">
        <f>SalesData[[#This Row],[Quantity_Sold]]*SalesData[[#This Row],[Unit_Price]]</f>
        <v>58082.64</v>
      </c>
      <c r="P307">
        <f>SalesData[[#This Row],[Gross_sales]]*(1-SalesData[[#This Row],[Discount]])</f>
        <v>44723.632799999999</v>
      </c>
      <c r="Q307" s="2">
        <f>SalesData[[#This Row],[Sales_amount]]-SalesData[[#This Row],[Total_Cost]]</f>
        <v>-7866.0472000000009</v>
      </c>
      <c r="R307" s="2">
        <f>SalesData[[#This Row],[Profit]]/SalesData[[#This Row],[Sales_amount]]</f>
        <v>-0.1758812222427513</v>
      </c>
      <c r="S307" s="2">
        <f>SalesData[[#This Row],[Unit_Price]]-SalesData[[#This Row],[Unit_Cost]]</f>
        <v>124.83999999999992</v>
      </c>
      <c r="T307" s="10">
        <f>SalesData[[#This Row],[Unit_Margin]]/SalesData[[#This Row],[Unit_Price]]</f>
        <v>9.4571458873081465E-2</v>
      </c>
      <c r="U307" s="2" t="str">
        <f>IF(SalesData[[#This Row],[Unit_Margin]]&lt;0, "Negative margin", "Positive margin")</f>
        <v>Positive margin</v>
      </c>
      <c r="V307" s="2" t="str">
        <f>IF(SalesData[[#This Row],[Profit]]&lt;0, "Loss", "Profit")</f>
        <v>Loss</v>
      </c>
      <c r="W307" s="2">
        <f>SalesData[[#This Row],[Unit_Price]]*(1-SalesData[[#This Row],[Discount]])</f>
        <v>1016.4462</v>
      </c>
      <c r="X307" s="2">
        <f>SalesData[[#This Row],[Effective_Unit_Price]]-SalesData[[#This Row],[Unit_Cost]]</f>
        <v>-178.77380000000005</v>
      </c>
      <c r="Y307" s="2" t="str">
        <f>IF(SalesData[[#This Row],[Effective_Unit_Margin]]&lt;0,"Loss per Unit","Positive per Unit")</f>
        <v>Loss per Unit</v>
      </c>
    </row>
    <row r="308" spans="1:25" x14ac:dyDescent="0.3">
      <c r="A308">
        <v>1024</v>
      </c>
      <c r="B308" s="1">
        <v>45040</v>
      </c>
      <c r="C308" t="s">
        <v>23</v>
      </c>
      <c r="D308" t="s">
        <v>14</v>
      </c>
      <c r="E308">
        <v>35</v>
      </c>
      <c r="F308" t="s">
        <v>15</v>
      </c>
      <c r="G308">
        <v>2051</v>
      </c>
      <c r="H308">
        <v>2121.5500000000002</v>
      </c>
      <c r="I308" t="s">
        <v>16</v>
      </c>
      <c r="J308" s="2">
        <v>0.26</v>
      </c>
      <c r="K308" t="s">
        <v>17</v>
      </c>
      <c r="L308" t="s">
        <v>21</v>
      </c>
      <c r="M308" t="s">
        <v>44</v>
      </c>
      <c r="N308">
        <f>SalesData[[#This Row],[Quantity_Sold]]*SalesData[[#This Row],[Unit_Cost]]</f>
        <v>71785</v>
      </c>
      <c r="O308">
        <f>SalesData[[#This Row],[Quantity_Sold]]*SalesData[[#This Row],[Unit_Price]]</f>
        <v>74254.25</v>
      </c>
      <c r="P308">
        <f>SalesData[[#This Row],[Gross_sales]]*(1-SalesData[[#This Row],[Discount]])</f>
        <v>54948.144999999997</v>
      </c>
      <c r="Q308" s="2">
        <f>SalesData[[#This Row],[Sales_amount]]-SalesData[[#This Row],[Total_Cost]]</f>
        <v>-16836.855000000003</v>
      </c>
      <c r="R308" s="2">
        <f>SalesData[[#This Row],[Profit]]/SalesData[[#This Row],[Sales_amount]]</f>
        <v>-0.30641352860956461</v>
      </c>
      <c r="S308" s="2">
        <f>SalesData[[#This Row],[Unit_Price]]-SalesData[[#This Row],[Unit_Cost]]</f>
        <v>70.550000000000182</v>
      </c>
      <c r="T308" s="10">
        <f>SalesData[[#This Row],[Unit_Margin]]/SalesData[[#This Row],[Unit_Price]]</f>
        <v>3.3253988828922332E-2</v>
      </c>
      <c r="U308" s="2" t="str">
        <f>IF(SalesData[[#This Row],[Unit_Margin]]&lt;0, "Negative margin", "Positive margin")</f>
        <v>Positive margin</v>
      </c>
      <c r="V308" s="2" t="str">
        <f>IF(SalesData[[#This Row],[Profit]]&lt;0, "Loss", "Profit")</f>
        <v>Loss</v>
      </c>
      <c r="W308" s="2">
        <f>SalesData[[#This Row],[Unit_Price]]*(1-SalesData[[#This Row],[Discount]])</f>
        <v>1569.9470000000001</v>
      </c>
      <c r="X308" s="2">
        <f>SalesData[[#This Row],[Effective_Unit_Price]]-SalesData[[#This Row],[Unit_Cost]]</f>
        <v>-481.05299999999988</v>
      </c>
      <c r="Y308" s="2" t="str">
        <f>IF(SalesData[[#This Row],[Effective_Unit_Margin]]&lt;0,"Loss per Unit","Positive per Unit")</f>
        <v>Loss per Unit</v>
      </c>
    </row>
    <row r="309" spans="1:25" x14ac:dyDescent="0.3">
      <c r="A309">
        <v>1075</v>
      </c>
      <c r="B309" s="1">
        <v>45148</v>
      </c>
      <c r="C309" t="s">
        <v>32</v>
      </c>
      <c r="D309" t="s">
        <v>14</v>
      </c>
      <c r="E309">
        <v>17</v>
      </c>
      <c r="F309" t="s">
        <v>34</v>
      </c>
      <c r="G309">
        <v>4966.66</v>
      </c>
      <c r="H309">
        <v>5037.2699999999904</v>
      </c>
      <c r="I309" t="s">
        <v>16</v>
      </c>
      <c r="J309" s="2">
        <v>0.24</v>
      </c>
      <c r="K309" t="s">
        <v>26</v>
      </c>
      <c r="L309" t="s">
        <v>21</v>
      </c>
      <c r="M309" t="s">
        <v>52</v>
      </c>
      <c r="N309">
        <f>SalesData[[#This Row],[Quantity_Sold]]*SalesData[[#This Row],[Unit_Cost]]</f>
        <v>84433.22</v>
      </c>
      <c r="O309">
        <f>SalesData[[#This Row],[Quantity_Sold]]*SalesData[[#This Row],[Unit_Price]]</f>
        <v>85633.589999999836</v>
      </c>
      <c r="P309">
        <f>SalesData[[#This Row],[Gross_sales]]*(1-SalesData[[#This Row],[Discount]])</f>
        <v>65081.528399999879</v>
      </c>
      <c r="Q309" s="2">
        <f>SalesData[[#This Row],[Sales_amount]]-SalesData[[#This Row],[Total_Cost]]</f>
        <v>-19351.691600000122</v>
      </c>
      <c r="R309" s="2">
        <f>SalesData[[#This Row],[Profit]]/SalesData[[#This Row],[Sales_amount]]</f>
        <v>-0.29734537703328057</v>
      </c>
      <c r="S309" s="2">
        <f>SalesData[[#This Row],[Unit_Price]]-SalesData[[#This Row],[Unit_Cost]]</f>
        <v>70.609999999990578</v>
      </c>
      <c r="T309" s="10">
        <f>SalesData[[#This Row],[Unit_Margin]]/SalesData[[#This Row],[Unit_Price]]</f>
        <v>1.4017513454706759E-2</v>
      </c>
      <c r="U309" s="2" t="str">
        <f>IF(SalesData[[#This Row],[Unit_Margin]]&lt;0, "Negative margin", "Positive margin")</f>
        <v>Positive margin</v>
      </c>
      <c r="V309" s="2" t="str">
        <f>IF(SalesData[[#This Row],[Profit]]&lt;0, "Loss", "Profit")</f>
        <v>Loss</v>
      </c>
      <c r="W309" s="2">
        <f>SalesData[[#This Row],[Unit_Price]]*(1-SalesData[[#This Row],[Discount]])</f>
        <v>3828.3251999999929</v>
      </c>
      <c r="X309" s="2">
        <f>SalesData[[#This Row],[Effective_Unit_Price]]-SalesData[[#This Row],[Unit_Cost]]</f>
        <v>-1138.3348000000069</v>
      </c>
      <c r="Y309" s="2" t="str">
        <f>IF(SalesData[[#This Row],[Effective_Unit_Margin]]&lt;0,"Loss per Unit","Positive per Unit")</f>
        <v>Loss per Unit</v>
      </c>
    </row>
    <row r="310" spans="1:25" x14ac:dyDescent="0.3">
      <c r="A310">
        <v>1072</v>
      </c>
      <c r="B310" s="1">
        <v>45092</v>
      </c>
      <c r="C310" t="s">
        <v>23</v>
      </c>
      <c r="D310" t="s">
        <v>14</v>
      </c>
      <c r="E310">
        <v>35</v>
      </c>
      <c r="F310" t="s">
        <v>34</v>
      </c>
      <c r="G310">
        <v>4349.3599999999997</v>
      </c>
      <c r="H310">
        <v>4645.17</v>
      </c>
      <c r="I310" t="s">
        <v>16</v>
      </c>
      <c r="J310" s="2">
        <v>0.18</v>
      </c>
      <c r="K310" t="s">
        <v>30</v>
      </c>
      <c r="L310" t="s">
        <v>21</v>
      </c>
      <c r="M310" t="s">
        <v>44</v>
      </c>
      <c r="N310">
        <f>SalesData[[#This Row],[Quantity_Sold]]*SalesData[[#This Row],[Unit_Cost]]</f>
        <v>152227.59999999998</v>
      </c>
      <c r="O310">
        <f>SalesData[[#This Row],[Quantity_Sold]]*SalesData[[#This Row],[Unit_Price]]</f>
        <v>162580.95000000001</v>
      </c>
      <c r="P310">
        <f>SalesData[[#This Row],[Gross_sales]]*(1-SalesData[[#This Row],[Discount]])</f>
        <v>133316.37900000002</v>
      </c>
      <c r="Q310" s="2">
        <f>SalesData[[#This Row],[Sales_amount]]-SalesData[[#This Row],[Total_Cost]]</f>
        <v>-18911.220999999961</v>
      </c>
      <c r="R310" s="2">
        <f>SalesData[[#This Row],[Profit]]/SalesData[[#This Row],[Sales_amount]]</f>
        <v>-0.14185219507049437</v>
      </c>
      <c r="S310" s="2">
        <f>SalesData[[#This Row],[Unit_Price]]-SalesData[[#This Row],[Unit_Cost]]</f>
        <v>295.8100000000004</v>
      </c>
      <c r="T310" s="10">
        <f>SalesData[[#This Row],[Unit_Margin]]/SalesData[[#This Row],[Unit_Price]]</f>
        <v>6.368120004219445E-2</v>
      </c>
      <c r="U310" s="2" t="str">
        <f>IF(SalesData[[#This Row],[Unit_Margin]]&lt;0, "Negative margin", "Positive margin")</f>
        <v>Positive margin</v>
      </c>
      <c r="V310" s="2" t="str">
        <f>IF(SalesData[[#This Row],[Profit]]&lt;0, "Loss", "Profit")</f>
        <v>Loss</v>
      </c>
      <c r="W310" s="2">
        <f>SalesData[[#This Row],[Unit_Price]]*(1-SalesData[[#This Row],[Discount]])</f>
        <v>3809.0394000000006</v>
      </c>
      <c r="X310" s="2">
        <f>SalesData[[#This Row],[Effective_Unit_Price]]-SalesData[[#This Row],[Unit_Cost]]</f>
        <v>-540.3205999999991</v>
      </c>
      <c r="Y310" s="2" t="str">
        <f>IF(SalesData[[#This Row],[Effective_Unit_Margin]]&lt;0,"Loss per Unit","Positive per Unit")</f>
        <v>Loss per Unit</v>
      </c>
    </row>
    <row r="311" spans="1:25" x14ac:dyDescent="0.3">
      <c r="A311">
        <v>1036</v>
      </c>
      <c r="B311" s="1">
        <v>45245</v>
      </c>
      <c r="C311" t="s">
        <v>13</v>
      </c>
      <c r="D311" t="s">
        <v>20</v>
      </c>
      <c r="E311">
        <v>19</v>
      </c>
      <c r="F311" t="s">
        <v>15</v>
      </c>
      <c r="G311">
        <v>2844.97</v>
      </c>
      <c r="H311">
        <v>3215</v>
      </c>
      <c r="I311" t="s">
        <v>16</v>
      </c>
      <c r="J311" s="2">
        <v>0.09</v>
      </c>
      <c r="K311" t="s">
        <v>30</v>
      </c>
      <c r="L311" t="s">
        <v>21</v>
      </c>
      <c r="M311" t="s">
        <v>22</v>
      </c>
      <c r="N311">
        <f>SalesData[[#This Row],[Quantity_Sold]]*SalesData[[#This Row],[Unit_Cost]]</f>
        <v>54054.429999999993</v>
      </c>
      <c r="O311">
        <f>SalesData[[#This Row],[Quantity_Sold]]*SalesData[[#This Row],[Unit_Price]]</f>
        <v>61085</v>
      </c>
      <c r="P311">
        <f>SalesData[[#This Row],[Gross_sales]]*(1-SalesData[[#This Row],[Discount]])</f>
        <v>55587.35</v>
      </c>
      <c r="Q311" s="2">
        <f>SalesData[[#This Row],[Sales_amount]]-SalesData[[#This Row],[Total_Cost]]</f>
        <v>1532.9200000000055</v>
      </c>
      <c r="R311" s="2">
        <f>SalesData[[#This Row],[Profit]]/SalesData[[#This Row],[Sales_amount]]</f>
        <v>2.7576777810059402E-2</v>
      </c>
      <c r="S311" s="2">
        <f>SalesData[[#This Row],[Unit_Price]]-SalesData[[#This Row],[Unit_Cost]]</f>
        <v>370.0300000000002</v>
      </c>
      <c r="T311" s="10">
        <f>SalesData[[#This Row],[Unit_Margin]]/SalesData[[#This Row],[Unit_Price]]</f>
        <v>0.11509486780715403</v>
      </c>
      <c r="U311" s="2" t="str">
        <f>IF(SalesData[[#This Row],[Unit_Margin]]&lt;0, "Negative margin", "Positive margin")</f>
        <v>Positive margin</v>
      </c>
      <c r="V311" s="2" t="str">
        <f>IF(SalesData[[#This Row],[Profit]]&lt;0, "Loss", "Profit")</f>
        <v>Profit</v>
      </c>
      <c r="W311" s="2">
        <f>SalesData[[#This Row],[Unit_Price]]*(1-SalesData[[#This Row],[Discount]])</f>
        <v>2925.65</v>
      </c>
      <c r="X311" s="2">
        <f>SalesData[[#This Row],[Effective_Unit_Price]]-SalesData[[#This Row],[Unit_Cost]]</f>
        <v>80.680000000000291</v>
      </c>
      <c r="Y311" s="2" t="str">
        <f>IF(SalesData[[#This Row],[Effective_Unit_Margin]]&lt;0,"Loss per Unit","Positive per Unit")</f>
        <v>Positive per Unit</v>
      </c>
    </row>
    <row r="312" spans="1:25" x14ac:dyDescent="0.3">
      <c r="A312">
        <v>1038</v>
      </c>
      <c r="B312" s="1">
        <v>45058</v>
      </c>
      <c r="C312" t="s">
        <v>13</v>
      </c>
      <c r="D312" t="s">
        <v>24</v>
      </c>
      <c r="E312">
        <v>20</v>
      </c>
      <c r="F312" t="s">
        <v>28</v>
      </c>
      <c r="G312">
        <v>2607.31</v>
      </c>
      <c r="H312">
        <v>2774.86</v>
      </c>
      <c r="I312" t="s">
        <v>29</v>
      </c>
      <c r="J312" s="2">
        <v>0.27</v>
      </c>
      <c r="K312" t="s">
        <v>30</v>
      </c>
      <c r="L312" t="s">
        <v>21</v>
      </c>
      <c r="M312" t="s">
        <v>31</v>
      </c>
      <c r="N312">
        <f>SalesData[[#This Row],[Quantity_Sold]]*SalesData[[#This Row],[Unit_Cost]]</f>
        <v>52146.2</v>
      </c>
      <c r="O312">
        <f>SalesData[[#This Row],[Quantity_Sold]]*SalesData[[#This Row],[Unit_Price]]</f>
        <v>55497.200000000004</v>
      </c>
      <c r="P312">
        <f>SalesData[[#This Row],[Gross_sales]]*(1-SalesData[[#This Row],[Discount]])</f>
        <v>40512.956000000006</v>
      </c>
      <c r="Q312" s="2">
        <f>SalesData[[#This Row],[Sales_amount]]-SalesData[[#This Row],[Total_Cost]]</f>
        <v>-11633.243999999992</v>
      </c>
      <c r="R312" s="2">
        <f>SalesData[[#This Row],[Profit]]/SalesData[[#This Row],[Sales_amount]]</f>
        <v>-0.28714873335828645</v>
      </c>
      <c r="S312" s="2">
        <f>SalesData[[#This Row],[Unit_Price]]-SalesData[[#This Row],[Unit_Cost]]</f>
        <v>167.55000000000018</v>
      </c>
      <c r="T312" s="10">
        <f>SalesData[[#This Row],[Unit_Margin]]/SalesData[[#This Row],[Unit_Price]]</f>
        <v>6.0381424648450796E-2</v>
      </c>
      <c r="U312" s="2" t="str">
        <f>IF(SalesData[[#This Row],[Unit_Margin]]&lt;0, "Negative margin", "Positive margin")</f>
        <v>Positive margin</v>
      </c>
      <c r="V312" s="2" t="str">
        <f>IF(SalesData[[#This Row],[Profit]]&lt;0, "Loss", "Profit")</f>
        <v>Loss</v>
      </c>
      <c r="W312" s="2">
        <f>SalesData[[#This Row],[Unit_Price]]*(1-SalesData[[#This Row],[Discount]])</f>
        <v>2025.6478</v>
      </c>
      <c r="X312" s="2">
        <f>SalesData[[#This Row],[Effective_Unit_Price]]-SalesData[[#This Row],[Unit_Cost]]</f>
        <v>-581.66219999999998</v>
      </c>
      <c r="Y312" s="2" t="str">
        <f>IF(SalesData[[#This Row],[Effective_Unit_Margin]]&lt;0,"Loss per Unit","Positive per Unit")</f>
        <v>Loss per Unit</v>
      </c>
    </row>
    <row r="313" spans="1:25" x14ac:dyDescent="0.3">
      <c r="A313">
        <v>1084</v>
      </c>
      <c r="B313" s="1">
        <v>45190</v>
      </c>
      <c r="C313" t="s">
        <v>37</v>
      </c>
      <c r="D313" t="s">
        <v>24</v>
      </c>
      <c r="E313">
        <v>36</v>
      </c>
      <c r="F313" t="s">
        <v>15</v>
      </c>
      <c r="G313">
        <v>1458.77</v>
      </c>
      <c r="H313">
        <v>1485.75</v>
      </c>
      <c r="I313" t="s">
        <v>29</v>
      </c>
      <c r="J313" s="2">
        <v>0.25</v>
      </c>
      <c r="K313" t="s">
        <v>30</v>
      </c>
      <c r="L313" t="s">
        <v>18</v>
      </c>
      <c r="M313" t="s">
        <v>38</v>
      </c>
      <c r="N313">
        <f>SalesData[[#This Row],[Quantity_Sold]]*SalesData[[#This Row],[Unit_Cost]]</f>
        <v>52515.72</v>
      </c>
      <c r="O313">
        <f>SalesData[[#This Row],[Quantity_Sold]]*SalesData[[#This Row],[Unit_Price]]</f>
        <v>53487</v>
      </c>
      <c r="P313">
        <f>SalesData[[#This Row],[Gross_sales]]*(1-SalesData[[#This Row],[Discount]])</f>
        <v>40115.25</v>
      </c>
      <c r="Q313" s="2">
        <f>SalesData[[#This Row],[Sales_amount]]-SalesData[[#This Row],[Total_Cost]]</f>
        <v>-12400.470000000001</v>
      </c>
      <c r="R313" s="2">
        <f>SalesData[[#This Row],[Profit]]/SalesData[[#This Row],[Sales_amount]]</f>
        <v>-0.30912109484547651</v>
      </c>
      <c r="S313" s="2">
        <f>SalesData[[#This Row],[Unit_Price]]-SalesData[[#This Row],[Unit_Cost]]</f>
        <v>26.980000000000018</v>
      </c>
      <c r="T313" s="10">
        <f>SalesData[[#This Row],[Unit_Margin]]/SalesData[[#This Row],[Unit_Price]]</f>
        <v>1.8159178865892658E-2</v>
      </c>
      <c r="U313" s="2" t="str">
        <f>IF(SalesData[[#This Row],[Unit_Margin]]&lt;0, "Negative margin", "Positive margin")</f>
        <v>Positive margin</v>
      </c>
      <c r="V313" s="2" t="str">
        <f>IF(SalesData[[#This Row],[Profit]]&lt;0, "Loss", "Profit")</f>
        <v>Loss</v>
      </c>
      <c r="W313" s="2">
        <f>SalesData[[#This Row],[Unit_Price]]*(1-SalesData[[#This Row],[Discount]])</f>
        <v>1114.3125</v>
      </c>
      <c r="X313" s="2">
        <f>SalesData[[#This Row],[Effective_Unit_Price]]-SalesData[[#This Row],[Unit_Cost]]</f>
        <v>-344.45749999999998</v>
      </c>
      <c r="Y313" s="2" t="str">
        <f>IF(SalesData[[#This Row],[Effective_Unit_Margin]]&lt;0,"Loss per Unit","Positive per Unit")</f>
        <v>Loss per Unit</v>
      </c>
    </row>
    <row r="314" spans="1:25" x14ac:dyDescent="0.3">
      <c r="A314">
        <v>1099</v>
      </c>
      <c r="B314" s="1">
        <v>44981</v>
      </c>
      <c r="C314" t="s">
        <v>23</v>
      </c>
      <c r="D314" t="s">
        <v>33</v>
      </c>
      <c r="E314">
        <v>35</v>
      </c>
      <c r="F314" t="s">
        <v>28</v>
      </c>
      <c r="G314">
        <v>2610.19</v>
      </c>
      <c r="H314">
        <v>2682.53</v>
      </c>
      <c r="I314" t="s">
        <v>29</v>
      </c>
      <c r="J314" s="2">
        <v>0.14000000000000001</v>
      </c>
      <c r="K314" t="s">
        <v>17</v>
      </c>
      <c r="L314" t="s">
        <v>21</v>
      </c>
      <c r="M314" t="s">
        <v>49</v>
      </c>
      <c r="N314">
        <f>SalesData[[#This Row],[Quantity_Sold]]*SalesData[[#This Row],[Unit_Cost]]</f>
        <v>91356.650000000009</v>
      </c>
      <c r="O314">
        <f>SalesData[[#This Row],[Quantity_Sold]]*SalesData[[#This Row],[Unit_Price]]</f>
        <v>93888.55</v>
      </c>
      <c r="P314">
        <f>SalesData[[#This Row],[Gross_sales]]*(1-SalesData[[#This Row],[Discount]])</f>
        <v>80744.153000000006</v>
      </c>
      <c r="Q314" s="2">
        <f>SalesData[[#This Row],[Sales_amount]]-SalesData[[#This Row],[Total_Cost]]</f>
        <v>-10612.497000000003</v>
      </c>
      <c r="R314" s="2">
        <f>SalesData[[#This Row],[Profit]]/SalesData[[#This Row],[Sales_amount]]</f>
        <v>-0.13143362838916647</v>
      </c>
      <c r="S314" s="2">
        <f>SalesData[[#This Row],[Unit_Price]]-SalesData[[#This Row],[Unit_Cost]]</f>
        <v>72.340000000000146</v>
      </c>
      <c r="T314" s="10">
        <f>SalesData[[#This Row],[Unit_Margin]]/SalesData[[#This Row],[Unit_Price]]</f>
        <v>2.6967079585316897E-2</v>
      </c>
      <c r="U314" s="2" t="str">
        <f>IF(SalesData[[#This Row],[Unit_Margin]]&lt;0, "Negative margin", "Positive margin")</f>
        <v>Positive margin</v>
      </c>
      <c r="V314" s="2" t="str">
        <f>IF(SalesData[[#This Row],[Profit]]&lt;0, "Loss", "Profit")</f>
        <v>Loss</v>
      </c>
      <c r="W314" s="2">
        <f>SalesData[[#This Row],[Unit_Price]]*(1-SalesData[[#This Row],[Discount]])</f>
        <v>2306.9758000000002</v>
      </c>
      <c r="X314" s="2">
        <f>SalesData[[#This Row],[Effective_Unit_Price]]-SalesData[[#This Row],[Unit_Cost]]</f>
        <v>-303.21419999999989</v>
      </c>
      <c r="Y314" s="2" t="str">
        <f>IF(SalesData[[#This Row],[Effective_Unit_Margin]]&lt;0,"Loss per Unit","Positive per Unit")</f>
        <v>Loss per Unit</v>
      </c>
    </row>
    <row r="315" spans="1:25" x14ac:dyDescent="0.3">
      <c r="A315">
        <v>1089</v>
      </c>
      <c r="B315" s="1">
        <v>45285</v>
      </c>
      <c r="C315" t="s">
        <v>37</v>
      </c>
      <c r="D315" t="s">
        <v>24</v>
      </c>
      <c r="E315">
        <v>32</v>
      </c>
      <c r="F315" t="s">
        <v>28</v>
      </c>
      <c r="G315">
        <v>4248.5</v>
      </c>
      <c r="H315">
        <v>4706.7</v>
      </c>
      <c r="I315" t="s">
        <v>29</v>
      </c>
      <c r="J315" s="2">
        <v>0.01</v>
      </c>
      <c r="K315" t="s">
        <v>26</v>
      </c>
      <c r="L315" t="s">
        <v>21</v>
      </c>
      <c r="M315" t="s">
        <v>38</v>
      </c>
      <c r="N315">
        <f>SalesData[[#This Row],[Quantity_Sold]]*SalesData[[#This Row],[Unit_Cost]]</f>
        <v>135952</v>
      </c>
      <c r="O315">
        <f>SalesData[[#This Row],[Quantity_Sold]]*SalesData[[#This Row],[Unit_Price]]</f>
        <v>150614.39999999999</v>
      </c>
      <c r="P315">
        <f>SalesData[[#This Row],[Gross_sales]]*(1-SalesData[[#This Row],[Discount]])</f>
        <v>149108.25599999999</v>
      </c>
      <c r="Q315" s="2">
        <f>SalesData[[#This Row],[Sales_amount]]-SalesData[[#This Row],[Total_Cost]]</f>
        <v>13156.255999999994</v>
      </c>
      <c r="R315" s="2">
        <f>SalesData[[#This Row],[Profit]]/SalesData[[#This Row],[Sales_amount]]</f>
        <v>8.8232914480603913E-2</v>
      </c>
      <c r="S315" s="2">
        <f>SalesData[[#This Row],[Unit_Price]]-SalesData[[#This Row],[Unit_Cost]]</f>
        <v>458.19999999999982</v>
      </c>
      <c r="T315" s="10">
        <f>SalesData[[#This Row],[Unit_Margin]]/SalesData[[#This Row],[Unit_Price]]</f>
        <v>9.7350585335797865E-2</v>
      </c>
      <c r="U315" s="2" t="str">
        <f>IF(SalesData[[#This Row],[Unit_Margin]]&lt;0, "Negative margin", "Positive margin")</f>
        <v>Positive margin</v>
      </c>
      <c r="V315" s="2" t="str">
        <f>IF(SalesData[[#This Row],[Profit]]&lt;0, "Loss", "Profit")</f>
        <v>Profit</v>
      </c>
      <c r="W315" s="2">
        <f>SalesData[[#This Row],[Unit_Price]]*(1-SalesData[[#This Row],[Discount]])</f>
        <v>4659.6329999999998</v>
      </c>
      <c r="X315" s="2">
        <f>SalesData[[#This Row],[Effective_Unit_Price]]-SalesData[[#This Row],[Unit_Cost]]</f>
        <v>411.13299999999981</v>
      </c>
      <c r="Y315" s="2" t="str">
        <f>IF(SalesData[[#This Row],[Effective_Unit_Margin]]&lt;0,"Loss per Unit","Positive per Unit")</f>
        <v>Positive per Unit</v>
      </c>
    </row>
    <row r="316" spans="1:25" x14ac:dyDescent="0.3">
      <c r="A316">
        <v>1099</v>
      </c>
      <c r="B316" s="1">
        <v>45057</v>
      </c>
      <c r="C316" t="s">
        <v>41</v>
      </c>
      <c r="D316" t="s">
        <v>24</v>
      </c>
      <c r="E316">
        <v>48</v>
      </c>
      <c r="F316" t="s">
        <v>25</v>
      </c>
      <c r="G316">
        <v>3441.61</v>
      </c>
      <c r="H316">
        <v>3693.45</v>
      </c>
      <c r="I316" t="s">
        <v>16</v>
      </c>
      <c r="J316" s="2">
        <v>0.19</v>
      </c>
      <c r="K316" t="s">
        <v>26</v>
      </c>
      <c r="L316" t="s">
        <v>18</v>
      </c>
      <c r="M316" t="s">
        <v>42</v>
      </c>
      <c r="N316">
        <f>SalesData[[#This Row],[Quantity_Sold]]*SalesData[[#This Row],[Unit_Cost]]</f>
        <v>165197.28</v>
      </c>
      <c r="O316">
        <f>SalesData[[#This Row],[Quantity_Sold]]*SalesData[[#This Row],[Unit_Price]]</f>
        <v>177285.59999999998</v>
      </c>
      <c r="P316">
        <f>SalesData[[#This Row],[Gross_sales]]*(1-SalesData[[#This Row],[Discount]])</f>
        <v>143601.33599999998</v>
      </c>
      <c r="Q316" s="2">
        <f>SalesData[[#This Row],[Sales_amount]]-SalesData[[#This Row],[Total_Cost]]</f>
        <v>-21595.944000000018</v>
      </c>
      <c r="R316" s="2">
        <f>SalesData[[#This Row],[Profit]]/SalesData[[#This Row],[Sales_amount]]</f>
        <v>-0.15038818301801887</v>
      </c>
      <c r="S316" s="2">
        <f>SalesData[[#This Row],[Unit_Price]]-SalesData[[#This Row],[Unit_Cost]]</f>
        <v>251.83999999999969</v>
      </c>
      <c r="T316" s="10">
        <f>SalesData[[#This Row],[Unit_Margin]]/SalesData[[#This Row],[Unit_Price]]</f>
        <v>6.8185571755404753E-2</v>
      </c>
      <c r="U316" s="2" t="str">
        <f>IF(SalesData[[#This Row],[Unit_Margin]]&lt;0, "Negative margin", "Positive margin")</f>
        <v>Positive margin</v>
      </c>
      <c r="V316" s="2" t="str">
        <f>IF(SalesData[[#This Row],[Profit]]&lt;0, "Loss", "Profit")</f>
        <v>Loss</v>
      </c>
      <c r="W316" s="2">
        <f>SalesData[[#This Row],[Unit_Price]]*(1-SalesData[[#This Row],[Discount]])</f>
        <v>2991.6945000000001</v>
      </c>
      <c r="X316" s="2">
        <f>SalesData[[#This Row],[Effective_Unit_Price]]-SalesData[[#This Row],[Unit_Cost]]</f>
        <v>-449.91550000000007</v>
      </c>
      <c r="Y316" s="2" t="str">
        <f>IF(SalesData[[#This Row],[Effective_Unit_Margin]]&lt;0,"Loss per Unit","Positive per Unit")</f>
        <v>Loss per Unit</v>
      </c>
    </row>
    <row r="317" spans="1:25" x14ac:dyDescent="0.3">
      <c r="A317">
        <v>1025</v>
      </c>
      <c r="B317" s="1">
        <v>45214</v>
      </c>
      <c r="C317" t="s">
        <v>23</v>
      </c>
      <c r="D317" t="s">
        <v>14</v>
      </c>
      <c r="E317">
        <v>44</v>
      </c>
      <c r="F317" t="s">
        <v>25</v>
      </c>
      <c r="G317">
        <v>1485.72</v>
      </c>
      <c r="H317">
        <v>1717.97</v>
      </c>
      <c r="I317" t="s">
        <v>29</v>
      </c>
      <c r="J317" s="2">
        <v>0.02</v>
      </c>
      <c r="K317" t="s">
        <v>30</v>
      </c>
      <c r="L317" t="s">
        <v>21</v>
      </c>
      <c r="M317" t="s">
        <v>44</v>
      </c>
      <c r="N317">
        <f>SalesData[[#This Row],[Quantity_Sold]]*SalesData[[#This Row],[Unit_Cost]]</f>
        <v>65371.68</v>
      </c>
      <c r="O317">
        <f>SalesData[[#This Row],[Quantity_Sold]]*SalesData[[#This Row],[Unit_Price]]</f>
        <v>75590.680000000008</v>
      </c>
      <c r="P317">
        <f>SalesData[[#This Row],[Gross_sales]]*(1-SalesData[[#This Row],[Discount]])</f>
        <v>74078.866399999999</v>
      </c>
      <c r="Q317" s="2">
        <f>SalesData[[#This Row],[Sales_amount]]-SalesData[[#This Row],[Total_Cost]]</f>
        <v>8707.1863999999987</v>
      </c>
      <c r="R317" s="2">
        <f>SalesData[[#This Row],[Profit]]/SalesData[[#This Row],[Sales_amount]]</f>
        <v>0.11753941202318396</v>
      </c>
      <c r="S317" s="2">
        <f>SalesData[[#This Row],[Unit_Price]]-SalesData[[#This Row],[Unit_Cost]]</f>
        <v>232.25</v>
      </c>
      <c r="T317" s="10">
        <f>SalesData[[#This Row],[Unit_Margin]]/SalesData[[#This Row],[Unit_Price]]</f>
        <v>0.13518862378272031</v>
      </c>
      <c r="U317" s="2" t="str">
        <f>IF(SalesData[[#This Row],[Unit_Margin]]&lt;0, "Negative margin", "Positive margin")</f>
        <v>Positive margin</v>
      </c>
      <c r="V317" s="2" t="str">
        <f>IF(SalesData[[#This Row],[Profit]]&lt;0, "Loss", "Profit")</f>
        <v>Profit</v>
      </c>
      <c r="W317" s="2">
        <f>SalesData[[#This Row],[Unit_Price]]*(1-SalesData[[#This Row],[Discount]])</f>
        <v>1683.6106</v>
      </c>
      <c r="X317" s="2">
        <f>SalesData[[#This Row],[Effective_Unit_Price]]-SalesData[[#This Row],[Unit_Cost]]</f>
        <v>197.89059999999995</v>
      </c>
      <c r="Y317" s="2" t="str">
        <f>IF(SalesData[[#This Row],[Effective_Unit_Margin]]&lt;0,"Loss per Unit","Positive per Unit")</f>
        <v>Positive per Unit</v>
      </c>
    </row>
    <row r="318" spans="1:25" x14ac:dyDescent="0.3">
      <c r="A318">
        <v>1093</v>
      </c>
      <c r="B318" s="1">
        <v>45192</v>
      </c>
      <c r="C318" t="s">
        <v>32</v>
      </c>
      <c r="D318" t="s">
        <v>14</v>
      </c>
      <c r="E318">
        <v>40</v>
      </c>
      <c r="F318" t="s">
        <v>15</v>
      </c>
      <c r="G318">
        <v>1047.25</v>
      </c>
      <c r="H318">
        <v>1075.8900000000001</v>
      </c>
      <c r="I318" t="s">
        <v>29</v>
      </c>
      <c r="J318" s="2">
        <v>0.28000000000000003</v>
      </c>
      <c r="K318" t="s">
        <v>30</v>
      </c>
      <c r="L318" t="s">
        <v>21</v>
      </c>
      <c r="M318" t="s">
        <v>52</v>
      </c>
      <c r="N318">
        <f>SalesData[[#This Row],[Quantity_Sold]]*SalesData[[#This Row],[Unit_Cost]]</f>
        <v>41890</v>
      </c>
      <c r="O318">
        <f>SalesData[[#This Row],[Quantity_Sold]]*SalesData[[#This Row],[Unit_Price]]</f>
        <v>43035.600000000006</v>
      </c>
      <c r="P318">
        <f>SalesData[[#This Row],[Gross_sales]]*(1-SalesData[[#This Row],[Discount]])</f>
        <v>30985.632000000001</v>
      </c>
      <c r="Q318" s="2">
        <f>SalesData[[#This Row],[Sales_amount]]-SalesData[[#This Row],[Total_Cost]]</f>
        <v>-10904.367999999999</v>
      </c>
      <c r="R318" s="2">
        <f>SalesData[[#This Row],[Profit]]/SalesData[[#This Row],[Sales_amount]]</f>
        <v>-0.35191691426529553</v>
      </c>
      <c r="S318" s="2">
        <f>SalesData[[#This Row],[Unit_Price]]-SalesData[[#This Row],[Unit_Cost]]</f>
        <v>28.6400000000001</v>
      </c>
      <c r="T318" s="10">
        <f>SalesData[[#This Row],[Unit_Margin]]/SalesData[[#This Row],[Unit_Price]]</f>
        <v>2.6619821728987254E-2</v>
      </c>
      <c r="U318" s="2" t="str">
        <f>IF(SalesData[[#This Row],[Unit_Margin]]&lt;0, "Negative margin", "Positive margin")</f>
        <v>Positive margin</v>
      </c>
      <c r="V318" s="2" t="str">
        <f>IF(SalesData[[#This Row],[Profit]]&lt;0, "Loss", "Profit")</f>
        <v>Loss</v>
      </c>
      <c r="W318" s="2">
        <f>SalesData[[#This Row],[Unit_Price]]*(1-SalesData[[#This Row],[Discount]])</f>
        <v>774.64080000000001</v>
      </c>
      <c r="X318" s="2">
        <f>SalesData[[#This Row],[Effective_Unit_Price]]-SalesData[[#This Row],[Unit_Cost]]</f>
        <v>-272.60919999999999</v>
      </c>
      <c r="Y318" s="2" t="str">
        <f>IF(SalesData[[#This Row],[Effective_Unit_Margin]]&lt;0,"Loss per Unit","Positive per Unit")</f>
        <v>Loss per Unit</v>
      </c>
    </row>
    <row r="319" spans="1:25" x14ac:dyDescent="0.3">
      <c r="A319">
        <v>1018</v>
      </c>
      <c r="B319" s="1">
        <v>45292</v>
      </c>
      <c r="C319" t="s">
        <v>41</v>
      </c>
      <c r="D319" t="s">
        <v>20</v>
      </c>
      <c r="E319">
        <v>24</v>
      </c>
      <c r="F319" t="s">
        <v>34</v>
      </c>
      <c r="G319">
        <v>1362.78</v>
      </c>
      <c r="H319">
        <v>1729.81</v>
      </c>
      <c r="I319" t="s">
        <v>29</v>
      </c>
      <c r="J319" s="2">
        <v>0.28999999999999998</v>
      </c>
      <c r="K319" t="s">
        <v>26</v>
      </c>
      <c r="L319" t="s">
        <v>18</v>
      </c>
      <c r="M319" t="s">
        <v>50</v>
      </c>
      <c r="N319">
        <f>SalesData[[#This Row],[Quantity_Sold]]*SalesData[[#This Row],[Unit_Cost]]</f>
        <v>32706.720000000001</v>
      </c>
      <c r="O319">
        <f>SalesData[[#This Row],[Quantity_Sold]]*SalesData[[#This Row],[Unit_Price]]</f>
        <v>41515.440000000002</v>
      </c>
      <c r="P319">
        <f>SalesData[[#This Row],[Gross_sales]]*(1-SalesData[[#This Row],[Discount]])</f>
        <v>29475.9624</v>
      </c>
      <c r="Q319" s="2">
        <f>SalesData[[#This Row],[Sales_amount]]-SalesData[[#This Row],[Total_Cost]]</f>
        <v>-3230.7576000000008</v>
      </c>
      <c r="R319" s="2">
        <f>SalesData[[#This Row],[Profit]]/SalesData[[#This Row],[Sales_amount]]</f>
        <v>-0.10960651788590967</v>
      </c>
      <c r="S319" s="2">
        <f>SalesData[[#This Row],[Unit_Price]]-SalesData[[#This Row],[Unit_Cost]]</f>
        <v>367.03</v>
      </c>
      <c r="T319" s="10">
        <f>SalesData[[#This Row],[Unit_Margin]]/SalesData[[#This Row],[Unit_Price]]</f>
        <v>0.21217937230100414</v>
      </c>
      <c r="U319" s="2" t="str">
        <f>IF(SalesData[[#This Row],[Unit_Margin]]&lt;0, "Negative margin", "Positive margin")</f>
        <v>Positive margin</v>
      </c>
      <c r="V319" s="2" t="str">
        <f>IF(SalesData[[#This Row],[Profit]]&lt;0, "Loss", "Profit")</f>
        <v>Loss</v>
      </c>
      <c r="W319" s="2">
        <f>SalesData[[#This Row],[Unit_Price]]*(1-SalesData[[#This Row],[Discount]])</f>
        <v>1228.1650999999999</v>
      </c>
      <c r="X319" s="2">
        <f>SalesData[[#This Row],[Effective_Unit_Price]]-SalesData[[#This Row],[Unit_Cost]]</f>
        <v>-134.61490000000003</v>
      </c>
      <c r="Y319" s="2" t="str">
        <f>IF(SalesData[[#This Row],[Effective_Unit_Margin]]&lt;0,"Loss per Unit","Positive per Unit")</f>
        <v>Loss per Unit</v>
      </c>
    </row>
    <row r="320" spans="1:25" x14ac:dyDescent="0.3">
      <c r="A320">
        <v>1082</v>
      </c>
      <c r="B320" s="1">
        <v>45088</v>
      </c>
      <c r="C320" t="s">
        <v>41</v>
      </c>
      <c r="D320" t="s">
        <v>14</v>
      </c>
      <c r="E320">
        <v>17</v>
      </c>
      <c r="F320" t="s">
        <v>15</v>
      </c>
      <c r="G320">
        <v>890.31</v>
      </c>
      <c r="H320">
        <v>1159.06</v>
      </c>
      <c r="I320" t="s">
        <v>16</v>
      </c>
      <c r="J320" s="2">
        <v>0.06</v>
      </c>
      <c r="K320" t="s">
        <v>17</v>
      </c>
      <c r="L320" t="s">
        <v>21</v>
      </c>
      <c r="M320" t="s">
        <v>48</v>
      </c>
      <c r="N320">
        <f>SalesData[[#This Row],[Quantity_Sold]]*SalesData[[#This Row],[Unit_Cost]]</f>
        <v>15135.269999999999</v>
      </c>
      <c r="O320">
        <f>SalesData[[#This Row],[Quantity_Sold]]*SalesData[[#This Row],[Unit_Price]]</f>
        <v>19704.02</v>
      </c>
      <c r="P320">
        <f>SalesData[[#This Row],[Gross_sales]]*(1-SalesData[[#This Row],[Discount]])</f>
        <v>18521.7788</v>
      </c>
      <c r="Q320" s="2">
        <f>SalesData[[#This Row],[Sales_amount]]-SalesData[[#This Row],[Total_Cost]]</f>
        <v>3386.5088000000014</v>
      </c>
      <c r="R320" s="2">
        <f>SalesData[[#This Row],[Profit]]/SalesData[[#This Row],[Sales_amount]]</f>
        <v>0.18283928539304234</v>
      </c>
      <c r="S320" s="2">
        <f>SalesData[[#This Row],[Unit_Price]]-SalesData[[#This Row],[Unit_Cost]]</f>
        <v>268.75</v>
      </c>
      <c r="T320" s="10">
        <f>SalesData[[#This Row],[Unit_Margin]]/SalesData[[#This Row],[Unit_Price]]</f>
        <v>0.23186892826945973</v>
      </c>
      <c r="U320" s="2" t="str">
        <f>IF(SalesData[[#This Row],[Unit_Margin]]&lt;0, "Negative margin", "Positive margin")</f>
        <v>Positive margin</v>
      </c>
      <c r="V320" s="2" t="str">
        <f>IF(SalesData[[#This Row],[Profit]]&lt;0, "Loss", "Profit")</f>
        <v>Profit</v>
      </c>
      <c r="W320" s="2">
        <f>SalesData[[#This Row],[Unit_Price]]*(1-SalesData[[#This Row],[Discount]])</f>
        <v>1089.5164</v>
      </c>
      <c r="X320" s="2">
        <f>SalesData[[#This Row],[Effective_Unit_Price]]-SalesData[[#This Row],[Unit_Cost]]</f>
        <v>199.20640000000003</v>
      </c>
      <c r="Y320" s="2" t="str">
        <f>IF(SalesData[[#This Row],[Effective_Unit_Margin]]&lt;0,"Loss per Unit","Positive per Unit")</f>
        <v>Positive per Unit</v>
      </c>
    </row>
    <row r="321" spans="1:25" x14ac:dyDescent="0.3">
      <c r="A321">
        <v>1066</v>
      </c>
      <c r="B321" s="1">
        <v>45013</v>
      </c>
      <c r="C321" t="s">
        <v>32</v>
      </c>
      <c r="D321" t="s">
        <v>14</v>
      </c>
      <c r="E321">
        <v>7</v>
      </c>
      <c r="F321" t="s">
        <v>28</v>
      </c>
      <c r="G321">
        <v>523.41999999999996</v>
      </c>
      <c r="H321">
        <v>632.43999999999903</v>
      </c>
      <c r="I321" t="s">
        <v>29</v>
      </c>
      <c r="J321" s="2">
        <v>0.2</v>
      </c>
      <c r="K321" t="s">
        <v>26</v>
      </c>
      <c r="L321" t="s">
        <v>18</v>
      </c>
      <c r="M321" t="s">
        <v>52</v>
      </c>
      <c r="N321">
        <f>SalesData[[#This Row],[Quantity_Sold]]*SalesData[[#This Row],[Unit_Cost]]</f>
        <v>3663.9399999999996</v>
      </c>
      <c r="O321">
        <f>SalesData[[#This Row],[Quantity_Sold]]*SalesData[[#This Row],[Unit_Price]]</f>
        <v>4427.0799999999936</v>
      </c>
      <c r="P321">
        <f>SalesData[[#This Row],[Gross_sales]]*(1-SalesData[[#This Row],[Discount]])</f>
        <v>3541.6639999999952</v>
      </c>
      <c r="Q321" s="2">
        <f>SalesData[[#This Row],[Sales_amount]]-SalesData[[#This Row],[Total_Cost]]</f>
        <v>-122.27600000000439</v>
      </c>
      <c r="R321" s="2">
        <f>SalesData[[#This Row],[Profit]]/SalesData[[#This Row],[Sales_amount]]</f>
        <v>-3.4525014230600233E-2</v>
      </c>
      <c r="S321" s="2">
        <f>SalesData[[#This Row],[Unit_Price]]-SalesData[[#This Row],[Unit_Cost]]</f>
        <v>109.01999999999907</v>
      </c>
      <c r="T321" s="10">
        <f>SalesData[[#This Row],[Unit_Margin]]/SalesData[[#This Row],[Unit_Price]]</f>
        <v>0.17237998861551965</v>
      </c>
      <c r="U321" s="2" t="str">
        <f>IF(SalesData[[#This Row],[Unit_Margin]]&lt;0, "Negative margin", "Positive margin")</f>
        <v>Positive margin</v>
      </c>
      <c r="V321" s="2" t="str">
        <f>IF(SalesData[[#This Row],[Profit]]&lt;0, "Loss", "Profit")</f>
        <v>Loss</v>
      </c>
      <c r="W321" s="2">
        <f>SalesData[[#This Row],[Unit_Price]]*(1-SalesData[[#This Row],[Discount]])</f>
        <v>505.95199999999926</v>
      </c>
      <c r="X321" s="2">
        <f>SalesData[[#This Row],[Effective_Unit_Price]]-SalesData[[#This Row],[Unit_Cost]]</f>
        <v>-17.4680000000007</v>
      </c>
      <c r="Y321" s="2" t="str">
        <f>IF(SalesData[[#This Row],[Effective_Unit_Margin]]&lt;0,"Loss per Unit","Positive per Unit")</f>
        <v>Loss per Unit</v>
      </c>
    </row>
    <row r="322" spans="1:25" x14ac:dyDescent="0.3">
      <c r="A322">
        <v>1054</v>
      </c>
      <c r="B322" s="1">
        <v>44981</v>
      </c>
      <c r="C322" t="s">
        <v>41</v>
      </c>
      <c r="D322" t="s">
        <v>14</v>
      </c>
      <c r="E322">
        <v>43</v>
      </c>
      <c r="F322" t="s">
        <v>25</v>
      </c>
      <c r="G322">
        <v>2124.7199999999998</v>
      </c>
      <c r="H322">
        <v>2188.66</v>
      </c>
      <c r="I322" t="s">
        <v>16</v>
      </c>
      <c r="J322" s="2">
        <v>0.03</v>
      </c>
      <c r="K322" t="s">
        <v>30</v>
      </c>
      <c r="L322" t="s">
        <v>21</v>
      </c>
      <c r="M322" t="s">
        <v>48</v>
      </c>
      <c r="N322">
        <f>SalesData[[#This Row],[Quantity_Sold]]*SalesData[[#This Row],[Unit_Cost]]</f>
        <v>91362.959999999992</v>
      </c>
      <c r="O322">
        <f>SalesData[[#This Row],[Quantity_Sold]]*SalesData[[#This Row],[Unit_Price]]</f>
        <v>94112.37999999999</v>
      </c>
      <c r="P322">
        <f>SalesData[[#This Row],[Gross_sales]]*(1-SalesData[[#This Row],[Discount]])</f>
        <v>91289.008599999986</v>
      </c>
      <c r="Q322" s="2">
        <f>SalesData[[#This Row],[Sales_amount]]-SalesData[[#This Row],[Total_Cost]]</f>
        <v>-73.951400000005378</v>
      </c>
      <c r="R322" s="2">
        <f>SalesData[[#This Row],[Profit]]/SalesData[[#This Row],[Sales_amount]]</f>
        <v>-8.1007999905045956E-4</v>
      </c>
      <c r="S322" s="2">
        <f>SalesData[[#This Row],[Unit_Price]]-SalesData[[#This Row],[Unit_Cost]]</f>
        <v>63.940000000000055</v>
      </c>
      <c r="T322" s="10">
        <f>SalesData[[#This Row],[Unit_Margin]]/SalesData[[#This Row],[Unit_Price]]</f>
        <v>2.9214222400921138E-2</v>
      </c>
      <c r="U322" s="2" t="str">
        <f>IF(SalesData[[#This Row],[Unit_Margin]]&lt;0, "Negative margin", "Positive margin")</f>
        <v>Positive margin</v>
      </c>
      <c r="V322" s="2" t="str">
        <f>IF(SalesData[[#This Row],[Profit]]&lt;0, "Loss", "Profit")</f>
        <v>Loss</v>
      </c>
      <c r="W322" s="2">
        <f>SalesData[[#This Row],[Unit_Price]]*(1-SalesData[[#This Row],[Discount]])</f>
        <v>2123.0001999999999</v>
      </c>
      <c r="X322" s="2">
        <f>SalesData[[#This Row],[Effective_Unit_Price]]-SalesData[[#This Row],[Unit_Cost]]</f>
        <v>-1.7197999999998501</v>
      </c>
      <c r="Y322" s="2" t="str">
        <f>IF(SalesData[[#This Row],[Effective_Unit_Margin]]&lt;0,"Loss per Unit","Positive per Unit")</f>
        <v>Loss per Unit</v>
      </c>
    </row>
    <row r="323" spans="1:25" x14ac:dyDescent="0.3">
      <c r="A323">
        <v>1035</v>
      </c>
      <c r="B323" s="1">
        <v>45214</v>
      </c>
      <c r="C323" t="s">
        <v>23</v>
      </c>
      <c r="D323" t="s">
        <v>14</v>
      </c>
      <c r="E323">
        <v>1</v>
      </c>
      <c r="F323" t="s">
        <v>15</v>
      </c>
      <c r="G323">
        <v>610.83000000000004</v>
      </c>
      <c r="H323">
        <v>808.69</v>
      </c>
      <c r="I323" t="s">
        <v>29</v>
      </c>
      <c r="J323" s="2">
        <v>0.22</v>
      </c>
      <c r="K323" t="s">
        <v>30</v>
      </c>
      <c r="L323" t="s">
        <v>18</v>
      </c>
      <c r="M323" t="s">
        <v>44</v>
      </c>
      <c r="N323">
        <f>SalesData[[#This Row],[Quantity_Sold]]*SalesData[[#This Row],[Unit_Cost]]</f>
        <v>610.83000000000004</v>
      </c>
      <c r="O323">
        <f>SalesData[[#This Row],[Quantity_Sold]]*SalesData[[#This Row],[Unit_Price]]</f>
        <v>808.69</v>
      </c>
      <c r="P323">
        <f>SalesData[[#This Row],[Gross_sales]]*(1-SalesData[[#This Row],[Discount]])</f>
        <v>630.77820000000008</v>
      </c>
      <c r="Q323" s="2">
        <f>SalesData[[#This Row],[Sales_amount]]-SalesData[[#This Row],[Total_Cost]]</f>
        <v>19.948200000000043</v>
      </c>
      <c r="R323" s="2">
        <f>SalesData[[#This Row],[Profit]]/SalesData[[#This Row],[Sales_amount]]</f>
        <v>3.1624745433497921E-2</v>
      </c>
      <c r="S323" s="2">
        <f>SalesData[[#This Row],[Unit_Price]]-SalesData[[#This Row],[Unit_Cost]]</f>
        <v>197.86</v>
      </c>
      <c r="T323" s="10">
        <f>SalesData[[#This Row],[Unit_Margin]]/SalesData[[#This Row],[Unit_Price]]</f>
        <v>0.24466730143812834</v>
      </c>
      <c r="U323" s="2" t="str">
        <f>IF(SalesData[[#This Row],[Unit_Margin]]&lt;0, "Negative margin", "Positive margin")</f>
        <v>Positive margin</v>
      </c>
      <c r="V323" s="2" t="str">
        <f>IF(SalesData[[#This Row],[Profit]]&lt;0, "Loss", "Profit")</f>
        <v>Profit</v>
      </c>
      <c r="W323" s="2">
        <f>SalesData[[#This Row],[Unit_Price]]*(1-SalesData[[#This Row],[Discount]])</f>
        <v>630.77820000000008</v>
      </c>
      <c r="X323" s="2">
        <f>SalesData[[#This Row],[Effective_Unit_Price]]-SalesData[[#This Row],[Unit_Cost]]</f>
        <v>19.948200000000043</v>
      </c>
      <c r="Y323" s="2" t="str">
        <f>IF(SalesData[[#This Row],[Effective_Unit_Margin]]&lt;0,"Loss per Unit","Positive per Unit")</f>
        <v>Positive per Unit</v>
      </c>
    </row>
    <row r="324" spans="1:25" x14ac:dyDescent="0.3">
      <c r="A324">
        <v>1080</v>
      </c>
      <c r="B324" s="1">
        <v>45104</v>
      </c>
      <c r="C324" t="s">
        <v>37</v>
      </c>
      <c r="D324" t="s">
        <v>20</v>
      </c>
      <c r="E324">
        <v>35</v>
      </c>
      <c r="F324" t="s">
        <v>15</v>
      </c>
      <c r="G324">
        <v>900.97</v>
      </c>
      <c r="H324">
        <v>1321.18</v>
      </c>
      <c r="I324" t="s">
        <v>16</v>
      </c>
      <c r="J324" s="2">
        <v>0.1</v>
      </c>
      <c r="K324" t="s">
        <v>17</v>
      </c>
      <c r="L324" t="s">
        <v>18</v>
      </c>
      <c r="M324" t="s">
        <v>40</v>
      </c>
      <c r="N324">
        <f>SalesData[[#This Row],[Quantity_Sold]]*SalesData[[#This Row],[Unit_Cost]]</f>
        <v>31533.95</v>
      </c>
      <c r="O324">
        <f>SalesData[[#This Row],[Quantity_Sold]]*SalesData[[#This Row],[Unit_Price]]</f>
        <v>46241.3</v>
      </c>
      <c r="P324">
        <f>SalesData[[#This Row],[Gross_sales]]*(1-SalesData[[#This Row],[Discount]])</f>
        <v>41617.170000000006</v>
      </c>
      <c r="Q324" s="2">
        <f>SalesData[[#This Row],[Sales_amount]]-SalesData[[#This Row],[Total_Cost]]</f>
        <v>10083.220000000005</v>
      </c>
      <c r="R324" s="2">
        <f>SalesData[[#This Row],[Profit]]/SalesData[[#This Row],[Sales_amount]]</f>
        <v>0.24228509531042125</v>
      </c>
      <c r="S324" s="2">
        <f>SalesData[[#This Row],[Unit_Price]]-SalesData[[#This Row],[Unit_Cost]]</f>
        <v>420.21000000000004</v>
      </c>
      <c r="T324" s="10">
        <f>SalesData[[#This Row],[Unit_Margin]]/SalesData[[#This Row],[Unit_Price]]</f>
        <v>0.31805658577937906</v>
      </c>
      <c r="U324" s="2" t="str">
        <f>IF(SalesData[[#This Row],[Unit_Margin]]&lt;0, "Negative margin", "Positive margin")</f>
        <v>Positive margin</v>
      </c>
      <c r="V324" s="2" t="str">
        <f>IF(SalesData[[#This Row],[Profit]]&lt;0, "Loss", "Profit")</f>
        <v>Profit</v>
      </c>
      <c r="W324" s="2">
        <f>SalesData[[#This Row],[Unit_Price]]*(1-SalesData[[#This Row],[Discount]])</f>
        <v>1189.0620000000001</v>
      </c>
      <c r="X324" s="2">
        <f>SalesData[[#This Row],[Effective_Unit_Price]]-SalesData[[#This Row],[Unit_Cost]]</f>
        <v>288.0920000000001</v>
      </c>
      <c r="Y324" s="2" t="str">
        <f>IF(SalesData[[#This Row],[Effective_Unit_Margin]]&lt;0,"Loss per Unit","Positive per Unit")</f>
        <v>Positive per Unit</v>
      </c>
    </row>
    <row r="325" spans="1:25" x14ac:dyDescent="0.3">
      <c r="A325">
        <v>1061</v>
      </c>
      <c r="B325" s="1">
        <v>45275</v>
      </c>
      <c r="C325" t="s">
        <v>41</v>
      </c>
      <c r="D325" t="s">
        <v>14</v>
      </c>
      <c r="E325">
        <v>32</v>
      </c>
      <c r="F325" t="s">
        <v>25</v>
      </c>
      <c r="G325">
        <v>2759.26</v>
      </c>
      <c r="H325">
        <v>3193.25</v>
      </c>
      <c r="I325" t="s">
        <v>29</v>
      </c>
      <c r="J325" s="2">
        <v>0.2</v>
      </c>
      <c r="K325" t="s">
        <v>26</v>
      </c>
      <c r="L325" t="s">
        <v>18</v>
      </c>
      <c r="M325" t="s">
        <v>48</v>
      </c>
      <c r="N325">
        <f>SalesData[[#This Row],[Quantity_Sold]]*SalesData[[#This Row],[Unit_Cost]]</f>
        <v>88296.320000000007</v>
      </c>
      <c r="O325">
        <f>SalesData[[#This Row],[Quantity_Sold]]*SalesData[[#This Row],[Unit_Price]]</f>
        <v>102184</v>
      </c>
      <c r="P325">
        <f>SalesData[[#This Row],[Gross_sales]]*(1-SalesData[[#This Row],[Discount]])</f>
        <v>81747.200000000012</v>
      </c>
      <c r="Q325" s="2">
        <f>SalesData[[#This Row],[Sales_amount]]-SalesData[[#This Row],[Total_Cost]]</f>
        <v>-6549.1199999999953</v>
      </c>
      <c r="R325" s="2">
        <f>SalesData[[#This Row],[Profit]]/SalesData[[#This Row],[Sales_amount]]</f>
        <v>-8.0114303609175541E-2</v>
      </c>
      <c r="S325" s="2">
        <f>SalesData[[#This Row],[Unit_Price]]-SalesData[[#This Row],[Unit_Cost]]</f>
        <v>433.98999999999978</v>
      </c>
      <c r="T325" s="10">
        <f>SalesData[[#This Row],[Unit_Margin]]/SalesData[[#This Row],[Unit_Price]]</f>
        <v>0.13590855711265945</v>
      </c>
      <c r="U325" s="2" t="str">
        <f>IF(SalesData[[#This Row],[Unit_Margin]]&lt;0, "Negative margin", "Positive margin")</f>
        <v>Positive margin</v>
      </c>
      <c r="V325" s="2" t="str">
        <f>IF(SalesData[[#This Row],[Profit]]&lt;0, "Loss", "Profit")</f>
        <v>Loss</v>
      </c>
      <c r="W325" s="2">
        <f>SalesData[[#This Row],[Unit_Price]]*(1-SalesData[[#This Row],[Discount]])</f>
        <v>2554.6000000000004</v>
      </c>
      <c r="X325" s="2">
        <f>SalesData[[#This Row],[Effective_Unit_Price]]-SalesData[[#This Row],[Unit_Cost]]</f>
        <v>-204.65999999999985</v>
      </c>
      <c r="Y325" s="2" t="str">
        <f>IF(SalesData[[#This Row],[Effective_Unit_Margin]]&lt;0,"Loss per Unit","Positive per Unit")</f>
        <v>Loss per Unit</v>
      </c>
    </row>
    <row r="326" spans="1:25" x14ac:dyDescent="0.3">
      <c r="A326">
        <v>1041</v>
      </c>
      <c r="B326" s="1">
        <v>44934</v>
      </c>
      <c r="C326" t="s">
        <v>23</v>
      </c>
      <c r="D326" t="s">
        <v>33</v>
      </c>
      <c r="E326">
        <v>36</v>
      </c>
      <c r="F326" t="s">
        <v>25</v>
      </c>
      <c r="G326">
        <v>864.77</v>
      </c>
      <c r="H326">
        <v>1170.1599999999901</v>
      </c>
      <c r="I326" t="s">
        <v>16</v>
      </c>
      <c r="J326" s="2">
        <v>0.11</v>
      </c>
      <c r="K326" t="s">
        <v>17</v>
      </c>
      <c r="L326" t="s">
        <v>21</v>
      </c>
      <c r="M326" t="s">
        <v>49</v>
      </c>
      <c r="N326">
        <f>SalesData[[#This Row],[Quantity_Sold]]*SalesData[[#This Row],[Unit_Cost]]</f>
        <v>31131.72</v>
      </c>
      <c r="O326">
        <f>SalesData[[#This Row],[Quantity_Sold]]*SalesData[[#This Row],[Unit_Price]]</f>
        <v>42125.759999999646</v>
      </c>
      <c r="P326">
        <f>SalesData[[#This Row],[Gross_sales]]*(1-SalesData[[#This Row],[Discount]])</f>
        <v>37491.926399999684</v>
      </c>
      <c r="Q326" s="2">
        <f>SalesData[[#This Row],[Sales_amount]]-SalesData[[#This Row],[Total_Cost]]</f>
        <v>6360.2063999996826</v>
      </c>
      <c r="R326" s="2">
        <f>SalesData[[#This Row],[Profit]]/SalesData[[#This Row],[Sales_amount]]</f>
        <v>0.16964202724989175</v>
      </c>
      <c r="S326" s="2">
        <f>SalesData[[#This Row],[Unit_Price]]-SalesData[[#This Row],[Unit_Cost]]</f>
        <v>305.3899999999901</v>
      </c>
      <c r="T326" s="10">
        <f>SalesData[[#This Row],[Unit_Margin]]/SalesData[[#This Row],[Unit_Price]]</f>
        <v>0.26098140425240368</v>
      </c>
      <c r="U326" s="2" t="str">
        <f>IF(SalesData[[#This Row],[Unit_Margin]]&lt;0, "Negative margin", "Positive margin")</f>
        <v>Positive margin</v>
      </c>
      <c r="V326" s="2" t="str">
        <f>IF(SalesData[[#This Row],[Profit]]&lt;0, "Loss", "Profit")</f>
        <v>Profit</v>
      </c>
      <c r="W326" s="2">
        <f>SalesData[[#This Row],[Unit_Price]]*(1-SalesData[[#This Row],[Discount]])</f>
        <v>1041.4423999999913</v>
      </c>
      <c r="X326" s="2">
        <f>SalesData[[#This Row],[Effective_Unit_Price]]-SalesData[[#This Row],[Unit_Cost]]</f>
        <v>176.67239999999128</v>
      </c>
      <c r="Y326" s="2" t="str">
        <f>IF(SalesData[[#This Row],[Effective_Unit_Margin]]&lt;0,"Loss per Unit","Positive per Unit")</f>
        <v>Positive per Unit</v>
      </c>
    </row>
    <row r="327" spans="1:25" x14ac:dyDescent="0.3">
      <c r="A327">
        <v>1100</v>
      </c>
      <c r="B327" s="1">
        <v>45247</v>
      </c>
      <c r="C327" t="s">
        <v>13</v>
      </c>
      <c r="D327" t="s">
        <v>33</v>
      </c>
      <c r="E327">
        <v>13</v>
      </c>
      <c r="F327" t="s">
        <v>25</v>
      </c>
      <c r="G327">
        <v>366.2</v>
      </c>
      <c r="H327">
        <v>732.69</v>
      </c>
      <c r="I327" t="s">
        <v>29</v>
      </c>
      <c r="J327" s="2">
        <v>0.04</v>
      </c>
      <c r="K327" t="s">
        <v>17</v>
      </c>
      <c r="L327" t="s">
        <v>21</v>
      </c>
      <c r="M327" t="s">
        <v>45</v>
      </c>
      <c r="N327">
        <f>SalesData[[#This Row],[Quantity_Sold]]*SalesData[[#This Row],[Unit_Cost]]</f>
        <v>4760.5999999999995</v>
      </c>
      <c r="O327">
        <f>SalesData[[#This Row],[Quantity_Sold]]*SalesData[[#This Row],[Unit_Price]]</f>
        <v>9524.9700000000012</v>
      </c>
      <c r="P327">
        <f>SalesData[[#This Row],[Gross_sales]]*(1-SalesData[[#This Row],[Discount]])</f>
        <v>9143.9712</v>
      </c>
      <c r="Q327" s="2">
        <f>SalesData[[#This Row],[Sales_amount]]-SalesData[[#This Row],[Total_Cost]]</f>
        <v>4383.3712000000005</v>
      </c>
      <c r="R327" s="2">
        <f>SalesData[[#This Row],[Profit]]/SalesData[[#This Row],[Sales_amount]]</f>
        <v>0.47937281342268451</v>
      </c>
      <c r="S327" s="2">
        <f>SalesData[[#This Row],[Unit_Price]]-SalesData[[#This Row],[Unit_Cost]]</f>
        <v>366.49000000000007</v>
      </c>
      <c r="T327" s="10">
        <f>SalesData[[#This Row],[Unit_Margin]]/SalesData[[#This Row],[Unit_Price]]</f>
        <v>0.50019790088577709</v>
      </c>
      <c r="U327" s="2" t="str">
        <f>IF(SalesData[[#This Row],[Unit_Margin]]&lt;0, "Negative margin", "Positive margin")</f>
        <v>Positive margin</v>
      </c>
      <c r="V327" s="2" t="str">
        <f>IF(SalesData[[#This Row],[Profit]]&lt;0, "Loss", "Profit")</f>
        <v>Profit</v>
      </c>
      <c r="W327" s="2">
        <f>SalesData[[#This Row],[Unit_Price]]*(1-SalesData[[#This Row],[Discount]])</f>
        <v>703.38240000000008</v>
      </c>
      <c r="X327" s="2">
        <f>SalesData[[#This Row],[Effective_Unit_Price]]-SalesData[[#This Row],[Unit_Cost]]</f>
        <v>337.18240000000009</v>
      </c>
      <c r="Y327" s="2" t="str">
        <f>IF(SalesData[[#This Row],[Effective_Unit_Margin]]&lt;0,"Loss per Unit","Positive per Unit")</f>
        <v>Positive per Unit</v>
      </c>
    </row>
    <row r="328" spans="1:25" x14ac:dyDescent="0.3">
      <c r="A328">
        <v>1033</v>
      </c>
      <c r="B328" s="1">
        <v>45239</v>
      </c>
      <c r="C328" t="s">
        <v>23</v>
      </c>
      <c r="D328" t="s">
        <v>33</v>
      </c>
      <c r="E328">
        <v>6</v>
      </c>
      <c r="F328" t="s">
        <v>28</v>
      </c>
      <c r="G328">
        <v>1621.07</v>
      </c>
      <c r="H328">
        <v>1687.5</v>
      </c>
      <c r="I328" t="s">
        <v>16</v>
      </c>
      <c r="J328" s="2">
        <v>0.12</v>
      </c>
      <c r="K328" t="s">
        <v>30</v>
      </c>
      <c r="L328" t="s">
        <v>18</v>
      </c>
      <c r="M328" t="s">
        <v>49</v>
      </c>
      <c r="N328">
        <f>SalesData[[#This Row],[Quantity_Sold]]*SalesData[[#This Row],[Unit_Cost]]</f>
        <v>9726.42</v>
      </c>
      <c r="O328">
        <f>SalesData[[#This Row],[Quantity_Sold]]*SalesData[[#This Row],[Unit_Price]]</f>
        <v>10125</v>
      </c>
      <c r="P328">
        <f>SalesData[[#This Row],[Gross_sales]]*(1-SalesData[[#This Row],[Discount]])</f>
        <v>8910</v>
      </c>
      <c r="Q328" s="2">
        <f>SalesData[[#This Row],[Sales_amount]]-SalesData[[#This Row],[Total_Cost]]</f>
        <v>-816.42000000000007</v>
      </c>
      <c r="R328" s="2">
        <f>SalesData[[#This Row],[Profit]]/SalesData[[#This Row],[Sales_amount]]</f>
        <v>-9.1629629629629644E-2</v>
      </c>
      <c r="S328" s="2">
        <f>SalesData[[#This Row],[Unit_Price]]-SalesData[[#This Row],[Unit_Cost]]</f>
        <v>66.430000000000064</v>
      </c>
      <c r="T328" s="10">
        <f>SalesData[[#This Row],[Unit_Margin]]/SalesData[[#This Row],[Unit_Price]]</f>
        <v>3.9365925925925964E-2</v>
      </c>
      <c r="U328" s="2" t="str">
        <f>IF(SalesData[[#This Row],[Unit_Margin]]&lt;0, "Negative margin", "Positive margin")</f>
        <v>Positive margin</v>
      </c>
      <c r="V328" s="2" t="str">
        <f>IF(SalesData[[#This Row],[Profit]]&lt;0, "Loss", "Profit")</f>
        <v>Loss</v>
      </c>
      <c r="W328" s="2">
        <f>SalesData[[#This Row],[Unit_Price]]*(1-SalesData[[#This Row],[Discount]])</f>
        <v>1485</v>
      </c>
      <c r="X328" s="2">
        <f>SalesData[[#This Row],[Effective_Unit_Price]]-SalesData[[#This Row],[Unit_Cost]]</f>
        <v>-136.06999999999994</v>
      </c>
      <c r="Y328" s="2" t="str">
        <f>IF(SalesData[[#This Row],[Effective_Unit_Margin]]&lt;0,"Loss per Unit","Positive per Unit")</f>
        <v>Loss per Unit</v>
      </c>
    </row>
    <row r="329" spans="1:25" x14ac:dyDescent="0.3">
      <c r="A329">
        <v>1068</v>
      </c>
      <c r="B329" s="1">
        <v>45173</v>
      </c>
      <c r="C329" t="s">
        <v>37</v>
      </c>
      <c r="D329" t="s">
        <v>33</v>
      </c>
      <c r="E329">
        <v>14</v>
      </c>
      <c r="F329" t="s">
        <v>25</v>
      </c>
      <c r="G329">
        <v>1140.58</v>
      </c>
      <c r="H329">
        <v>1438.76</v>
      </c>
      <c r="I329" t="s">
        <v>16</v>
      </c>
      <c r="J329" s="2">
        <v>0.03</v>
      </c>
      <c r="K329" t="s">
        <v>26</v>
      </c>
      <c r="L329" t="s">
        <v>18</v>
      </c>
      <c r="M329" t="s">
        <v>47</v>
      </c>
      <c r="N329">
        <f>SalesData[[#This Row],[Quantity_Sold]]*SalesData[[#This Row],[Unit_Cost]]</f>
        <v>15968.119999999999</v>
      </c>
      <c r="O329">
        <f>SalesData[[#This Row],[Quantity_Sold]]*SalesData[[#This Row],[Unit_Price]]</f>
        <v>20142.64</v>
      </c>
      <c r="P329">
        <f>SalesData[[#This Row],[Gross_sales]]*(1-SalesData[[#This Row],[Discount]])</f>
        <v>19538.360799999999</v>
      </c>
      <c r="Q329" s="2">
        <f>SalesData[[#This Row],[Sales_amount]]-SalesData[[#This Row],[Total_Cost]]</f>
        <v>3570.2407999999996</v>
      </c>
      <c r="R329" s="2">
        <f>SalesData[[#This Row],[Profit]]/SalesData[[#This Row],[Sales_amount]]</f>
        <v>0.18272980198011288</v>
      </c>
      <c r="S329" s="2">
        <f>SalesData[[#This Row],[Unit_Price]]-SalesData[[#This Row],[Unit_Cost]]</f>
        <v>298.18000000000006</v>
      </c>
      <c r="T329" s="10">
        <f>SalesData[[#This Row],[Unit_Margin]]/SalesData[[#This Row],[Unit_Price]]</f>
        <v>0.20724790792070955</v>
      </c>
      <c r="U329" s="2" t="str">
        <f>IF(SalesData[[#This Row],[Unit_Margin]]&lt;0, "Negative margin", "Positive margin")</f>
        <v>Positive margin</v>
      </c>
      <c r="V329" s="2" t="str">
        <f>IF(SalesData[[#This Row],[Profit]]&lt;0, "Loss", "Profit")</f>
        <v>Profit</v>
      </c>
      <c r="W329" s="2">
        <f>SalesData[[#This Row],[Unit_Price]]*(1-SalesData[[#This Row],[Discount]])</f>
        <v>1395.5971999999999</v>
      </c>
      <c r="X329" s="2">
        <f>SalesData[[#This Row],[Effective_Unit_Price]]-SalesData[[#This Row],[Unit_Cost]]</f>
        <v>255.0172</v>
      </c>
      <c r="Y329" s="2" t="str">
        <f>IF(SalesData[[#This Row],[Effective_Unit_Margin]]&lt;0,"Loss per Unit","Positive per Unit")</f>
        <v>Positive per Unit</v>
      </c>
    </row>
    <row r="330" spans="1:25" x14ac:dyDescent="0.3">
      <c r="A330">
        <v>1033</v>
      </c>
      <c r="B330" s="1">
        <v>45249</v>
      </c>
      <c r="C330" t="s">
        <v>23</v>
      </c>
      <c r="D330" t="s">
        <v>14</v>
      </c>
      <c r="E330">
        <v>37</v>
      </c>
      <c r="F330" t="s">
        <v>34</v>
      </c>
      <c r="G330">
        <v>2600.7600000000002</v>
      </c>
      <c r="H330">
        <v>2937.57</v>
      </c>
      <c r="I330" t="s">
        <v>29</v>
      </c>
      <c r="J330" s="2">
        <v>0.17</v>
      </c>
      <c r="K330" t="s">
        <v>30</v>
      </c>
      <c r="L330" t="s">
        <v>21</v>
      </c>
      <c r="M330" t="s">
        <v>44</v>
      </c>
      <c r="N330">
        <f>SalesData[[#This Row],[Quantity_Sold]]*SalesData[[#This Row],[Unit_Cost]]</f>
        <v>96228.12000000001</v>
      </c>
      <c r="O330">
        <f>SalesData[[#This Row],[Quantity_Sold]]*SalesData[[#This Row],[Unit_Price]]</f>
        <v>108690.09000000001</v>
      </c>
      <c r="P330">
        <f>SalesData[[#This Row],[Gross_sales]]*(1-SalesData[[#This Row],[Discount]])</f>
        <v>90212.774700000009</v>
      </c>
      <c r="Q330" s="2">
        <f>SalesData[[#This Row],[Sales_amount]]-SalesData[[#This Row],[Total_Cost]]</f>
        <v>-6015.3453000000009</v>
      </c>
      <c r="R330" s="2">
        <f>SalesData[[#This Row],[Profit]]/SalesData[[#This Row],[Sales_amount]]</f>
        <v>-6.6679528703156049E-2</v>
      </c>
      <c r="S330" s="2">
        <f>SalesData[[#This Row],[Unit_Price]]-SalesData[[#This Row],[Unit_Cost]]</f>
        <v>336.80999999999995</v>
      </c>
      <c r="T330" s="10">
        <f>SalesData[[#This Row],[Unit_Margin]]/SalesData[[#This Row],[Unit_Price]]</f>
        <v>0.11465599117638045</v>
      </c>
      <c r="U330" s="2" t="str">
        <f>IF(SalesData[[#This Row],[Unit_Margin]]&lt;0, "Negative margin", "Positive margin")</f>
        <v>Positive margin</v>
      </c>
      <c r="V330" s="2" t="str">
        <f>IF(SalesData[[#This Row],[Profit]]&lt;0, "Loss", "Profit")</f>
        <v>Loss</v>
      </c>
      <c r="W330" s="2">
        <f>SalesData[[#This Row],[Unit_Price]]*(1-SalesData[[#This Row],[Discount]])</f>
        <v>2438.1831000000002</v>
      </c>
      <c r="X330" s="2">
        <f>SalesData[[#This Row],[Effective_Unit_Price]]-SalesData[[#This Row],[Unit_Cost]]</f>
        <v>-162.57690000000002</v>
      </c>
      <c r="Y330" s="2" t="str">
        <f>IF(SalesData[[#This Row],[Effective_Unit_Margin]]&lt;0,"Loss per Unit","Positive per Unit")</f>
        <v>Loss per Unit</v>
      </c>
    </row>
    <row r="331" spans="1:25" x14ac:dyDescent="0.3">
      <c r="A331">
        <v>1014</v>
      </c>
      <c r="B331" s="1">
        <v>45181</v>
      </c>
      <c r="C331" t="s">
        <v>32</v>
      </c>
      <c r="D331" t="s">
        <v>33</v>
      </c>
      <c r="E331">
        <v>48</v>
      </c>
      <c r="F331" t="s">
        <v>15</v>
      </c>
      <c r="G331">
        <v>556.72</v>
      </c>
      <c r="H331">
        <v>665.07</v>
      </c>
      <c r="I331" t="s">
        <v>16</v>
      </c>
      <c r="J331" s="2">
        <v>0.01</v>
      </c>
      <c r="K331" t="s">
        <v>26</v>
      </c>
      <c r="L331" t="s">
        <v>21</v>
      </c>
      <c r="M331" t="s">
        <v>35</v>
      </c>
      <c r="N331">
        <f>SalesData[[#This Row],[Quantity_Sold]]*SalesData[[#This Row],[Unit_Cost]]</f>
        <v>26722.560000000001</v>
      </c>
      <c r="O331">
        <f>SalesData[[#This Row],[Quantity_Sold]]*SalesData[[#This Row],[Unit_Price]]</f>
        <v>31923.360000000001</v>
      </c>
      <c r="P331">
        <f>SalesData[[#This Row],[Gross_sales]]*(1-SalesData[[#This Row],[Discount]])</f>
        <v>31604.126400000001</v>
      </c>
      <c r="Q331" s="2">
        <f>SalesData[[#This Row],[Sales_amount]]-SalesData[[#This Row],[Total_Cost]]</f>
        <v>4881.5663999999997</v>
      </c>
      <c r="R331" s="2">
        <f>SalesData[[#This Row],[Profit]]/SalesData[[#This Row],[Sales_amount]]</f>
        <v>0.15445977965712729</v>
      </c>
      <c r="S331" s="2">
        <f>SalesData[[#This Row],[Unit_Price]]-SalesData[[#This Row],[Unit_Cost]]</f>
        <v>108.35000000000002</v>
      </c>
      <c r="T331" s="10">
        <f>SalesData[[#This Row],[Unit_Margin]]/SalesData[[#This Row],[Unit_Price]]</f>
        <v>0.16291518186055606</v>
      </c>
      <c r="U331" s="2" t="str">
        <f>IF(SalesData[[#This Row],[Unit_Margin]]&lt;0, "Negative margin", "Positive margin")</f>
        <v>Positive margin</v>
      </c>
      <c r="V331" s="2" t="str">
        <f>IF(SalesData[[#This Row],[Profit]]&lt;0, "Loss", "Profit")</f>
        <v>Profit</v>
      </c>
      <c r="W331" s="2">
        <f>SalesData[[#This Row],[Unit_Price]]*(1-SalesData[[#This Row],[Discount]])</f>
        <v>658.41930000000002</v>
      </c>
      <c r="X331" s="2">
        <f>SalesData[[#This Row],[Effective_Unit_Price]]-SalesData[[#This Row],[Unit_Cost]]</f>
        <v>101.69929999999999</v>
      </c>
      <c r="Y331" s="2" t="str">
        <f>IF(SalesData[[#This Row],[Effective_Unit_Margin]]&lt;0,"Loss per Unit","Positive per Unit")</f>
        <v>Positive per Unit</v>
      </c>
    </row>
    <row r="332" spans="1:25" x14ac:dyDescent="0.3">
      <c r="A332">
        <v>1021</v>
      </c>
      <c r="B332" s="1">
        <v>45254</v>
      </c>
      <c r="C332" t="s">
        <v>37</v>
      </c>
      <c r="D332" t="s">
        <v>14</v>
      </c>
      <c r="E332">
        <v>15</v>
      </c>
      <c r="F332" t="s">
        <v>25</v>
      </c>
      <c r="G332">
        <v>3771.27</v>
      </c>
      <c r="H332">
        <v>4212.55</v>
      </c>
      <c r="I332" t="s">
        <v>16</v>
      </c>
      <c r="J332" s="2">
        <v>0.16</v>
      </c>
      <c r="K332" t="s">
        <v>30</v>
      </c>
      <c r="L332" t="s">
        <v>21</v>
      </c>
      <c r="M332" t="s">
        <v>39</v>
      </c>
      <c r="N332">
        <f>SalesData[[#This Row],[Quantity_Sold]]*SalesData[[#This Row],[Unit_Cost]]</f>
        <v>56569.05</v>
      </c>
      <c r="O332">
        <f>SalesData[[#This Row],[Quantity_Sold]]*SalesData[[#This Row],[Unit_Price]]</f>
        <v>63188.25</v>
      </c>
      <c r="P332">
        <f>SalesData[[#This Row],[Gross_sales]]*(1-SalesData[[#This Row],[Discount]])</f>
        <v>53078.13</v>
      </c>
      <c r="Q332" s="2">
        <f>SalesData[[#This Row],[Sales_amount]]-SalesData[[#This Row],[Total_Cost]]</f>
        <v>-3490.9200000000055</v>
      </c>
      <c r="R332" s="2">
        <f>SalesData[[#This Row],[Profit]]/SalesData[[#This Row],[Sales_amount]]</f>
        <v>-6.5769460981387362E-2</v>
      </c>
      <c r="S332" s="2">
        <f>SalesData[[#This Row],[Unit_Price]]-SalesData[[#This Row],[Unit_Cost]]</f>
        <v>441.2800000000002</v>
      </c>
      <c r="T332" s="10">
        <f>SalesData[[#This Row],[Unit_Margin]]/SalesData[[#This Row],[Unit_Price]]</f>
        <v>0.10475365277563475</v>
      </c>
      <c r="U332" s="2" t="str">
        <f>IF(SalesData[[#This Row],[Unit_Margin]]&lt;0, "Negative margin", "Positive margin")</f>
        <v>Positive margin</v>
      </c>
      <c r="V332" s="2" t="str">
        <f>IF(SalesData[[#This Row],[Profit]]&lt;0, "Loss", "Profit")</f>
        <v>Loss</v>
      </c>
      <c r="W332" s="2">
        <f>SalesData[[#This Row],[Unit_Price]]*(1-SalesData[[#This Row],[Discount]])</f>
        <v>3538.5419999999999</v>
      </c>
      <c r="X332" s="2">
        <f>SalesData[[#This Row],[Effective_Unit_Price]]-SalesData[[#This Row],[Unit_Cost]]</f>
        <v>-232.72800000000007</v>
      </c>
      <c r="Y332" s="2" t="str">
        <f>IF(SalesData[[#This Row],[Effective_Unit_Margin]]&lt;0,"Loss per Unit","Positive per Unit")</f>
        <v>Loss per Unit</v>
      </c>
    </row>
    <row r="333" spans="1:25" x14ac:dyDescent="0.3">
      <c r="A333">
        <v>1048</v>
      </c>
      <c r="B333" s="1">
        <v>44980</v>
      </c>
      <c r="C333" t="s">
        <v>13</v>
      </c>
      <c r="D333" t="s">
        <v>20</v>
      </c>
      <c r="E333">
        <v>47</v>
      </c>
      <c r="F333" t="s">
        <v>25</v>
      </c>
      <c r="G333">
        <v>4535.8599999999997</v>
      </c>
      <c r="H333">
        <v>4641.41</v>
      </c>
      <c r="I333" t="s">
        <v>29</v>
      </c>
      <c r="J333" s="2">
        <v>0.27</v>
      </c>
      <c r="K333" t="s">
        <v>30</v>
      </c>
      <c r="L333" t="s">
        <v>21</v>
      </c>
      <c r="M333" t="s">
        <v>22</v>
      </c>
      <c r="N333">
        <f>SalesData[[#This Row],[Quantity_Sold]]*SalesData[[#This Row],[Unit_Cost]]</f>
        <v>213185.41999999998</v>
      </c>
      <c r="O333">
        <f>SalesData[[#This Row],[Quantity_Sold]]*SalesData[[#This Row],[Unit_Price]]</f>
        <v>218146.27</v>
      </c>
      <c r="P333">
        <f>SalesData[[#This Row],[Gross_sales]]*(1-SalesData[[#This Row],[Discount]])</f>
        <v>159246.77709999998</v>
      </c>
      <c r="Q333" s="2">
        <f>SalesData[[#This Row],[Sales_amount]]-SalesData[[#This Row],[Total_Cost]]</f>
        <v>-53938.642900000006</v>
      </c>
      <c r="R333" s="2">
        <f>SalesData[[#This Row],[Profit]]/SalesData[[#This Row],[Sales_amount]]</f>
        <v>-0.33871104886555353</v>
      </c>
      <c r="S333" s="2">
        <f>SalesData[[#This Row],[Unit_Price]]-SalesData[[#This Row],[Unit_Cost]]</f>
        <v>105.55000000000018</v>
      </c>
      <c r="T333" s="10">
        <f>SalesData[[#This Row],[Unit_Margin]]/SalesData[[#This Row],[Unit_Price]]</f>
        <v>2.2740934328146011E-2</v>
      </c>
      <c r="U333" s="2" t="str">
        <f>IF(SalesData[[#This Row],[Unit_Margin]]&lt;0, "Negative margin", "Positive margin")</f>
        <v>Positive margin</v>
      </c>
      <c r="V333" s="2" t="str">
        <f>IF(SalesData[[#This Row],[Profit]]&lt;0, "Loss", "Profit")</f>
        <v>Loss</v>
      </c>
      <c r="W333" s="2">
        <f>SalesData[[#This Row],[Unit_Price]]*(1-SalesData[[#This Row],[Discount]])</f>
        <v>3388.2293</v>
      </c>
      <c r="X333" s="2">
        <f>SalesData[[#This Row],[Effective_Unit_Price]]-SalesData[[#This Row],[Unit_Cost]]</f>
        <v>-1147.6306999999997</v>
      </c>
      <c r="Y333" s="2" t="str">
        <f>IF(SalesData[[#This Row],[Effective_Unit_Margin]]&lt;0,"Loss per Unit","Positive per Unit")</f>
        <v>Loss per Unit</v>
      </c>
    </row>
    <row r="334" spans="1:25" x14ac:dyDescent="0.3">
      <c r="A334">
        <v>1020</v>
      </c>
      <c r="B334" s="1">
        <v>45175</v>
      </c>
      <c r="C334" t="s">
        <v>32</v>
      </c>
      <c r="D334" t="s">
        <v>33</v>
      </c>
      <c r="E334">
        <v>4</v>
      </c>
      <c r="F334" t="s">
        <v>28</v>
      </c>
      <c r="G334">
        <v>3730</v>
      </c>
      <c r="H334">
        <v>3893.6</v>
      </c>
      <c r="I334" t="s">
        <v>29</v>
      </c>
      <c r="J334" s="2">
        <v>0.25</v>
      </c>
      <c r="K334" t="s">
        <v>26</v>
      </c>
      <c r="L334" t="s">
        <v>21</v>
      </c>
      <c r="M334" t="s">
        <v>35</v>
      </c>
      <c r="N334">
        <f>SalesData[[#This Row],[Quantity_Sold]]*SalesData[[#This Row],[Unit_Cost]]</f>
        <v>14920</v>
      </c>
      <c r="O334">
        <f>SalesData[[#This Row],[Quantity_Sold]]*SalesData[[#This Row],[Unit_Price]]</f>
        <v>15574.4</v>
      </c>
      <c r="P334">
        <f>SalesData[[#This Row],[Gross_sales]]*(1-SalesData[[#This Row],[Discount]])</f>
        <v>11680.8</v>
      </c>
      <c r="Q334" s="2">
        <f>SalesData[[#This Row],[Sales_amount]]-SalesData[[#This Row],[Total_Cost]]</f>
        <v>-3239.2000000000007</v>
      </c>
      <c r="R334" s="2">
        <f>SalesData[[#This Row],[Profit]]/SalesData[[#This Row],[Sales_amount]]</f>
        <v>-0.2773097733031985</v>
      </c>
      <c r="S334" s="2">
        <f>SalesData[[#This Row],[Unit_Price]]-SalesData[[#This Row],[Unit_Cost]]</f>
        <v>163.59999999999991</v>
      </c>
      <c r="T334" s="10">
        <f>SalesData[[#This Row],[Unit_Margin]]/SalesData[[#This Row],[Unit_Price]]</f>
        <v>4.2017670022601171E-2</v>
      </c>
      <c r="U334" s="2" t="str">
        <f>IF(SalesData[[#This Row],[Unit_Margin]]&lt;0, "Negative margin", "Positive margin")</f>
        <v>Positive margin</v>
      </c>
      <c r="V334" s="2" t="str">
        <f>IF(SalesData[[#This Row],[Profit]]&lt;0, "Loss", "Profit")</f>
        <v>Loss</v>
      </c>
      <c r="W334" s="2">
        <f>SalesData[[#This Row],[Unit_Price]]*(1-SalesData[[#This Row],[Discount]])</f>
        <v>2920.2</v>
      </c>
      <c r="X334" s="2">
        <f>SalesData[[#This Row],[Effective_Unit_Price]]-SalesData[[#This Row],[Unit_Cost]]</f>
        <v>-809.80000000000018</v>
      </c>
      <c r="Y334" s="2" t="str">
        <f>IF(SalesData[[#This Row],[Effective_Unit_Margin]]&lt;0,"Loss per Unit","Positive per Unit")</f>
        <v>Loss per Unit</v>
      </c>
    </row>
    <row r="335" spans="1:25" x14ac:dyDescent="0.3">
      <c r="A335">
        <v>1008</v>
      </c>
      <c r="B335" s="1">
        <v>45165</v>
      </c>
      <c r="C335" t="s">
        <v>23</v>
      </c>
      <c r="D335" t="s">
        <v>24</v>
      </c>
      <c r="E335">
        <v>40</v>
      </c>
      <c r="F335" t="s">
        <v>28</v>
      </c>
      <c r="G335">
        <v>2687.49</v>
      </c>
      <c r="H335">
        <v>3001.56</v>
      </c>
      <c r="I335" t="s">
        <v>16</v>
      </c>
      <c r="J335" s="2">
        <v>0.26</v>
      </c>
      <c r="K335" t="s">
        <v>26</v>
      </c>
      <c r="L335" t="s">
        <v>18</v>
      </c>
      <c r="M335" t="s">
        <v>27</v>
      </c>
      <c r="N335">
        <f>SalesData[[#This Row],[Quantity_Sold]]*SalesData[[#This Row],[Unit_Cost]]</f>
        <v>107499.59999999999</v>
      </c>
      <c r="O335">
        <f>SalesData[[#This Row],[Quantity_Sold]]*SalesData[[#This Row],[Unit_Price]]</f>
        <v>120062.39999999999</v>
      </c>
      <c r="P335">
        <f>SalesData[[#This Row],[Gross_sales]]*(1-SalesData[[#This Row],[Discount]])</f>
        <v>88846.175999999992</v>
      </c>
      <c r="Q335" s="2">
        <f>SalesData[[#This Row],[Sales_amount]]-SalesData[[#This Row],[Total_Cost]]</f>
        <v>-18653.423999999999</v>
      </c>
      <c r="R335" s="2">
        <f>SalesData[[#This Row],[Profit]]/SalesData[[#This Row],[Sales_amount]]</f>
        <v>-0.20995190608991435</v>
      </c>
      <c r="S335" s="2">
        <f>SalesData[[#This Row],[Unit_Price]]-SalesData[[#This Row],[Unit_Cost]]</f>
        <v>314.07000000000016</v>
      </c>
      <c r="T335" s="10">
        <f>SalesData[[#This Row],[Unit_Margin]]/SalesData[[#This Row],[Unit_Price]]</f>
        <v>0.10463558949346345</v>
      </c>
      <c r="U335" s="2" t="str">
        <f>IF(SalesData[[#This Row],[Unit_Margin]]&lt;0, "Negative margin", "Positive margin")</f>
        <v>Positive margin</v>
      </c>
      <c r="V335" s="2" t="str">
        <f>IF(SalesData[[#This Row],[Profit]]&lt;0, "Loss", "Profit")</f>
        <v>Loss</v>
      </c>
      <c r="W335" s="2">
        <f>SalesData[[#This Row],[Unit_Price]]*(1-SalesData[[#This Row],[Discount]])</f>
        <v>2221.1543999999999</v>
      </c>
      <c r="X335" s="2">
        <f>SalesData[[#This Row],[Effective_Unit_Price]]-SalesData[[#This Row],[Unit_Cost]]</f>
        <v>-466.33559999999989</v>
      </c>
      <c r="Y335" s="2" t="str">
        <f>IF(SalesData[[#This Row],[Effective_Unit_Margin]]&lt;0,"Loss per Unit","Positive per Unit")</f>
        <v>Loss per Unit</v>
      </c>
    </row>
    <row r="336" spans="1:25" x14ac:dyDescent="0.3">
      <c r="A336">
        <v>1007</v>
      </c>
      <c r="B336" s="1">
        <v>45155</v>
      </c>
      <c r="C336" t="s">
        <v>37</v>
      </c>
      <c r="D336" t="s">
        <v>33</v>
      </c>
      <c r="E336">
        <v>16</v>
      </c>
      <c r="F336" t="s">
        <v>15</v>
      </c>
      <c r="G336">
        <v>4310.3100000000004</v>
      </c>
      <c r="H336">
        <v>4633.1000000000004</v>
      </c>
      <c r="I336" t="s">
        <v>29</v>
      </c>
      <c r="J336" s="2">
        <v>0.28000000000000003</v>
      </c>
      <c r="K336" t="s">
        <v>30</v>
      </c>
      <c r="L336" t="s">
        <v>21</v>
      </c>
      <c r="M336" t="s">
        <v>47</v>
      </c>
      <c r="N336">
        <f>SalesData[[#This Row],[Quantity_Sold]]*SalesData[[#This Row],[Unit_Cost]]</f>
        <v>68964.960000000006</v>
      </c>
      <c r="O336">
        <f>SalesData[[#This Row],[Quantity_Sold]]*SalesData[[#This Row],[Unit_Price]]</f>
        <v>74129.600000000006</v>
      </c>
      <c r="P336">
        <f>SalesData[[#This Row],[Gross_sales]]*(1-SalesData[[#This Row],[Discount]])</f>
        <v>53373.312000000005</v>
      </c>
      <c r="Q336" s="2">
        <f>SalesData[[#This Row],[Sales_amount]]-SalesData[[#This Row],[Total_Cost]]</f>
        <v>-15591.648000000001</v>
      </c>
      <c r="R336" s="2">
        <f>SalesData[[#This Row],[Profit]]/SalesData[[#This Row],[Sales_amount]]</f>
        <v>-0.29212442353212031</v>
      </c>
      <c r="S336" s="2">
        <f>SalesData[[#This Row],[Unit_Price]]-SalesData[[#This Row],[Unit_Cost]]</f>
        <v>322.78999999999996</v>
      </c>
      <c r="T336" s="10">
        <f>SalesData[[#This Row],[Unit_Margin]]/SalesData[[#This Row],[Unit_Price]]</f>
        <v>6.9670415056873353E-2</v>
      </c>
      <c r="U336" s="2" t="str">
        <f>IF(SalesData[[#This Row],[Unit_Margin]]&lt;0, "Negative margin", "Positive margin")</f>
        <v>Positive margin</v>
      </c>
      <c r="V336" s="2" t="str">
        <f>IF(SalesData[[#This Row],[Profit]]&lt;0, "Loss", "Profit")</f>
        <v>Loss</v>
      </c>
      <c r="W336" s="2">
        <f>SalesData[[#This Row],[Unit_Price]]*(1-SalesData[[#This Row],[Discount]])</f>
        <v>3335.8320000000003</v>
      </c>
      <c r="X336" s="2">
        <f>SalesData[[#This Row],[Effective_Unit_Price]]-SalesData[[#This Row],[Unit_Cost]]</f>
        <v>-974.47800000000007</v>
      </c>
      <c r="Y336" s="2" t="str">
        <f>IF(SalesData[[#This Row],[Effective_Unit_Margin]]&lt;0,"Loss per Unit","Positive per Unit")</f>
        <v>Loss per Unit</v>
      </c>
    </row>
    <row r="337" spans="1:25" x14ac:dyDescent="0.3">
      <c r="A337">
        <v>1067</v>
      </c>
      <c r="B337" s="1">
        <v>44993</v>
      </c>
      <c r="C337" t="s">
        <v>13</v>
      </c>
      <c r="D337" t="s">
        <v>33</v>
      </c>
      <c r="E337">
        <v>28</v>
      </c>
      <c r="F337" t="s">
        <v>34</v>
      </c>
      <c r="G337">
        <v>3489.85</v>
      </c>
      <c r="H337">
        <v>3842.5499999999902</v>
      </c>
      <c r="I337" t="s">
        <v>29</v>
      </c>
      <c r="J337" s="2">
        <v>0.03</v>
      </c>
      <c r="K337" t="s">
        <v>26</v>
      </c>
      <c r="L337" t="s">
        <v>18</v>
      </c>
      <c r="M337" t="s">
        <v>45</v>
      </c>
      <c r="N337">
        <f>SalesData[[#This Row],[Quantity_Sold]]*SalesData[[#This Row],[Unit_Cost]]</f>
        <v>97715.8</v>
      </c>
      <c r="O337">
        <f>SalesData[[#This Row],[Quantity_Sold]]*SalesData[[#This Row],[Unit_Price]]</f>
        <v>107591.39999999973</v>
      </c>
      <c r="P337">
        <f>SalesData[[#This Row],[Gross_sales]]*(1-SalesData[[#This Row],[Discount]])</f>
        <v>104363.65799999973</v>
      </c>
      <c r="Q337" s="2">
        <f>SalesData[[#This Row],[Sales_amount]]-SalesData[[#This Row],[Total_Cost]]</f>
        <v>6647.857999999731</v>
      </c>
      <c r="R337" s="2">
        <f>SalesData[[#This Row],[Profit]]/SalesData[[#This Row],[Sales_amount]]</f>
        <v>6.3698974598990654E-2</v>
      </c>
      <c r="S337" s="2">
        <f>SalesData[[#This Row],[Unit_Price]]-SalesData[[#This Row],[Unit_Cost]]</f>
        <v>352.69999999999027</v>
      </c>
      <c r="T337" s="10">
        <f>SalesData[[#This Row],[Unit_Margin]]/SalesData[[#This Row],[Unit_Price]]</f>
        <v>9.1788005361020983E-2</v>
      </c>
      <c r="U337" s="2" t="str">
        <f>IF(SalesData[[#This Row],[Unit_Margin]]&lt;0, "Negative margin", "Positive margin")</f>
        <v>Positive margin</v>
      </c>
      <c r="V337" s="2" t="str">
        <f>IF(SalesData[[#This Row],[Profit]]&lt;0, "Loss", "Profit")</f>
        <v>Profit</v>
      </c>
      <c r="W337" s="2">
        <f>SalesData[[#This Row],[Unit_Price]]*(1-SalesData[[#This Row],[Discount]])</f>
        <v>3727.2734999999902</v>
      </c>
      <c r="X337" s="2">
        <f>SalesData[[#This Row],[Effective_Unit_Price]]-SalesData[[#This Row],[Unit_Cost]]</f>
        <v>237.42349999999033</v>
      </c>
      <c r="Y337" s="2" t="str">
        <f>IF(SalesData[[#This Row],[Effective_Unit_Margin]]&lt;0,"Loss per Unit","Positive per Unit")</f>
        <v>Positive per Unit</v>
      </c>
    </row>
    <row r="338" spans="1:25" x14ac:dyDescent="0.3">
      <c r="A338">
        <v>1017</v>
      </c>
      <c r="B338" s="1">
        <v>44977</v>
      </c>
      <c r="C338" t="s">
        <v>32</v>
      </c>
      <c r="D338" t="s">
        <v>14</v>
      </c>
      <c r="E338">
        <v>16</v>
      </c>
      <c r="F338" t="s">
        <v>15</v>
      </c>
      <c r="G338">
        <v>102.23</v>
      </c>
      <c r="H338">
        <v>167.12</v>
      </c>
      <c r="I338" t="s">
        <v>29</v>
      </c>
      <c r="J338" s="2">
        <v>0.04</v>
      </c>
      <c r="K338" t="s">
        <v>30</v>
      </c>
      <c r="L338" t="s">
        <v>21</v>
      </c>
      <c r="M338" t="s">
        <v>52</v>
      </c>
      <c r="N338">
        <f>SalesData[[#This Row],[Quantity_Sold]]*SalesData[[#This Row],[Unit_Cost]]</f>
        <v>1635.68</v>
      </c>
      <c r="O338">
        <f>SalesData[[#This Row],[Quantity_Sold]]*SalesData[[#This Row],[Unit_Price]]</f>
        <v>2673.92</v>
      </c>
      <c r="P338">
        <f>SalesData[[#This Row],[Gross_sales]]*(1-SalesData[[#This Row],[Discount]])</f>
        <v>2566.9632000000001</v>
      </c>
      <c r="Q338" s="2">
        <f>SalesData[[#This Row],[Sales_amount]]-SalesData[[#This Row],[Total_Cost]]</f>
        <v>931.28320000000008</v>
      </c>
      <c r="R338" s="2">
        <f>SalesData[[#This Row],[Profit]]/SalesData[[#This Row],[Sales_amount]]</f>
        <v>0.36279569570767511</v>
      </c>
      <c r="S338" s="2">
        <f>SalesData[[#This Row],[Unit_Price]]-SalesData[[#This Row],[Unit_Cost]]</f>
        <v>64.89</v>
      </c>
      <c r="T338" s="10">
        <f>SalesData[[#This Row],[Unit_Margin]]/SalesData[[#This Row],[Unit_Price]]</f>
        <v>0.38828386787936814</v>
      </c>
      <c r="U338" s="2" t="str">
        <f>IF(SalesData[[#This Row],[Unit_Margin]]&lt;0, "Negative margin", "Positive margin")</f>
        <v>Positive margin</v>
      </c>
      <c r="V338" s="2" t="str">
        <f>IF(SalesData[[#This Row],[Profit]]&lt;0, "Loss", "Profit")</f>
        <v>Profit</v>
      </c>
      <c r="W338" s="2">
        <f>SalesData[[#This Row],[Unit_Price]]*(1-SalesData[[#This Row],[Discount]])</f>
        <v>160.43520000000001</v>
      </c>
      <c r="X338" s="2">
        <f>SalesData[[#This Row],[Effective_Unit_Price]]-SalesData[[#This Row],[Unit_Cost]]</f>
        <v>58.205200000000005</v>
      </c>
      <c r="Y338" s="2" t="str">
        <f>IF(SalesData[[#This Row],[Effective_Unit_Margin]]&lt;0,"Loss per Unit","Positive per Unit")</f>
        <v>Positive per Unit</v>
      </c>
    </row>
    <row r="339" spans="1:25" x14ac:dyDescent="0.3">
      <c r="A339">
        <v>1033</v>
      </c>
      <c r="B339" s="1">
        <v>45023</v>
      </c>
      <c r="C339" t="s">
        <v>13</v>
      </c>
      <c r="D339" t="s">
        <v>33</v>
      </c>
      <c r="E339">
        <v>4</v>
      </c>
      <c r="F339" t="s">
        <v>25</v>
      </c>
      <c r="G339">
        <v>2000.75</v>
      </c>
      <c r="H339">
        <v>2426.9899999999998</v>
      </c>
      <c r="I339" t="s">
        <v>16</v>
      </c>
      <c r="J339" s="2">
        <v>0.17</v>
      </c>
      <c r="K339" t="s">
        <v>26</v>
      </c>
      <c r="L339" t="s">
        <v>18</v>
      </c>
      <c r="M339" t="s">
        <v>45</v>
      </c>
      <c r="N339">
        <f>SalesData[[#This Row],[Quantity_Sold]]*SalesData[[#This Row],[Unit_Cost]]</f>
        <v>8003</v>
      </c>
      <c r="O339">
        <f>SalesData[[#This Row],[Quantity_Sold]]*SalesData[[#This Row],[Unit_Price]]</f>
        <v>9707.9599999999991</v>
      </c>
      <c r="P339">
        <f>SalesData[[#This Row],[Gross_sales]]*(1-SalesData[[#This Row],[Discount]])</f>
        <v>8057.6067999999987</v>
      </c>
      <c r="Q339" s="2">
        <f>SalesData[[#This Row],[Sales_amount]]-SalesData[[#This Row],[Total_Cost]]</f>
        <v>54.606799999998657</v>
      </c>
      <c r="R339" s="2">
        <f>SalesData[[#This Row],[Profit]]/SalesData[[#This Row],[Sales_amount]]</f>
        <v>6.7770494832285269E-3</v>
      </c>
      <c r="S339" s="2">
        <f>SalesData[[#This Row],[Unit_Price]]-SalesData[[#This Row],[Unit_Cost]]</f>
        <v>426.23999999999978</v>
      </c>
      <c r="T339" s="10">
        <f>SalesData[[#This Row],[Unit_Margin]]/SalesData[[#This Row],[Unit_Price]]</f>
        <v>0.17562495107107975</v>
      </c>
      <c r="U339" s="2" t="str">
        <f>IF(SalesData[[#This Row],[Unit_Margin]]&lt;0, "Negative margin", "Positive margin")</f>
        <v>Positive margin</v>
      </c>
      <c r="V339" s="2" t="str">
        <f>IF(SalesData[[#This Row],[Profit]]&lt;0, "Loss", "Profit")</f>
        <v>Profit</v>
      </c>
      <c r="W339" s="2">
        <f>SalesData[[#This Row],[Unit_Price]]*(1-SalesData[[#This Row],[Discount]])</f>
        <v>2014.4016999999997</v>
      </c>
      <c r="X339" s="2">
        <f>SalesData[[#This Row],[Effective_Unit_Price]]-SalesData[[#This Row],[Unit_Cost]]</f>
        <v>13.651699999999664</v>
      </c>
      <c r="Y339" s="2" t="str">
        <f>IF(SalesData[[#This Row],[Effective_Unit_Margin]]&lt;0,"Loss per Unit","Positive per Unit")</f>
        <v>Positive per Unit</v>
      </c>
    </row>
    <row r="340" spans="1:25" x14ac:dyDescent="0.3">
      <c r="A340">
        <v>1048</v>
      </c>
      <c r="B340" s="1">
        <v>45018</v>
      </c>
      <c r="C340" t="s">
        <v>23</v>
      </c>
      <c r="D340" t="s">
        <v>24</v>
      </c>
      <c r="E340">
        <v>45</v>
      </c>
      <c r="F340" t="s">
        <v>34</v>
      </c>
      <c r="G340">
        <v>4262.21</v>
      </c>
      <c r="H340">
        <v>4533.3100000000004</v>
      </c>
      <c r="I340" t="s">
        <v>16</v>
      </c>
      <c r="J340" s="2">
        <v>0.27</v>
      </c>
      <c r="K340" t="s">
        <v>30</v>
      </c>
      <c r="L340" t="s">
        <v>18</v>
      </c>
      <c r="M340" t="s">
        <v>27</v>
      </c>
      <c r="N340">
        <f>SalesData[[#This Row],[Quantity_Sold]]*SalesData[[#This Row],[Unit_Cost]]</f>
        <v>191799.45</v>
      </c>
      <c r="O340">
        <f>SalesData[[#This Row],[Quantity_Sold]]*SalesData[[#This Row],[Unit_Price]]</f>
        <v>203998.95</v>
      </c>
      <c r="P340">
        <f>SalesData[[#This Row],[Gross_sales]]*(1-SalesData[[#This Row],[Discount]])</f>
        <v>148919.2335</v>
      </c>
      <c r="Q340" s="2">
        <f>SalesData[[#This Row],[Sales_amount]]-SalesData[[#This Row],[Total_Cost]]</f>
        <v>-42880.21650000001</v>
      </c>
      <c r="R340" s="2">
        <f>SalesData[[#This Row],[Profit]]/SalesData[[#This Row],[Sales_amount]]</f>
        <v>-0.2879427693267036</v>
      </c>
      <c r="S340" s="2">
        <f>SalesData[[#This Row],[Unit_Price]]-SalesData[[#This Row],[Unit_Cost]]</f>
        <v>271.10000000000036</v>
      </c>
      <c r="T340" s="10">
        <f>SalesData[[#This Row],[Unit_Margin]]/SalesData[[#This Row],[Unit_Price]]</f>
        <v>5.9801778391506501E-2</v>
      </c>
      <c r="U340" s="2" t="str">
        <f>IF(SalesData[[#This Row],[Unit_Margin]]&lt;0, "Negative margin", "Positive margin")</f>
        <v>Positive margin</v>
      </c>
      <c r="V340" s="2" t="str">
        <f>IF(SalesData[[#This Row],[Profit]]&lt;0, "Loss", "Profit")</f>
        <v>Loss</v>
      </c>
      <c r="W340" s="2">
        <f>SalesData[[#This Row],[Unit_Price]]*(1-SalesData[[#This Row],[Discount]])</f>
        <v>3309.3163000000004</v>
      </c>
      <c r="X340" s="2">
        <f>SalesData[[#This Row],[Effective_Unit_Price]]-SalesData[[#This Row],[Unit_Cost]]</f>
        <v>-952.89369999999963</v>
      </c>
      <c r="Y340" s="2" t="str">
        <f>IF(SalesData[[#This Row],[Effective_Unit_Margin]]&lt;0,"Loss per Unit","Positive per Unit")</f>
        <v>Loss per Unit</v>
      </c>
    </row>
    <row r="341" spans="1:25" x14ac:dyDescent="0.3">
      <c r="A341">
        <v>1076</v>
      </c>
      <c r="B341" s="1">
        <v>45190</v>
      </c>
      <c r="C341" t="s">
        <v>13</v>
      </c>
      <c r="D341" t="s">
        <v>14</v>
      </c>
      <c r="E341">
        <v>26</v>
      </c>
      <c r="F341" t="s">
        <v>34</v>
      </c>
      <c r="G341">
        <v>1762</v>
      </c>
      <c r="H341">
        <v>2002.95</v>
      </c>
      <c r="I341" t="s">
        <v>16</v>
      </c>
      <c r="J341" s="2">
        <v>0.28999999999999998</v>
      </c>
      <c r="K341" t="s">
        <v>30</v>
      </c>
      <c r="L341" t="s">
        <v>21</v>
      </c>
      <c r="M341" t="s">
        <v>19</v>
      </c>
      <c r="N341">
        <f>SalesData[[#This Row],[Quantity_Sold]]*SalesData[[#This Row],[Unit_Cost]]</f>
        <v>45812</v>
      </c>
      <c r="O341">
        <f>SalesData[[#This Row],[Quantity_Sold]]*SalesData[[#This Row],[Unit_Price]]</f>
        <v>52076.700000000004</v>
      </c>
      <c r="P341">
        <f>SalesData[[#This Row],[Gross_sales]]*(1-SalesData[[#This Row],[Discount]])</f>
        <v>36974.457000000002</v>
      </c>
      <c r="Q341" s="2">
        <f>SalesData[[#This Row],[Sales_amount]]-SalesData[[#This Row],[Total_Cost]]</f>
        <v>-8837.5429999999978</v>
      </c>
      <c r="R341" s="2">
        <f>SalesData[[#This Row],[Profit]]/SalesData[[#This Row],[Sales_amount]]</f>
        <v>-0.23901751958115294</v>
      </c>
      <c r="S341" s="2">
        <f>SalesData[[#This Row],[Unit_Price]]-SalesData[[#This Row],[Unit_Cost]]</f>
        <v>240.95000000000005</v>
      </c>
      <c r="T341" s="10">
        <f>SalesData[[#This Row],[Unit_Margin]]/SalesData[[#This Row],[Unit_Price]]</f>
        <v>0.12029756109738138</v>
      </c>
      <c r="U341" s="2" t="str">
        <f>IF(SalesData[[#This Row],[Unit_Margin]]&lt;0, "Negative margin", "Positive margin")</f>
        <v>Positive margin</v>
      </c>
      <c r="V341" s="2" t="str">
        <f>IF(SalesData[[#This Row],[Profit]]&lt;0, "Loss", "Profit")</f>
        <v>Loss</v>
      </c>
      <c r="W341" s="2">
        <f>SalesData[[#This Row],[Unit_Price]]*(1-SalesData[[#This Row],[Discount]])</f>
        <v>1422.0944999999999</v>
      </c>
      <c r="X341" s="2">
        <f>SalesData[[#This Row],[Effective_Unit_Price]]-SalesData[[#This Row],[Unit_Cost]]</f>
        <v>-339.90550000000007</v>
      </c>
      <c r="Y341" s="2" t="str">
        <f>IF(SalesData[[#This Row],[Effective_Unit_Margin]]&lt;0,"Loss per Unit","Positive per Unit")</f>
        <v>Loss per Unit</v>
      </c>
    </row>
    <row r="342" spans="1:25" x14ac:dyDescent="0.3">
      <c r="A342">
        <v>1059</v>
      </c>
      <c r="B342" s="1">
        <v>45217</v>
      </c>
      <c r="C342" t="s">
        <v>41</v>
      </c>
      <c r="D342" t="s">
        <v>14</v>
      </c>
      <c r="E342">
        <v>28</v>
      </c>
      <c r="F342" t="s">
        <v>34</v>
      </c>
      <c r="G342">
        <v>224.32</v>
      </c>
      <c r="H342">
        <v>715.06</v>
      </c>
      <c r="I342" t="s">
        <v>16</v>
      </c>
      <c r="J342" s="2">
        <v>0.01</v>
      </c>
      <c r="K342" t="s">
        <v>30</v>
      </c>
      <c r="L342" t="s">
        <v>18</v>
      </c>
      <c r="M342" t="s">
        <v>48</v>
      </c>
      <c r="N342">
        <f>SalesData[[#This Row],[Quantity_Sold]]*SalesData[[#This Row],[Unit_Cost]]</f>
        <v>6280.96</v>
      </c>
      <c r="O342">
        <f>SalesData[[#This Row],[Quantity_Sold]]*SalesData[[#This Row],[Unit_Price]]</f>
        <v>20021.68</v>
      </c>
      <c r="P342">
        <f>SalesData[[#This Row],[Gross_sales]]*(1-SalesData[[#This Row],[Discount]])</f>
        <v>19821.463199999998</v>
      </c>
      <c r="Q342" s="2">
        <f>SalesData[[#This Row],[Sales_amount]]-SalesData[[#This Row],[Total_Cost]]</f>
        <v>13540.503199999999</v>
      </c>
      <c r="R342" s="2">
        <f>SalesData[[#This Row],[Profit]]/SalesData[[#This Row],[Sales_amount]]</f>
        <v>0.68312329233091129</v>
      </c>
      <c r="S342" s="2">
        <f>SalesData[[#This Row],[Unit_Price]]-SalesData[[#This Row],[Unit_Cost]]</f>
        <v>490.73999999999995</v>
      </c>
      <c r="T342" s="10">
        <f>SalesData[[#This Row],[Unit_Margin]]/SalesData[[#This Row],[Unit_Price]]</f>
        <v>0.68629205940760218</v>
      </c>
      <c r="U342" s="2" t="str">
        <f>IF(SalesData[[#This Row],[Unit_Margin]]&lt;0, "Negative margin", "Positive margin")</f>
        <v>Positive margin</v>
      </c>
      <c r="V342" s="2" t="str">
        <f>IF(SalesData[[#This Row],[Profit]]&lt;0, "Loss", "Profit")</f>
        <v>Profit</v>
      </c>
      <c r="W342" s="2">
        <f>SalesData[[#This Row],[Unit_Price]]*(1-SalesData[[#This Row],[Discount]])</f>
        <v>707.90939999999989</v>
      </c>
      <c r="X342" s="2">
        <f>SalesData[[#This Row],[Effective_Unit_Price]]-SalesData[[#This Row],[Unit_Cost]]</f>
        <v>483.5893999999999</v>
      </c>
      <c r="Y342" s="2" t="str">
        <f>IF(SalesData[[#This Row],[Effective_Unit_Margin]]&lt;0,"Loss per Unit","Positive per Unit")</f>
        <v>Positive per Unit</v>
      </c>
    </row>
    <row r="343" spans="1:25" x14ac:dyDescent="0.3">
      <c r="A343">
        <v>1086</v>
      </c>
      <c r="B343" s="1">
        <v>45022</v>
      </c>
      <c r="C343" t="s">
        <v>32</v>
      </c>
      <c r="D343" t="s">
        <v>20</v>
      </c>
      <c r="E343">
        <v>32</v>
      </c>
      <c r="F343" t="s">
        <v>34</v>
      </c>
      <c r="G343">
        <v>3743.59</v>
      </c>
      <c r="H343">
        <v>4116.38</v>
      </c>
      <c r="I343" t="s">
        <v>16</v>
      </c>
      <c r="J343" s="2">
        <v>0.11</v>
      </c>
      <c r="K343" t="s">
        <v>17</v>
      </c>
      <c r="L343" t="s">
        <v>18</v>
      </c>
      <c r="M343" t="s">
        <v>36</v>
      </c>
      <c r="N343">
        <f>SalesData[[#This Row],[Quantity_Sold]]*SalesData[[#This Row],[Unit_Cost]]</f>
        <v>119794.88</v>
      </c>
      <c r="O343">
        <f>SalesData[[#This Row],[Quantity_Sold]]*SalesData[[#This Row],[Unit_Price]]</f>
        <v>131724.16</v>
      </c>
      <c r="P343">
        <f>SalesData[[#This Row],[Gross_sales]]*(1-SalesData[[#This Row],[Discount]])</f>
        <v>117234.50240000001</v>
      </c>
      <c r="Q343" s="2">
        <f>SalesData[[#This Row],[Sales_amount]]-SalesData[[#This Row],[Total_Cost]]</f>
        <v>-2560.3775999999925</v>
      </c>
      <c r="R343" s="2">
        <f>SalesData[[#This Row],[Profit]]/SalesData[[#This Row],[Sales_amount]]</f>
        <v>-2.1839795858595228E-2</v>
      </c>
      <c r="S343" s="2">
        <f>SalesData[[#This Row],[Unit_Price]]-SalesData[[#This Row],[Unit_Cost]]</f>
        <v>372.78999999999996</v>
      </c>
      <c r="T343" s="10">
        <f>SalesData[[#This Row],[Unit_Margin]]/SalesData[[#This Row],[Unit_Price]]</f>
        <v>9.0562581685850171E-2</v>
      </c>
      <c r="U343" s="2" t="str">
        <f>IF(SalesData[[#This Row],[Unit_Margin]]&lt;0, "Negative margin", "Positive margin")</f>
        <v>Positive margin</v>
      </c>
      <c r="V343" s="2" t="str">
        <f>IF(SalesData[[#This Row],[Profit]]&lt;0, "Loss", "Profit")</f>
        <v>Loss</v>
      </c>
      <c r="W343" s="2">
        <f>SalesData[[#This Row],[Unit_Price]]*(1-SalesData[[#This Row],[Discount]])</f>
        <v>3663.5782000000004</v>
      </c>
      <c r="X343" s="2">
        <f>SalesData[[#This Row],[Effective_Unit_Price]]-SalesData[[#This Row],[Unit_Cost]]</f>
        <v>-80.011799999999766</v>
      </c>
      <c r="Y343" s="2" t="str">
        <f>IF(SalesData[[#This Row],[Effective_Unit_Margin]]&lt;0,"Loss per Unit","Positive per Unit")</f>
        <v>Loss per Unit</v>
      </c>
    </row>
    <row r="344" spans="1:25" x14ac:dyDescent="0.3">
      <c r="A344">
        <v>1022</v>
      </c>
      <c r="B344" s="1">
        <v>45014</v>
      </c>
      <c r="C344" t="s">
        <v>13</v>
      </c>
      <c r="D344" t="s">
        <v>20</v>
      </c>
      <c r="E344">
        <v>45</v>
      </c>
      <c r="F344" t="s">
        <v>15</v>
      </c>
      <c r="G344">
        <v>4020.09</v>
      </c>
      <c r="H344">
        <v>4087.91</v>
      </c>
      <c r="I344" t="s">
        <v>16</v>
      </c>
      <c r="J344" s="2">
        <v>0.06</v>
      </c>
      <c r="K344" t="s">
        <v>26</v>
      </c>
      <c r="L344" t="s">
        <v>18</v>
      </c>
      <c r="M344" t="s">
        <v>22</v>
      </c>
      <c r="N344">
        <f>SalesData[[#This Row],[Quantity_Sold]]*SalesData[[#This Row],[Unit_Cost]]</f>
        <v>180904.05000000002</v>
      </c>
      <c r="O344">
        <f>SalesData[[#This Row],[Quantity_Sold]]*SalesData[[#This Row],[Unit_Price]]</f>
        <v>183955.94999999998</v>
      </c>
      <c r="P344">
        <f>SalesData[[#This Row],[Gross_sales]]*(1-SalesData[[#This Row],[Discount]])</f>
        <v>172918.59299999996</v>
      </c>
      <c r="Q344" s="2">
        <f>SalesData[[#This Row],[Sales_amount]]-SalesData[[#This Row],[Total_Cost]]</f>
        <v>-7985.4570000000531</v>
      </c>
      <c r="R344" s="2">
        <f>SalesData[[#This Row],[Profit]]/SalesData[[#This Row],[Sales_amount]]</f>
        <v>-4.6180441683330457E-2</v>
      </c>
      <c r="S344" s="2">
        <f>SalesData[[#This Row],[Unit_Price]]-SalesData[[#This Row],[Unit_Cost]]</f>
        <v>67.819999999999709</v>
      </c>
      <c r="T344" s="10">
        <f>SalesData[[#This Row],[Unit_Margin]]/SalesData[[#This Row],[Unit_Price]]</f>
        <v>1.6590384817669595E-2</v>
      </c>
      <c r="U344" s="2" t="str">
        <f>IF(SalesData[[#This Row],[Unit_Margin]]&lt;0, "Negative margin", "Positive margin")</f>
        <v>Positive margin</v>
      </c>
      <c r="V344" s="2" t="str">
        <f>IF(SalesData[[#This Row],[Profit]]&lt;0, "Loss", "Profit")</f>
        <v>Loss</v>
      </c>
      <c r="W344" s="2">
        <f>SalesData[[#This Row],[Unit_Price]]*(1-SalesData[[#This Row],[Discount]])</f>
        <v>3842.6353999999997</v>
      </c>
      <c r="X344" s="2">
        <f>SalesData[[#This Row],[Effective_Unit_Price]]-SalesData[[#This Row],[Unit_Cost]]</f>
        <v>-177.45460000000048</v>
      </c>
      <c r="Y344" s="2" t="str">
        <f>IF(SalesData[[#This Row],[Effective_Unit_Margin]]&lt;0,"Loss per Unit","Positive per Unit")</f>
        <v>Loss per Unit</v>
      </c>
    </row>
    <row r="345" spans="1:25" x14ac:dyDescent="0.3">
      <c r="A345">
        <v>1030</v>
      </c>
      <c r="B345" s="1">
        <v>45004</v>
      </c>
      <c r="C345" t="s">
        <v>23</v>
      </c>
      <c r="D345" t="s">
        <v>33</v>
      </c>
      <c r="E345">
        <v>2</v>
      </c>
      <c r="F345" t="s">
        <v>28</v>
      </c>
      <c r="G345">
        <v>844.94</v>
      </c>
      <c r="H345">
        <v>1225.6400000000001</v>
      </c>
      <c r="I345" t="s">
        <v>16</v>
      </c>
      <c r="J345" s="2">
        <v>0.23</v>
      </c>
      <c r="K345" t="s">
        <v>30</v>
      </c>
      <c r="L345" t="s">
        <v>18</v>
      </c>
      <c r="M345" t="s">
        <v>49</v>
      </c>
      <c r="N345">
        <f>SalesData[[#This Row],[Quantity_Sold]]*SalesData[[#This Row],[Unit_Cost]]</f>
        <v>1689.88</v>
      </c>
      <c r="O345">
        <f>SalesData[[#This Row],[Quantity_Sold]]*SalesData[[#This Row],[Unit_Price]]</f>
        <v>2451.2800000000002</v>
      </c>
      <c r="P345">
        <f>SalesData[[#This Row],[Gross_sales]]*(1-SalesData[[#This Row],[Discount]])</f>
        <v>1887.4856000000002</v>
      </c>
      <c r="Q345" s="2">
        <f>SalesData[[#This Row],[Sales_amount]]-SalesData[[#This Row],[Total_Cost]]</f>
        <v>197.60560000000009</v>
      </c>
      <c r="R345" s="2">
        <f>SalesData[[#This Row],[Profit]]/SalesData[[#This Row],[Sales_amount]]</f>
        <v>0.10469250732296981</v>
      </c>
      <c r="S345" s="2">
        <f>SalesData[[#This Row],[Unit_Price]]-SalesData[[#This Row],[Unit_Cost]]</f>
        <v>380.70000000000005</v>
      </c>
      <c r="T345" s="10">
        <f>SalesData[[#This Row],[Unit_Margin]]/SalesData[[#This Row],[Unit_Price]]</f>
        <v>0.31061323063868673</v>
      </c>
      <c r="U345" s="2" t="str">
        <f>IF(SalesData[[#This Row],[Unit_Margin]]&lt;0, "Negative margin", "Positive margin")</f>
        <v>Positive margin</v>
      </c>
      <c r="V345" s="2" t="str">
        <f>IF(SalesData[[#This Row],[Profit]]&lt;0, "Loss", "Profit")</f>
        <v>Profit</v>
      </c>
      <c r="W345" s="2">
        <f>SalesData[[#This Row],[Unit_Price]]*(1-SalesData[[#This Row],[Discount]])</f>
        <v>943.7428000000001</v>
      </c>
      <c r="X345" s="2">
        <f>SalesData[[#This Row],[Effective_Unit_Price]]-SalesData[[#This Row],[Unit_Cost]]</f>
        <v>98.802800000000047</v>
      </c>
      <c r="Y345" s="2" t="str">
        <f>IF(SalesData[[#This Row],[Effective_Unit_Margin]]&lt;0,"Loss per Unit","Positive per Unit")</f>
        <v>Positive per Unit</v>
      </c>
    </row>
    <row r="346" spans="1:25" x14ac:dyDescent="0.3">
      <c r="A346">
        <v>1038</v>
      </c>
      <c r="B346" s="1">
        <v>45214</v>
      </c>
      <c r="C346" t="s">
        <v>23</v>
      </c>
      <c r="D346" t="s">
        <v>20</v>
      </c>
      <c r="E346">
        <v>31</v>
      </c>
      <c r="F346" t="s">
        <v>28</v>
      </c>
      <c r="G346">
        <v>2709.84</v>
      </c>
      <c r="H346">
        <v>2766.51</v>
      </c>
      <c r="I346" t="s">
        <v>29</v>
      </c>
      <c r="J346" s="2">
        <v>0.19</v>
      </c>
      <c r="K346" t="s">
        <v>17</v>
      </c>
      <c r="L346" t="s">
        <v>21</v>
      </c>
      <c r="M346" t="s">
        <v>46</v>
      </c>
      <c r="N346">
        <f>SalesData[[#This Row],[Quantity_Sold]]*SalesData[[#This Row],[Unit_Cost]]</f>
        <v>84005.040000000008</v>
      </c>
      <c r="O346">
        <f>SalesData[[#This Row],[Quantity_Sold]]*SalesData[[#This Row],[Unit_Price]]</f>
        <v>85761.810000000012</v>
      </c>
      <c r="P346">
        <f>SalesData[[#This Row],[Gross_sales]]*(1-SalesData[[#This Row],[Discount]])</f>
        <v>69467.066100000011</v>
      </c>
      <c r="Q346" s="2">
        <f>SalesData[[#This Row],[Sales_amount]]-SalesData[[#This Row],[Total_Cost]]</f>
        <v>-14537.973899999997</v>
      </c>
      <c r="R346" s="2">
        <f>SalesData[[#This Row],[Profit]]/SalesData[[#This Row],[Sales_amount]]</f>
        <v>-0.20927865125428113</v>
      </c>
      <c r="S346" s="2">
        <f>SalesData[[#This Row],[Unit_Price]]-SalesData[[#This Row],[Unit_Cost]]</f>
        <v>56.670000000000073</v>
      </c>
      <c r="T346" s="10">
        <f>SalesData[[#This Row],[Unit_Margin]]/SalesData[[#This Row],[Unit_Price]]</f>
        <v>2.0484292484032253E-2</v>
      </c>
      <c r="U346" s="2" t="str">
        <f>IF(SalesData[[#This Row],[Unit_Margin]]&lt;0, "Negative margin", "Positive margin")</f>
        <v>Positive margin</v>
      </c>
      <c r="V346" s="2" t="str">
        <f>IF(SalesData[[#This Row],[Profit]]&lt;0, "Loss", "Profit")</f>
        <v>Loss</v>
      </c>
      <c r="W346" s="2">
        <f>SalesData[[#This Row],[Unit_Price]]*(1-SalesData[[#This Row],[Discount]])</f>
        <v>2240.8731000000002</v>
      </c>
      <c r="X346" s="2">
        <f>SalesData[[#This Row],[Effective_Unit_Price]]-SalesData[[#This Row],[Unit_Cost]]</f>
        <v>-468.9668999999999</v>
      </c>
      <c r="Y346" s="2" t="str">
        <f>IF(SalesData[[#This Row],[Effective_Unit_Margin]]&lt;0,"Loss per Unit","Positive per Unit")</f>
        <v>Loss per Unit</v>
      </c>
    </row>
    <row r="347" spans="1:25" x14ac:dyDescent="0.3">
      <c r="A347">
        <v>1051</v>
      </c>
      <c r="B347" s="1">
        <v>45046</v>
      </c>
      <c r="C347" t="s">
        <v>13</v>
      </c>
      <c r="D347" t="s">
        <v>20</v>
      </c>
      <c r="E347">
        <v>3</v>
      </c>
      <c r="F347" t="s">
        <v>25</v>
      </c>
      <c r="G347">
        <v>1000.18</v>
      </c>
      <c r="H347">
        <v>1023.64</v>
      </c>
      <c r="I347" t="s">
        <v>16</v>
      </c>
      <c r="J347" s="2">
        <v>0.04</v>
      </c>
      <c r="K347" t="s">
        <v>30</v>
      </c>
      <c r="L347" t="s">
        <v>18</v>
      </c>
      <c r="M347" t="s">
        <v>22</v>
      </c>
      <c r="N347">
        <f>SalesData[[#This Row],[Quantity_Sold]]*SalesData[[#This Row],[Unit_Cost]]</f>
        <v>3000.54</v>
      </c>
      <c r="O347">
        <f>SalesData[[#This Row],[Quantity_Sold]]*SalesData[[#This Row],[Unit_Price]]</f>
        <v>3070.92</v>
      </c>
      <c r="P347">
        <f>SalesData[[#This Row],[Gross_sales]]*(1-SalesData[[#This Row],[Discount]])</f>
        <v>2948.0832</v>
      </c>
      <c r="Q347" s="2">
        <f>SalesData[[#This Row],[Sales_amount]]-SalesData[[#This Row],[Total_Cost]]</f>
        <v>-52.45679999999993</v>
      </c>
      <c r="R347" s="2">
        <f>SalesData[[#This Row],[Profit]]/SalesData[[#This Row],[Sales_amount]]</f>
        <v>-1.7793527672489002E-2</v>
      </c>
      <c r="S347" s="2">
        <f>SalesData[[#This Row],[Unit_Price]]-SalesData[[#This Row],[Unit_Cost]]</f>
        <v>23.460000000000036</v>
      </c>
      <c r="T347" s="10">
        <f>SalesData[[#This Row],[Unit_Margin]]/SalesData[[#This Row],[Unit_Price]]</f>
        <v>2.291821343441057E-2</v>
      </c>
      <c r="U347" s="2" t="str">
        <f>IF(SalesData[[#This Row],[Unit_Margin]]&lt;0, "Negative margin", "Positive margin")</f>
        <v>Positive margin</v>
      </c>
      <c r="V347" s="2" t="str">
        <f>IF(SalesData[[#This Row],[Profit]]&lt;0, "Loss", "Profit")</f>
        <v>Loss</v>
      </c>
      <c r="W347" s="2">
        <f>SalesData[[#This Row],[Unit_Price]]*(1-SalesData[[#This Row],[Discount]])</f>
        <v>982.69439999999997</v>
      </c>
      <c r="X347" s="2">
        <f>SalesData[[#This Row],[Effective_Unit_Price]]-SalesData[[#This Row],[Unit_Cost]]</f>
        <v>-17.485599999999977</v>
      </c>
      <c r="Y347" s="2" t="str">
        <f>IF(SalesData[[#This Row],[Effective_Unit_Margin]]&lt;0,"Loss per Unit","Positive per Unit")</f>
        <v>Loss per Unit</v>
      </c>
    </row>
    <row r="348" spans="1:25" x14ac:dyDescent="0.3">
      <c r="A348">
        <v>1054</v>
      </c>
      <c r="B348" s="1">
        <v>45228</v>
      </c>
      <c r="C348" t="s">
        <v>23</v>
      </c>
      <c r="D348" t="s">
        <v>20</v>
      </c>
      <c r="E348">
        <v>8</v>
      </c>
      <c r="F348" t="s">
        <v>28</v>
      </c>
      <c r="G348">
        <v>3610.21</v>
      </c>
      <c r="H348">
        <v>3817.99</v>
      </c>
      <c r="I348" t="s">
        <v>16</v>
      </c>
      <c r="J348" s="2">
        <v>0.15</v>
      </c>
      <c r="K348" t="s">
        <v>17</v>
      </c>
      <c r="L348" t="s">
        <v>21</v>
      </c>
      <c r="M348" t="s">
        <v>46</v>
      </c>
      <c r="N348">
        <f>SalesData[[#This Row],[Quantity_Sold]]*SalesData[[#This Row],[Unit_Cost]]</f>
        <v>28881.68</v>
      </c>
      <c r="O348">
        <f>SalesData[[#This Row],[Quantity_Sold]]*SalesData[[#This Row],[Unit_Price]]</f>
        <v>30543.919999999998</v>
      </c>
      <c r="P348">
        <f>SalesData[[#This Row],[Gross_sales]]*(1-SalesData[[#This Row],[Discount]])</f>
        <v>25962.331999999999</v>
      </c>
      <c r="Q348" s="2">
        <f>SalesData[[#This Row],[Sales_amount]]-SalesData[[#This Row],[Total_Cost]]</f>
        <v>-2919.3480000000018</v>
      </c>
      <c r="R348" s="2">
        <f>SalesData[[#This Row],[Profit]]/SalesData[[#This Row],[Sales_amount]]</f>
        <v>-0.11244552299847341</v>
      </c>
      <c r="S348" s="2">
        <f>SalesData[[#This Row],[Unit_Price]]-SalesData[[#This Row],[Unit_Cost]]</f>
        <v>207.77999999999975</v>
      </c>
      <c r="T348" s="10">
        <f>SalesData[[#This Row],[Unit_Margin]]/SalesData[[#This Row],[Unit_Price]]</f>
        <v>5.4421305451297607E-2</v>
      </c>
      <c r="U348" s="2" t="str">
        <f>IF(SalesData[[#This Row],[Unit_Margin]]&lt;0, "Negative margin", "Positive margin")</f>
        <v>Positive margin</v>
      </c>
      <c r="V348" s="2" t="str">
        <f>IF(SalesData[[#This Row],[Profit]]&lt;0, "Loss", "Profit")</f>
        <v>Loss</v>
      </c>
      <c r="W348" s="2">
        <f>SalesData[[#This Row],[Unit_Price]]*(1-SalesData[[#This Row],[Discount]])</f>
        <v>3245.2914999999998</v>
      </c>
      <c r="X348" s="2">
        <f>SalesData[[#This Row],[Effective_Unit_Price]]-SalesData[[#This Row],[Unit_Cost]]</f>
        <v>-364.91850000000022</v>
      </c>
      <c r="Y348" s="2" t="str">
        <f>IF(SalesData[[#This Row],[Effective_Unit_Margin]]&lt;0,"Loss per Unit","Positive per Unit")</f>
        <v>Loss per Unit</v>
      </c>
    </row>
    <row r="349" spans="1:25" x14ac:dyDescent="0.3">
      <c r="A349">
        <v>1008</v>
      </c>
      <c r="B349" s="1">
        <v>45091</v>
      </c>
      <c r="C349" t="s">
        <v>37</v>
      </c>
      <c r="D349" t="s">
        <v>14</v>
      </c>
      <c r="E349">
        <v>24</v>
      </c>
      <c r="F349" t="s">
        <v>28</v>
      </c>
      <c r="G349">
        <v>1394.17</v>
      </c>
      <c r="H349">
        <v>1891.02</v>
      </c>
      <c r="I349" t="s">
        <v>29</v>
      </c>
      <c r="J349" s="2">
        <v>0.21</v>
      </c>
      <c r="K349" t="s">
        <v>30</v>
      </c>
      <c r="L349" t="s">
        <v>18</v>
      </c>
      <c r="M349" t="s">
        <v>39</v>
      </c>
      <c r="N349">
        <f>SalesData[[#This Row],[Quantity_Sold]]*SalesData[[#This Row],[Unit_Cost]]</f>
        <v>33460.080000000002</v>
      </c>
      <c r="O349">
        <f>SalesData[[#This Row],[Quantity_Sold]]*SalesData[[#This Row],[Unit_Price]]</f>
        <v>45384.479999999996</v>
      </c>
      <c r="P349">
        <f>SalesData[[#This Row],[Gross_sales]]*(1-SalesData[[#This Row],[Discount]])</f>
        <v>35853.739199999996</v>
      </c>
      <c r="Q349" s="2">
        <f>SalesData[[#This Row],[Sales_amount]]-SalesData[[#This Row],[Total_Cost]]</f>
        <v>2393.6591999999946</v>
      </c>
      <c r="R349" s="2">
        <f>SalesData[[#This Row],[Profit]]/SalesData[[#This Row],[Sales_amount]]</f>
        <v>6.6761773064941438E-2</v>
      </c>
      <c r="S349" s="2">
        <f>SalesData[[#This Row],[Unit_Price]]-SalesData[[#This Row],[Unit_Cost]]</f>
        <v>496.84999999999991</v>
      </c>
      <c r="T349" s="10">
        <f>SalesData[[#This Row],[Unit_Margin]]/SalesData[[#This Row],[Unit_Price]]</f>
        <v>0.26274180072130382</v>
      </c>
      <c r="U349" s="2" t="str">
        <f>IF(SalesData[[#This Row],[Unit_Margin]]&lt;0, "Negative margin", "Positive margin")</f>
        <v>Positive margin</v>
      </c>
      <c r="V349" s="2" t="str">
        <f>IF(SalesData[[#This Row],[Profit]]&lt;0, "Loss", "Profit")</f>
        <v>Profit</v>
      </c>
      <c r="W349" s="2">
        <f>SalesData[[#This Row],[Unit_Price]]*(1-SalesData[[#This Row],[Discount]])</f>
        <v>1493.9058</v>
      </c>
      <c r="X349" s="2">
        <f>SalesData[[#This Row],[Effective_Unit_Price]]-SalesData[[#This Row],[Unit_Cost]]</f>
        <v>99.735799999999927</v>
      </c>
      <c r="Y349" s="2" t="str">
        <f>IF(SalesData[[#This Row],[Effective_Unit_Margin]]&lt;0,"Loss per Unit","Positive per Unit")</f>
        <v>Positive per Unit</v>
      </c>
    </row>
    <row r="350" spans="1:25" x14ac:dyDescent="0.3">
      <c r="A350">
        <v>1027</v>
      </c>
      <c r="B350" s="1">
        <v>45108</v>
      </c>
      <c r="C350" t="s">
        <v>37</v>
      </c>
      <c r="D350" t="s">
        <v>14</v>
      </c>
      <c r="E350">
        <v>15</v>
      </c>
      <c r="F350" t="s">
        <v>28</v>
      </c>
      <c r="G350">
        <v>1615.26</v>
      </c>
      <c r="H350">
        <v>1710.95</v>
      </c>
      <c r="I350" t="s">
        <v>29</v>
      </c>
      <c r="J350" s="2">
        <v>0.23</v>
      </c>
      <c r="K350" t="s">
        <v>30</v>
      </c>
      <c r="L350" t="s">
        <v>21</v>
      </c>
      <c r="M350" t="s">
        <v>39</v>
      </c>
      <c r="N350">
        <f>SalesData[[#This Row],[Quantity_Sold]]*SalesData[[#This Row],[Unit_Cost]]</f>
        <v>24228.9</v>
      </c>
      <c r="O350">
        <f>SalesData[[#This Row],[Quantity_Sold]]*SalesData[[#This Row],[Unit_Price]]</f>
        <v>25664.25</v>
      </c>
      <c r="P350">
        <f>SalesData[[#This Row],[Gross_sales]]*(1-SalesData[[#This Row],[Discount]])</f>
        <v>19761.4725</v>
      </c>
      <c r="Q350" s="2">
        <f>SalesData[[#This Row],[Sales_amount]]-SalesData[[#This Row],[Total_Cost]]</f>
        <v>-4467.4275000000016</v>
      </c>
      <c r="R350" s="2">
        <f>SalesData[[#This Row],[Profit]]/SalesData[[#This Row],[Sales_amount]]</f>
        <v>-0.22606754127254441</v>
      </c>
      <c r="S350" s="2">
        <f>SalesData[[#This Row],[Unit_Price]]-SalesData[[#This Row],[Unit_Cost]]</f>
        <v>95.690000000000055</v>
      </c>
      <c r="T350" s="10">
        <f>SalesData[[#This Row],[Unit_Margin]]/SalesData[[#This Row],[Unit_Price]]</f>
        <v>5.5927993220140887E-2</v>
      </c>
      <c r="U350" s="2" t="str">
        <f>IF(SalesData[[#This Row],[Unit_Margin]]&lt;0, "Negative margin", "Positive margin")</f>
        <v>Positive margin</v>
      </c>
      <c r="V350" s="2" t="str">
        <f>IF(SalesData[[#This Row],[Profit]]&lt;0, "Loss", "Profit")</f>
        <v>Loss</v>
      </c>
      <c r="W350" s="2">
        <f>SalesData[[#This Row],[Unit_Price]]*(1-SalesData[[#This Row],[Discount]])</f>
        <v>1317.4315000000001</v>
      </c>
      <c r="X350" s="2">
        <f>SalesData[[#This Row],[Effective_Unit_Price]]-SalesData[[#This Row],[Unit_Cost]]</f>
        <v>-297.82849999999985</v>
      </c>
      <c r="Y350" s="2" t="str">
        <f>IF(SalesData[[#This Row],[Effective_Unit_Margin]]&lt;0,"Loss per Unit","Positive per Unit")</f>
        <v>Loss per Unit</v>
      </c>
    </row>
    <row r="351" spans="1:25" x14ac:dyDescent="0.3">
      <c r="A351">
        <v>1027</v>
      </c>
      <c r="B351" s="1">
        <v>45149</v>
      </c>
      <c r="C351" t="s">
        <v>37</v>
      </c>
      <c r="D351" t="s">
        <v>14</v>
      </c>
      <c r="E351">
        <v>43</v>
      </c>
      <c r="F351" t="s">
        <v>28</v>
      </c>
      <c r="G351">
        <v>4232.6099999999997</v>
      </c>
      <c r="H351">
        <v>4572.21</v>
      </c>
      <c r="I351" t="s">
        <v>29</v>
      </c>
      <c r="J351" s="2">
        <v>0.01</v>
      </c>
      <c r="K351" t="s">
        <v>17</v>
      </c>
      <c r="L351" t="s">
        <v>21</v>
      </c>
      <c r="M351" t="s">
        <v>39</v>
      </c>
      <c r="N351">
        <f>SalesData[[#This Row],[Quantity_Sold]]*SalesData[[#This Row],[Unit_Cost]]</f>
        <v>182002.22999999998</v>
      </c>
      <c r="O351">
        <f>SalesData[[#This Row],[Quantity_Sold]]*SalesData[[#This Row],[Unit_Price]]</f>
        <v>196605.03</v>
      </c>
      <c r="P351">
        <f>SalesData[[#This Row],[Gross_sales]]*(1-SalesData[[#This Row],[Discount]])</f>
        <v>194638.9797</v>
      </c>
      <c r="Q351" s="2">
        <f>SalesData[[#This Row],[Sales_amount]]-SalesData[[#This Row],[Total_Cost]]</f>
        <v>12636.749700000015</v>
      </c>
      <c r="R351" s="2">
        <f>SalesData[[#This Row],[Profit]]/SalesData[[#This Row],[Sales_amount]]</f>
        <v>6.4924044091667701E-2</v>
      </c>
      <c r="S351" s="2">
        <f>SalesData[[#This Row],[Unit_Price]]-SalesData[[#This Row],[Unit_Cost]]</f>
        <v>339.60000000000036</v>
      </c>
      <c r="T351" s="10">
        <f>SalesData[[#This Row],[Unit_Margin]]/SalesData[[#This Row],[Unit_Price]]</f>
        <v>7.4274803650751023E-2</v>
      </c>
      <c r="U351" s="2" t="str">
        <f>IF(SalesData[[#This Row],[Unit_Margin]]&lt;0, "Negative margin", "Positive margin")</f>
        <v>Positive margin</v>
      </c>
      <c r="V351" s="2" t="str">
        <f>IF(SalesData[[#This Row],[Profit]]&lt;0, "Loss", "Profit")</f>
        <v>Profit</v>
      </c>
      <c r="W351" s="2">
        <f>SalesData[[#This Row],[Unit_Price]]*(1-SalesData[[#This Row],[Discount]])</f>
        <v>4526.4879000000001</v>
      </c>
      <c r="X351" s="2">
        <f>SalesData[[#This Row],[Effective_Unit_Price]]-SalesData[[#This Row],[Unit_Cost]]</f>
        <v>293.87790000000041</v>
      </c>
      <c r="Y351" s="2" t="str">
        <f>IF(SalesData[[#This Row],[Effective_Unit_Margin]]&lt;0,"Loss per Unit","Positive per Unit")</f>
        <v>Positive per Unit</v>
      </c>
    </row>
    <row r="352" spans="1:25" x14ac:dyDescent="0.3">
      <c r="A352">
        <v>1098</v>
      </c>
      <c r="B352" s="1">
        <v>45237</v>
      </c>
      <c r="C352" t="s">
        <v>41</v>
      </c>
      <c r="D352" t="s">
        <v>20</v>
      </c>
      <c r="E352">
        <v>31</v>
      </c>
      <c r="F352" t="s">
        <v>25</v>
      </c>
      <c r="G352">
        <v>2407.8000000000002</v>
      </c>
      <c r="H352">
        <v>2502.7600000000002</v>
      </c>
      <c r="I352" t="s">
        <v>16</v>
      </c>
      <c r="J352" s="2">
        <v>0.27</v>
      </c>
      <c r="K352" t="s">
        <v>17</v>
      </c>
      <c r="L352" t="s">
        <v>21</v>
      </c>
      <c r="M352" t="s">
        <v>50</v>
      </c>
      <c r="N352">
        <f>SalesData[[#This Row],[Quantity_Sold]]*SalesData[[#This Row],[Unit_Cost]]</f>
        <v>74641.8</v>
      </c>
      <c r="O352">
        <f>SalesData[[#This Row],[Quantity_Sold]]*SalesData[[#This Row],[Unit_Price]]</f>
        <v>77585.560000000012</v>
      </c>
      <c r="P352">
        <f>SalesData[[#This Row],[Gross_sales]]*(1-SalesData[[#This Row],[Discount]])</f>
        <v>56637.458800000008</v>
      </c>
      <c r="Q352" s="2">
        <f>SalesData[[#This Row],[Sales_amount]]-SalesData[[#This Row],[Total_Cost]]</f>
        <v>-18004.341199999995</v>
      </c>
      <c r="R352" s="2">
        <f>SalesData[[#This Row],[Profit]]/SalesData[[#This Row],[Sales_amount]]</f>
        <v>-0.3178875179336258</v>
      </c>
      <c r="S352" s="2">
        <f>SalesData[[#This Row],[Unit_Price]]-SalesData[[#This Row],[Unit_Cost]]</f>
        <v>94.960000000000036</v>
      </c>
      <c r="T352" s="10">
        <f>SalesData[[#This Row],[Unit_Margin]]/SalesData[[#This Row],[Unit_Price]]</f>
        <v>3.7942111908453077E-2</v>
      </c>
      <c r="U352" s="2" t="str">
        <f>IF(SalesData[[#This Row],[Unit_Margin]]&lt;0, "Negative margin", "Positive margin")</f>
        <v>Positive margin</v>
      </c>
      <c r="V352" s="2" t="str">
        <f>IF(SalesData[[#This Row],[Profit]]&lt;0, "Loss", "Profit")</f>
        <v>Loss</v>
      </c>
      <c r="W352" s="2">
        <f>SalesData[[#This Row],[Unit_Price]]*(1-SalesData[[#This Row],[Discount]])</f>
        <v>1827.0148000000002</v>
      </c>
      <c r="X352" s="2">
        <f>SalesData[[#This Row],[Effective_Unit_Price]]-SalesData[[#This Row],[Unit_Cost]]</f>
        <v>-580.78520000000003</v>
      </c>
      <c r="Y352" s="2" t="str">
        <f>IF(SalesData[[#This Row],[Effective_Unit_Margin]]&lt;0,"Loss per Unit","Positive per Unit")</f>
        <v>Loss per Unit</v>
      </c>
    </row>
    <row r="353" spans="1:25" x14ac:dyDescent="0.3">
      <c r="A353">
        <v>1021</v>
      </c>
      <c r="B353" s="1">
        <v>44933</v>
      </c>
      <c r="C353" t="s">
        <v>13</v>
      </c>
      <c r="D353" t="s">
        <v>14</v>
      </c>
      <c r="E353">
        <v>9</v>
      </c>
      <c r="F353" t="s">
        <v>15</v>
      </c>
      <c r="G353">
        <v>3365.28</v>
      </c>
      <c r="H353">
        <v>3730.43</v>
      </c>
      <c r="I353" t="s">
        <v>29</v>
      </c>
      <c r="J353" s="2">
        <v>0.17</v>
      </c>
      <c r="K353" t="s">
        <v>26</v>
      </c>
      <c r="L353" t="s">
        <v>18</v>
      </c>
      <c r="M353" t="s">
        <v>19</v>
      </c>
      <c r="N353">
        <f>SalesData[[#This Row],[Quantity_Sold]]*SalesData[[#This Row],[Unit_Cost]]</f>
        <v>30287.52</v>
      </c>
      <c r="O353">
        <f>SalesData[[#This Row],[Quantity_Sold]]*SalesData[[#This Row],[Unit_Price]]</f>
        <v>33573.869999999995</v>
      </c>
      <c r="P353">
        <f>SalesData[[#This Row],[Gross_sales]]*(1-SalesData[[#This Row],[Discount]])</f>
        <v>27866.312099999996</v>
      </c>
      <c r="Q353" s="2">
        <f>SalesData[[#This Row],[Sales_amount]]-SalesData[[#This Row],[Total_Cost]]</f>
        <v>-2421.2079000000049</v>
      </c>
      <c r="R353" s="2">
        <f>SalesData[[#This Row],[Profit]]/SalesData[[#This Row],[Sales_amount]]</f>
        <v>-8.688655647404471E-2</v>
      </c>
      <c r="S353" s="2">
        <f>SalesData[[#This Row],[Unit_Price]]-SalesData[[#This Row],[Unit_Cost]]</f>
        <v>365.14999999999964</v>
      </c>
      <c r="T353" s="10">
        <f>SalesData[[#This Row],[Unit_Margin]]/SalesData[[#This Row],[Unit_Price]]</f>
        <v>9.7884158126542956E-2</v>
      </c>
      <c r="U353" s="2" t="str">
        <f>IF(SalesData[[#This Row],[Unit_Margin]]&lt;0, "Negative margin", "Positive margin")</f>
        <v>Positive margin</v>
      </c>
      <c r="V353" s="2" t="str">
        <f>IF(SalesData[[#This Row],[Profit]]&lt;0, "Loss", "Profit")</f>
        <v>Loss</v>
      </c>
      <c r="W353" s="2">
        <f>SalesData[[#This Row],[Unit_Price]]*(1-SalesData[[#This Row],[Discount]])</f>
        <v>3096.2568999999999</v>
      </c>
      <c r="X353" s="2">
        <f>SalesData[[#This Row],[Effective_Unit_Price]]-SalesData[[#This Row],[Unit_Cost]]</f>
        <v>-269.02310000000034</v>
      </c>
      <c r="Y353" s="2" t="str">
        <f>IF(SalesData[[#This Row],[Effective_Unit_Margin]]&lt;0,"Loss per Unit","Positive per Unit")</f>
        <v>Loss per Unit</v>
      </c>
    </row>
    <row r="354" spans="1:25" x14ac:dyDescent="0.3">
      <c r="A354">
        <v>1030</v>
      </c>
      <c r="B354" s="1">
        <v>45256</v>
      </c>
      <c r="C354" t="s">
        <v>41</v>
      </c>
      <c r="D354" t="s">
        <v>20</v>
      </c>
      <c r="E354">
        <v>39</v>
      </c>
      <c r="F354" t="s">
        <v>34</v>
      </c>
      <c r="G354">
        <v>2041.75</v>
      </c>
      <c r="H354">
        <v>2299.37</v>
      </c>
      <c r="I354" t="s">
        <v>16</v>
      </c>
      <c r="J354" s="2">
        <v>0.24</v>
      </c>
      <c r="K354" t="s">
        <v>26</v>
      </c>
      <c r="L354" t="s">
        <v>21</v>
      </c>
      <c r="M354" t="s">
        <v>50</v>
      </c>
      <c r="N354">
        <f>SalesData[[#This Row],[Quantity_Sold]]*SalesData[[#This Row],[Unit_Cost]]</f>
        <v>79628.25</v>
      </c>
      <c r="O354">
        <f>SalesData[[#This Row],[Quantity_Sold]]*SalesData[[#This Row],[Unit_Price]]</f>
        <v>89675.43</v>
      </c>
      <c r="P354">
        <f>SalesData[[#This Row],[Gross_sales]]*(1-SalesData[[#This Row],[Discount]])</f>
        <v>68153.326799999995</v>
      </c>
      <c r="Q354" s="2">
        <f>SalesData[[#This Row],[Sales_amount]]-SalesData[[#This Row],[Total_Cost]]</f>
        <v>-11474.923200000005</v>
      </c>
      <c r="R354" s="2">
        <f>SalesData[[#This Row],[Profit]]/SalesData[[#This Row],[Sales_amount]]</f>
        <v>-0.16836923065654377</v>
      </c>
      <c r="S354" s="2">
        <f>SalesData[[#This Row],[Unit_Price]]-SalesData[[#This Row],[Unit_Cost]]</f>
        <v>257.61999999999989</v>
      </c>
      <c r="T354" s="10">
        <f>SalesData[[#This Row],[Unit_Margin]]/SalesData[[#This Row],[Unit_Price]]</f>
        <v>0.11203938470102676</v>
      </c>
      <c r="U354" s="2" t="str">
        <f>IF(SalesData[[#This Row],[Unit_Margin]]&lt;0, "Negative margin", "Positive margin")</f>
        <v>Positive margin</v>
      </c>
      <c r="V354" s="2" t="str">
        <f>IF(SalesData[[#This Row],[Profit]]&lt;0, "Loss", "Profit")</f>
        <v>Loss</v>
      </c>
      <c r="W354" s="2">
        <f>SalesData[[#This Row],[Unit_Price]]*(1-SalesData[[#This Row],[Discount]])</f>
        <v>1747.5211999999999</v>
      </c>
      <c r="X354" s="2">
        <f>SalesData[[#This Row],[Effective_Unit_Price]]-SalesData[[#This Row],[Unit_Cost]]</f>
        <v>-294.22880000000009</v>
      </c>
      <c r="Y354" s="2" t="str">
        <f>IF(SalesData[[#This Row],[Effective_Unit_Margin]]&lt;0,"Loss per Unit","Positive per Unit")</f>
        <v>Loss per Unit</v>
      </c>
    </row>
    <row r="355" spans="1:25" x14ac:dyDescent="0.3">
      <c r="A355">
        <v>1097</v>
      </c>
      <c r="B355" s="1">
        <v>45189</v>
      </c>
      <c r="C355" t="s">
        <v>23</v>
      </c>
      <c r="D355" t="s">
        <v>14</v>
      </c>
      <c r="E355">
        <v>45</v>
      </c>
      <c r="F355" t="s">
        <v>28</v>
      </c>
      <c r="G355">
        <v>1525.13</v>
      </c>
      <c r="H355">
        <v>1868.32</v>
      </c>
      <c r="I355" t="s">
        <v>16</v>
      </c>
      <c r="J355" s="2">
        <v>0.24</v>
      </c>
      <c r="K355" t="s">
        <v>17</v>
      </c>
      <c r="L355" t="s">
        <v>21</v>
      </c>
      <c r="M355" t="s">
        <v>44</v>
      </c>
      <c r="N355">
        <f>SalesData[[#This Row],[Quantity_Sold]]*SalesData[[#This Row],[Unit_Cost]]</f>
        <v>68630.850000000006</v>
      </c>
      <c r="O355">
        <f>SalesData[[#This Row],[Quantity_Sold]]*SalesData[[#This Row],[Unit_Price]]</f>
        <v>84074.4</v>
      </c>
      <c r="P355">
        <f>SalesData[[#This Row],[Gross_sales]]*(1-SalesData[[#This Row],[Discount]])</f>
        <v>63896.543999999994</v>
      </c>
      <c r="Q355" s="2">
        <f>SalesData[[#This Row],[Sales_amount]]-SalesData[[#This Row],[Total_Cost]]</f>
        <v>-4734.3060000000114</v>
      </c>
      <c r="R355" s="2">
        <f>SalesData[[#This Row],[Profit]]/SalesData[[#This Row],[Sales_amount]]</f>
        <v>-7.4093303074419983E-2</v>
      </c>
      <c r="S355" s="2">
        <f>SalesData[[#This Row],[Unit_Price]]-SalesData[[#This Row],[Unit_Cost]]</f>
        <v>343.18999999999983</v>
      </c>
      <c r="T355" s="10">
        <f>SalesData[[#This Row],[Unit_Margin]]/SalesData[[#This Row],[Unit_Price]]</f>
        <v>0.18368908966344086</v>
      </c>
      <c r="U355" s="2" t="str">
        <f>IF(SalesData[[#This Row],[Unit_Margin]]&lt;0, "Negative margin", "Positive margin")</f>
        <v>Positive margin</v>
      </c>
      <c r="V355" s="2" t="str">
        <f>IF(SalesData[[#This Row],[Profit]]&lt;0, "Loss", "Profit")</f>
        <v>Loss</v>
      </c>
      <c r="W355" s="2">
        <f>SalesData[[#This Row],[Unit_Price]]*(1-SalesData[[#This Row],[Discount]])</f>
        <v>1419.9232</v>
      </c>
      <c r="X355" s="2">
        <f>SalesData[[#This Row],[Effective_Unit_Price]]-SalesData[[#This Row],[Unit_Cost]]</f>
        <v>-105.20680000000016</v>
      </c>
      <c r="Y355" s="2" t="str">
        <f>IF(SalesData[[#This Row],[Effective_Unit_Margin]]&lt;0,"Loss per Unit","Positive per Unit")</f>
        <v>Loss per Unit</v>
      </c>
    </row>
    <row r="356" spans="1:25" x14ac:dyDescent="0.3">
      <c r="A356">
        <v>1028</v>
      </c>
      <c r="B356" s="1">
        <v>45087</v>
      </c>
      <c r="C356" t="s">
        <v>41</v>
      </c>
      <c r="D356" t="s">
        <v>14</v>
      </c>
      <c r="E356">
        <v>2</v>
      </c>
      <c r="F356" t="s">
        <v>15</v>
      </c>
      <c r="G356">
        <v>3146.12</v>
      </c>
      <c r="H356">
        <v>3255.5299999999902</v>
      </c>
      <c r="I356" t="s">
        <v>16</v>
      </c>
      <c r="J356" s="2">
        <v>0.06</v>
      </c>
      <c r="K356" t="s">
        <v>26</v>
      </c>
      <c r="L356" t="s">
        <v>18</v>
      </c>
      <c r="M356" t="s">
        <v>48</v>
      </c>
      <c r="N356">
        <f>SalesData[[#This Row],[Quantity_Sold]]*SalesData[[#This Row],[Unit_Cost]]</f>
        <v>6292.24</v>
      </c>
      <c r="O356">
        <f>SalesData[[#This Row],[Quantity_Sold]]*SalesData[[#This Row],[Unit_Price]]</f>
        <v>6511.0599999999804</v>
      </c>
      <c r="P356">
        <f>SalesData[[#This Row],[Gross_sales]]*(1-SalesData[[#This Row],[Discount]])</f>
        <v>6120.3963999999814</v>
      </c>
      <c r="Q356" s="2">
        <f>SalesData[[#This Row],[Sales_amount]]-SalesData[[#This Row],[Total_Cost]]</f>
        <v>-171.84360000001834</v>
      </c>
      <c r="R356" s="2">
        <f>SalesData[[#This Row],[Profit]]/SalesData[[#This Row],[Sales_amount]]</f>
        <v>-2.8077201012669518E-2</v>
      </c>
      <c r="S356" s="2">
        <f>SalesData[[#This Row],[Unit_Price]]-SalesData[[#This Row],[Unit_Cost]]</f>
        <v>109.4099999999903</v>
      </c>
      <c r="T356" s="10">
        <f>SalesData[[#This Row],[Unit_Margin]]/SalesData[[#This Row],[Unit_Price]]</f>
        <v>3.3607431048090677E-2</v>
      </c>
      <c r="U356" s="2" t="str">
        <f>IF(SalesData[[#This Row],[Unit_Margin]]&lt;0, "Negative margin", "Positive margin")</f>
        <v>Positive margin</v>
      </c>
      <c r="V356" s="2" t="str">
        <f>IF(SalesData[[#This Row],[Profit]]&lt;0, "Loss", "Profit")</f>
        <v>Loss</v>
      </c>
      <c r="W356" s="2">
        <f>SalesData[[#This Row],[Unit_Price]]*(1-SalesData[[#This Row],[Discount]])</f>
        <v>3060.1981999999907</v>
      </c>
      <c r="X356" s="2">
        <f>SalesData[[#This Row],[Effective_Unit_Price]]-SalesData[[#This Row],[Unit_Cost]]</f>
        <v>-85.921800000009171</v>
      </c>
      <c r="Y356" s="2" t="str">
        <f>IF(SalesData[[#This Row],[Effective_Unit_Margin]]&lt;0,"Loss per Unit","Positive per Unit")</f>
        <v>Loss per Unit</v>
      </c>
    </row>
    <row r="357" spans="1:25" x14ac:dyDescent="0.3">
      <c r="A357">
        <v>1064</v>
      </c>
      <c r="B357" s="1">
        <v>45077</v>
      </c>
      <c r="C357" t="s">
        <v>23</v>
      </c>
      <c r="D357" t="s">
        <v>24</v>
      </c>
      <c r="E357">
        <v>8</v>
      </c>
      <c r="F357" t="s">
        <v>28</v>
      </c>
      <c r="G357">
        <v>816.54</v>
      </c>
      <c r="H357">
        <v>1191.9000000000001</v>
      </c>
      <c r="I357" t="s">
        <v>29</v>
      </c>
      <c r="J357" s="2">
        <v>0.03</v>
      </c>
      <c r="K357" t="s">
        <v>17</v>
      </c>
      <c r="L357" t="s">
        <v>21</v>
      </c>
      <c r="M357" t="s">
        <v>27</v>
      </c>
      <c r="N357">
        <f>SalesData[[#This Row],[Quantity_Sold]]*SalesData[[#This Row],[Unit_Cost]]</f>
        <v>6532.32</v>
      </c>
      <c r="O357">
        <f>SalesData[[#This Row],[Quantity_Sold]]*SalesData[[#This Row],[Unit_Price]]</f>
        <v>9535.2000000000007</v>
      </c>
      <c r="P357">
        <f>SalesData[[#This Row],[Gross_sales]]*(1-SalesData[[#This Row],[Discount]])</f>
        <v>9249.1440000000002</v>
      </c>
      <c r="Q357" s="2">
        <f>SalesData[[#This Row],[Sales_amount]]-SalesData[[#This Row],[Total_Cost]]</f>
        <v>2716.8240000000005</v>
      </c>
      <c r="R357" s="2">
        <f>SalesData[[#This Row],[Profit]]/SalesData[[#This Row],[Sales_amount]]</f>
        <v>0.29373788536539169</v>
      </c>
      <c r="S357" s="2">
        <f>SalesData[[#This Row],[Unit_Price]]-SalesData[[#This Row],[Unit_Cost]]</f>
        <v>375.36000000000013</v>
      </c>
      <c r="T357" s="10">
        <f>SalesData[[#This Row],[Unit_Margin]]/SalesData[[#This Row],[Unit_Price]]</f>
        <v>0.31492574880442997</v>
      </c>
      <c r="U357" s="2" t="str">
        <f>IF(SalesData[[#This Row],[Unit_Margin]]&lt;0, "Negative margin", "Positive margin")</f>
        <v>Positive margin</v>
      </c>
      <c r="V357" s="2" t="str">
        <f>IF(SalesData[[#This Row],[Profit]]&lt;0, "Loss", "Profit")</f>
        <v>Profit</v>
      </c>
      <c r="W357" s="2">
        <f>SalesData[[#This Row],[Unit_Price]]*(1-SalesData[[#This Row],[Discount]])</f>
        <v>1156.143</v>
      </c>
      <c r="X357" s="2">
        <f>SalesData[[#This Row],[Effective_Unit_Price]]-SalesData[[#This Row],[Unit_Cost]]</f>
        <v>339.60300000000007</v>
      </c>
      <c r="Y357" s="2" t="str">
        <f>IF(SalesData[[#This Row],[Effective_Unit_Margin]]&lt;0,"Loss per Unit","Positive per Unit")</f>
        <v>Positive per Unit</v>
      </c>
    </row>
    <row r="358" spans="1:25" x14ac:dyDescent="0.3">
      <c r="A358">
        <v>1097</v>
      </c>
      <c r="B358" s="1">
        <v>45011</v>
      </c>
      <c r="C358" t="s">
        <v>23</v>
      </c>
      <c r="D358" t="s">
        <v>33</v>
      </c>
      <c r="E358">
        <v>7</v>
      </c>
      <c r="F358" t="s">
        <v>28</v>
      </c>
      <c r="G358">
        <v>1896.35</v>
      </c>
      <c r="H358">
        <v>2394.1999999999998</v>
      </c>
      <c r="I358" t="s">
        <v>29</v>
      </c>
      <c r="J358" s="2">
        <v>0.22</v>
      </c>
      <c r="K358" t="s">
        <v>26</v>
      </c>
      <c r="L358" t="s">
        <v>18</v>
      </c>
      <c r="M358" t="s">
        <v>49</v>
      </c>
      <c r="N358">
        <f>SalesData[[#This Row],[Quantity_Sold]]*SalesData[[#This Row],[Unit_Cost]]</f>
        <v>13274.449999999999</v>
      </c>
      <c r="O358">
        <f>SalesData[[#This Row],[Quantity_Sold]]*SalesData[[#This Row],[Unit_Price]]</f>
        <v>16759.399999999998</v>
      </c>
      <c r="P358">
        <f>SalesData[[#This Row],[Gross_sales]]*(1-SalesData[[#This Row],[Discount]])</f>
        <v>13072.331999999999</v>
      </c>
      <c r="Q358" s="2">
        <f>SalesData[[#This Row],[Sales_amount]]-SalesData[[#This Row],[Total_Cost]]</f>
        <v>-202.11800000000039</v>
      </c>
      <c r="R358" s="2">
        <f>SalesData[[#This Row],[Profit]]/SalesData[[#This Row],[Sales_amount]]</f>
        <v>-1.5461510616468463E-2</v>
      </c>
      <c r="S358" s="2">
        <f>SalesData[[#This Row],[Unit_Price]]-SalesData[[#This Row],[Unit_Cost]]</f>
        <v>497.84999999999991</v>
      </c>
      <c r="T358" s="10">
        <f>SalesData[[#This Row],[Unit_Margin]]/SalesData[[#This Row],[Unit_Price]]</f>
        <v>0.2079400217191546</v>
      </c>
      <c r="U358" s="2" t="str">
        <f>IF(SalesData[[#This Row],[Unit_Margin]]&lt;0, "Negative margin", "Positive margin")</f>
        <v>Positive margin</v>
      </c>
      <c r="V358" s="2" t="str">
        <f>IF(SalesData[[#This Row],[Profit]]&lt;0, "Loss", "Profit")</f>
        <v>Loss</v>
      </c>
      <c r="W358" s="2">
        <f>SalesData[[#This Row],[Unit_Price]]*(1-SalesData[[#This Row],[Discount]])</f>
        <v>1867.4759999999999</v>
      </c>
      <c r="X358" s="2">
        <f>SalesData[[#This Row],[Effective_Unit_Price]]-SalesData[[#This Row],[Unit_Cost]]</f>
        <v>-28.874000000000024</v>
      </c>
      <c r="Y358" s="2" t="str">
        <f>IF(SalesData[[#This Row],[Effective_Unit_Margin]]&lt;0,"Loss per Unit","Positive per Unit")</f>
        <v>Loss per Unit</v>
      </c>
    </row>
    <row r="359" spans="1:25" x14ac:dyDescent="0.3">
      <c r="A359">
        <v>1069</v>
      </c>
      <c r="B359" s="1">
        <v>45073</v>
      </c>
      <c r="C359" t="s">
        <v>32</v>
      </c>
      <c r="D359" t="s">
        <v>20</v>
      </c>
      <c r="E359">
        <v>44</v>
      </c>
      <c r="F359" t="s">
        <v>34</v>
      </c>
      <c r="G359">
        <v>1084.73</v>
      </c>
      <c r="H359">
        <v>1420.9</v>
      </c>
      <c r="I359" t="s">
        <v>16</v>
      </c>
      <c r="J359" s="2">
        <v>0.05</v>
      </c>
      <c r="K359" t="s">
        <v>30</v>
      </c>
      <c r="L359" t="s">
        <v>18</v>
      </c>
      <c r="M359" t="s">
        <v>36</v>
      </c>
      <c r="N359">
        <f>SalesData[[#This Row],[Quantity_Sold]]*SalesData[[#This Row],[Unit_Cost]]</f>
        <v>47728.12</v>
      </c>
      <c r="O359">
        <f>SalesData[[#This Row],[Quantity_Sold]]*SalesData[[#This Row],[Unit_Price]]</f>
        <v>62519.600000000006</v>
      </c>
      <c r="P359">
        <f>SalesData[[#This Row],[Gross_sales]]*(1-SalesData[[#This Row],[Discount]])</f>
        <v>59393.62</v>
      </c>
      <c r="Q359" s="2">
        <f>SalesData[[#This Row],[Sales_amount]]-SalesData[[#This Row],[Total_Cost]]</f>
        <v>11665.5</v>
      </c>
      <c r="R359" s="2">
        <f>SalesData[[#This Row],[Profit]]/SalesData[[#This Row],[Sales_amount]]</f>
        <v>0.1964099847761426</v>
      </c>
      <c r="S359" s="2">
        <f>SalesData[[#This Row],[Unit_Price]]-SalesData[[#This Row],[Unit_Cost]]</f>
        <v>336.17000000000007</v>
      </c>
      <c r="T359" s="10">
        <f>SalesData[[#This Row],[Unit_Margin]]/SalesData[[#This Row],[Unit_Price]]</f>
        <v>0.23658948553733553</v>
      </c>
      <c r="U359" s="2" t="str">
        <f>IF(SalesData[[#This Row],[Unit_Margin]]&lt;0, "Negative margin", "Positive margin")</f>
        <v>Positive margin</v>
      </c>
      <c r="V359" s="2" t="str">
        <f>IF(SalesData[[#This Row],[Profit]]&lt;0, "Loss", "Profit")</f>
        <v>Profit</v>
      </c>
      <c r="W359" s="2">
        <f>SalesData[[#This Row],[Unit_Price]]*(1-SalesData[[#This Row],[Discount]])</f>
        <v>1349.855</v>
      </c>
      <c r="X359" s="2">
        <f>SalesData[[#This Row],[Effective_Unit_Price]]-SalesData[[#This Row],[Unit_Cost]]</f>
        <v>265.125</v>
      </c>
      <c r="Y359" s="2" t="str">
        <f>IF(SalesData[[#This Row],[Effective_Unit_Margin]]&lt;0,"Loss per Unit","Positive per Unit")</f>
        <v>Positive per Unit</v>
      </c>
    </row>
    <row r="360" spans="1:25" x14ac:dyDescent="0.3">
      <c r="A360">
        <v>1061</v>
      </c>
      <c r="B360" s="1">
        <v>45038</v>
      </c>
      <c r="C360" t="s">
        <v>37</v>
      </c>
      <c r="D360" t="s">
        <v>24</v>
      </c>
      <c r="E360">
        <v>39</v>
      </c>
      <c r="F360" t="s">
        <v>34</v>
      </c>
      <c r="G360">
        <v>3494.19</v>
      </c>
      <c r="H360">
        <v>3746</v>
      </c>
      <c r="I360" t="s">
        <v>16</v>
      </c>
      <c r="J360" s="2">
        <v>0.25</v>
      </c>
      <c r="K360" t="s">
        <v>26</v>
      </c>
      <c r="L360" t="s">
        <v>21</v>
      </c>
      <c r="M360" t="s">
        <v>38</v>
      </c>
      <c r="N360">
        <f>SalesData[[#This Row],[Quantity_Sold]]*SalesData[[#This Row],[Unit_Cost]]</f>
        <v>136273.41</v>
      </c>
      <c r="O360">
        <f>SalesData[[#This Row],[Quantity_Sold]]*SalesData[[#This Row],[Unit_Price]]</f>
        <v>146094</v>
      </c>
      <c r="P360">
        <f>SalesData[[#This Row],[Gross_sales]]*(1-SalesData[[#This Row],[Discount]])</f>
        <v>109570.5</v>
      </c>
      <c r="Q360" s="2">
        <f>SalesData[[#This Row],[Sales_amount]]-SalesData[[#This Row],[Total_Cost]]</f>
        <v>-26702.910000000003</v>
      </c>
      <c r="R360" s="2">
        <f>SalesData[[#This Row],[Profit]]/SalesData[[#This Row],[Sales_amount]]</f>
        <v>-0.24370528563801391</v>
      </c>
      <c r="S360" s="2">
        <f>SalesData[[#This Row],[Unit_Price]]-SalesData[[#This Row],[Unit_Cost]]</f>
        <v>251.80999999999995</v>
      </c>
      <c r="T360" s="10">
        <f>SalesData[[#This Row],[Unit_Margin]]/SalesData[[#This Row],[Unit_Price]]</f>
        <v>6.7221035771489579E-2</v>
      </c>
      <c r="U360" s="2" t="str">
        <f>IF(SalesData[[#This Row],[Unit_Margin]]&lt;0, "Negative margin", "Positive margin")</f>
        <v>Positive margin</v>
      </c>
      <c r="V360" s="2" t="str">
        <f>IF(SalesData[[#This Row],[Profit]]&lt;0, "Loss", "Profit")</f>
        <v>Loss</v>
      </c>
      <c r="W360" s="2">
        <f>SalesData[[#This Row],[Unit_Price]]*(1-SalesData[[#This Row],[Discount]])</f>
        <v>2809.5</v>
      </c>
      <c r="X360" s="2">
        <f>SalesData[[#This Row],[Effective_Unit_Price]]-SalesData[[#This Row],[Unit_Cost]]</f>
        <v>-684.69</v>
      </c>
      <c r="Y360" s="2" t="str">
        <f>IF(SalesData[[#This Row],[Effective_Unit_Margin]]&lt;0,"Loss per Unit","Positive per Unit")</f>
        <v>Loss per Unit</v>
      </c>
    </row>
    <row r="361" spans="1:25" x14ac:dyDescent="0.3">
      <c r="A361">
        <v>1048</v>
      </c>
      <c r="B361" s="1">
        <v>44962</v>
      </c>
      <c r="C361" t="s">
        <v>23</v>
      </c>
      <c r="D361" t="s">
        <v>14</v>
      </c>
      <c r="E361">
        <v>42</v>
      </c>
      <c r="F361" t="s">
        <v>34</v>
      </c>
      <c r="G361">
        <v>4723.83</v>
      </c>
      <c r="H361">
        <v>5186.1899999999996</v>
      </c>
      <c r="I361" t="s">
        <v>16</v>
      </c>
      <c r="J361" s="2">
        <v>0.22</v>
      </c>
      <c r="K361" t="s">
        <v>30</v>
      </c>
      <c r="L361" t="s">
        <v>18</v>
      </c>
      <c r="M361" t="s">
        <v>44</v>
      </c>
      <c r="N361">
        <f>SalesData[[#This Row],[Quantity_Sold]]*SalesData[[#This Row],[Unit_Cost]]</f>
        <v>198400.86</v>
      </c>
      <c r="O361">
        <f>SalesData[[#This Row],[Quantity_Sold]]*SalesData[[#This Row],[Unit_Price]]</f>
        <v>217819.97999999998</v>
      </c>
      <c r="P361">
        <f>SalesData[[#This Row],[Gross_sales]]*(1-SalesData[[#This Row],[Discount]])</f>
        <v>169899.58439999999</v>
      </c>
      <c r="Q361" s="2">
        <f>SalesData[[#This Row],[Sales_amount]]-SalesData[[#This Row],[Total_Cost]]</f>
        <v>-28501.275599999994</v>
      </c>
      <c r="R361" s="2">
        <f>SalesData[[#This Row],[Profit]]/SalesData[[#This Row],[Sales_amount]]</f>
        <v>-0.16775365107956083</v>
      </c>
      <c r="S361" s="2">
        <f>SalesData[[#This Row],[Unit_Price]]-SalesData[[#This Row],[Unit_Cost]]</f>
        <v>462.35999999999967</v>
      </c>
      <c r="T361" s="10">
        <f>SalesData[[#This Row],[Unit_Margin]]/SalesData[[#This Row],[Unit_Price]]</f>
        <v>8.9152152157942477E-2</v>
      </c>
      <c r="U361" s="2" t="str">
        <f>IF(SalesData[[#This Row],[Unit_Margin]]&lt;0, "Negative margin", "Positive margin")</f>
        <v>Positive margin</v>
      </c>
      <c r="V361" s="2" t="str">
        <f>IF(SalesData[[#This Row],[Profit]]&lt;0, "Loss", "Profit")</f>
        <v>Loss</v>
      </c>
      <c r="W361" s="2">
        <f>SalesData[[#This Row],[Unit_Price]]*(1-SalesData[[#This Row],[Discount]])</f>
        <v>4045.2282</v>
      </c>
      <c r="X361" s="2">
        <f>SalesData[[#This Row],[Effective_Unit_Price]]-SalesData[[#This Row],[Unit_Cost]]</f>
        <v>-678.60179999999991</v>
      </c>
      <c r="Y361" s="2" t="str">
        <f>IF(SalesData[[#This Row],[Effective_Unit_Margin]]&lt;0,"Loss per Unit","Positive per Unit")</f>
        <v>Loss per Unit</v>
      </c>
    </row>
    <row r="362" spans="1:25" x14ac:dyDescent="0.3">
      <c r="A362">
        <v>1019</v>
      </c>
      <c r="B362" s="1">
        <v>45211</v>
      </c>
      <c r="C362" t="s">
        <v>32</v>
      </c>
      <c r="D362" t="s">
        <v>20</v>
      </c>
      <c r="E362">
        <v>16</v>
      </c>
      <c r="F362" t="s">
        <v>28</v>
      </c>
      <c r="G362">
        <v>4977.78</v>
      </c>
      <c r="H362">
        <v>4995.55</v>
      </c>
      <c r="I362" t="s">
        <v>29</v>
      </c>
      <c r="J362" s="2">
        <v>0.25</v>
      </c>
      <c r="K362" t="s">
        <v>30</v>
      </c>
      <c r="L362" t="s">
        <v>18</v>
      </c>
      <c r="M362" t="s">
        <v>36</v>
      </c>
      <c r="N362">
        <f>SalesData[[#This Row],[Quantity_Sold]]*SalesData[[#This Row],[Unit_Cost]]</f>
        <v>79644.479999999996</v>
      </c>
      <c r="O362">
        <f>SalesData[[#This Row],[Quantity_Sold]]*SalesData[[#This Row],[Unit_Price]]</f>
        <v>79928.800000000003</v>
      </c>
      <c r="P362">
        <f>SalesData[[#This Row],[Gross_sales]]*(1-SalesData[[#This Row],[Discount]])</f>
        <v>59946.600000000006</v>
      </c>
      <c r="Q362" s="2">
        <f>SalesData[[#This Row],[Sales_amount]]-SalesData[[#This Row],[Total_Cost]]</f>
        <v>-19697.87999999999</v>
      </c>
      <c r="R362" s="2">
        <f>SalesData[[#This Row],[Profit]]/SalesData[[#This Row],[Sales_amount]]</f>
        <v>-0.32859044549649169</v>
      </c>
      <c r="S362" s="2">
        <f>SalesData[[#This Row],[Unit_Price]]-SalesData[[#This Row],[Unit_Cost]]</f>
        <v>17.770000000000437</v>
      </c>
      <c r="T362" s="10">
        <f>SalesData[[#This Row],[Unit_Margin]]/SalesData[[#This Row],[Unit_Price]]</f>
        <v>3.5571658776311788E-3</v>
      </c>
      <c r="U362" s="2" t="str">
        <f>IF(SalesData[[#This Row],[Unit_Margin]]&lt;0, "Negative margin", "Positive margin")</f>
        <v>Positive margin</v>
      </c>
      <c r="V362" s="2" t="str">
        <f>IF(SalesData[[#This Row],[Profit]]&lt;0, "Loss", "Profit")</f>
        <v>Loss</v>
      </c>
      <c r="W362" s="2">
        <f>SalesData[[#This Row],[Unit_Price]]*(1-SalesData[[#This Row],[Discount]])</f>
        <v>3746.6625000000004</v>
      </c>
      <c r="X362" s="2">
        <f>SalesData[[#This Row],[Effective_Unit_Price]]-SalesData[[#This Row],[Unit_Cost]]</f>
        <v>-1231.1174999999994</v>
      </c>
      <c r="Y362" s="2" t="str">
        <f>IF(SalesData[[#This Row],[Effective_Unit_Margin]]&lt;0,"Loss per Unit","Positive per Unit")</f>
        <v>Loss per Unit</v>
      </c>
    </row>
    <row r="363" spans="1:25" x14ac:dyDescent="0.3">
      <c r="A363">
        <v>1004</v>
      </c>
      <c r="B363" s="1">
        <v>45114</v>
      </c>
      <c r="C363" t="s">
        <v>37</v>
      </c>
      <c r="D363" t="s">
        <v>14</v>
      </c>
      <c r="E363">
        <v>35</v>
      </c>
      <c r="F363" t="s">
        <v>28</v>
      </c>
      <c r="G363">
        <v>2278.87</v>
      </c>
      <c r="H363">
        <v>2646.5299999999902</v>
      </c>
      <c r="I363" t="s">
        <v>16</v>
      </c>
      <c r="J363" s="2">
        <v>0.09</v>
      </c>
      <c r="K363" t="s">
        <v>26</v>
      </c>
      <c r="L363" t="s">
        <v>18</v>
      </c>
      <c r="M363" t="s">
        <v>39</v>
      </c>
      <c r="N363">
        <f>SalesData[[#This Row],[Quantity_Sold]]*SalesData[[#This Row],[Unit_Cost]]</f>
        <v>79760.45</v>
      </c>
      <c r="O363">
        <f>SalesData[[#This Row],[Quantity_Sold]]*SalesData[[#This Row],[Unit_Price]]</f>
        <v>92628.549999999654</v>
      </c>
      <c r="P363">
        <f>SalesData[[#This Row],[Gross_sales]]*(1-SalesData[[#This Row],[Discount]])</f>
        <v>84291.980499999685</v>
      </c>
      <c r="Q363" s="2">
        <f>SalesData[[#This Row],[Sales_amount]]-SalesData[[#This Row],[Total_Cost]]</f>
        <v>4531.5304999996879</v>
      </c>
      <c r="R363" s="2">
        <f>SalesData[[#This Row],[Profit]]/SalesData[[#This Row],[Sales_amount]]</f>
        <v>5.3759924409412886E-2</v>
      </c>
      <c r="S363" s="2">
        <f>SalesData[[#This Row],[Unit_Price]]-SalesData[[#This Row],[Unit_Cost]]</f>
        <v>367.6599999999903</v>
      </c>
      <c r="T363" s="10">
        <f>SalesData[[#This Row],[Unit_Margin]]/SalesData[[#This Row],[Unit_Price]]</f>
        <v>0.13892153121256576</v>
      </c>
      <c r="U363" s="2" t="str">
        <f>IF(SalesData[[#This Row],[Unit_Margin]]&lt;0, "Negative margin", "Positive margin")</f>
        <v>Positive margin</v>
      </c>
      <c r="V363" s="2" t="str">
        <f>IF(SalesData[[#This Row],[Profit]]&lt;0, "Loss", "Profit")</f>
        <v>Profit</v>
      </c>
      <c r="W363" s="2">
        <f>SalesData[[#This Row],[Unit_Price]]*(1-SalesData[[#This Row],[Discount]])</f>
        <v>2408.3422999999912</v>
      </c>
      <c r="X363" s="2">
        <f>SalesData[[#This Row],[Effective_Unit_Price]]-SalesData[[#This Row],[Unit_Cost]]</f>
        <v>129.47229999999126</v>
      </c>
      <c r="Y363" s="2" t="str">
        <f>IF(SalesData[[#This Row],[Effective_Unit_Margin]]&lt;0,"Loss per Unit","Positive per Unit")</f>
        <v>Positive per Unit</v>
      </c>
    </row>
    <row r="364" spans="1:25" x14ac:dyDescent="0.3">
      <c r="A364">
        <v>1035</v>
      </c>
      <c r="B364" s="1">
        <v>45008</v>
      </c>
      <c r="C364" t="s">
        <v>23</v>
      </c>
      <c r="D364" t="s">
        <v>33</v>
      </c>
      <c r="E364">
        <v>30</v>
      </c>
      <c r="F364" t="s">
        <v>28</v>
      </c>
      <c r="G364">
        <v>1300.03</v>
      </c>
      <c r="H364">
        <v>1745.52</v>
      </c>
      <c r="I364" t="s">
        <v>29</v>
      </c>
      <c r="J364" s="2">
        <v>0.09</v>
      </c>
      <c r="K364" t="s">
        <v>17</v>
      </c>
      <c r="L364" t="s">
        <v>21</v>
      </c>
      <c r="M364" t="s">
        <v>49</v>
      </c>
      <c r="N364">
        <f>SalesData[[#This Row],[Quantity_Sold]]*SalesData[[#This Row],[Unit_Cost]]</f>
        <v>39000.9</v>
      </c>
      <c r="O364">
        <f>SalesData[[#This Row],[Quantity_Sold]]*SalesData[[#This Row],[Unit_Price]]</f>
        <v>52365.599999999999</v>
      </c>
      <c r="P364">
        <f>SalesData[[#This Row],[Gross_sales]]*(1-SalesData[[#This Row],[Discount]])</f>
        <v>47652.696000000004</v>
      </c>
      <c r="Q364" s="2">
        <f>SalesData[[#This Row],[Sales_amount]]-SalesData[[#This Row],[Total_Cost]]</f>
        <v>8651.7960000000021</v>
      </c>
      <c r="R364" s="2">
        <f>SalesData[[#This Row],[Profit]]/SalesData[[#This Row],[Sales_amount]]</f>
        <v>0.18155942320661148</v>
      </c>
      <c r="S364" s="2">
        <f>SalesData[[#This Row],[Unit_Price]]-SalesData[[#This Row],[Unit_Cost]]</f>
        <v>445.49</v>
      </c>
      <c r="T364" s="10">
        <f>SalesData[[#This Row],[Unit_Margin]]/SalesData[[#This Row],[Unit_Price]]</f>
        <v>0.25521907511801639</v>
      </c>
      <c r="U364" s="2" t="str">
        <f>IF(SalesData[[#This Row],[Unit_Margin]]&lt;0, "Negative margin", "Positive margin")</f>
        <v>Positive margin</v>
      </c>
      <c r="V364" s="2" t="str">
        <f>IF(SalesData[[#This Row],[Profit]]&lt;0, "Loss", "Profit")</f>
        <v>Profit</v>
      </c>
      <c r="W364" s="2">
        <f>SalesData[[#This Row],[Unit_Price]]*(1-SalesData[[#This Row],[Discount]])</f>
        <v>1588.4232</v>
      </c>
      <c r="X364" s="2">
        <f>SalesData[[#This Row],[Effective_Unit_Price]]-SalesData[[#This Row],[Unit_Cost]]</f>
        <v>288.39319999999998</v>
      </c>
      <c r="Y364" s="2" t="str">
        <f>IF(SalesData[[#This Row],[Effective_Unit_Margin]]&lt;0,"Loss per Unit","Positive per Unit")</f>
        <v>Positive per Unit</v>
      </c>
    </row>
    <row r="365" spans="1:25" x14ac:dyDescent="0.3">
      <c r="A365">
        <v>1064</v>
      </c>
      <c r="B365" s="1">
        <v>44928</v>
      </c>
      <c r="C365" t="s">
        <v>23</v>
      </c>
      <c r="D365" t="s">
        <v>24</v>
      </c>
      <c r="E365">
        <v>10</v>
      </c>
      <c r="F365" t="s">
        <v>34</v>
      </c>
      <c r="G365">
        <v>2242.0100000000002</v>
      </c>
      <c r="H365">
        <v>2282.23</v>
      </c>
      <c r="I365" t="s">
        <v>16</v>
      </c>
      <c r="J365" s="2">
        <v>0.2</v>
      </c>
      <c r="K365" t="s">
        <v>30</v>
      </c>
      <c r="L365" t="s">
        <v>18</v>
      </c>
      <c r="M365" t="s">
        <v>27</v>
      </c>
      <c r="N365">
        <f>SalesData[[#This Row],[Quantity_Sold]]*SalesData[[#This Row],[Unit_Cost]]</f>
        <v>22420.100000000002</v>
      </c>
      <c r="O365">
        <f>SalesData[[#This Row],[Quantity_Sold]]*SalesData[[#This Row],[Unit_Price]]</f>
        <v>22822.3</v>
      </c>
      <c r="P365">
        <f>SalesData[[#This Row],[Gross_sales]]*(1-SalesData[[#This Row],[Discount]])</f>
        <v>18257.84</v>
      </c>
      <c r="Q365" s="2">
        <f>SalesData[[#This Row],[Sales_amount]]-SalesData[[#This Row],[Total_Cost]]</f>
        <v>-4162.260000000002</v>
      </c>
      <c r="R365" s="2">
        <f>SalesData[[#This Row],[Profit]]/SalesData[[#This Row],[Sales_amount]]</f>
        <v>-0.22797110720654809</v>
      </c>
      <c r="S365" s="2">
        <f>SalesData[[#This Row],[Unit_Price]]-SalesData[[#This Row],[Unit_Cost]]</f>
        <v>40.2199999999998</v>
      </c>
      <c r="T365" s="10">
        <f>SalesData[[#This Row],[Unit_Margin]]/SalesData[[#This Row],[Unit_Price]]</f>
        <v>1.7623114234761528E-2</v>
      </c>
      <c r="U365" s="2" t="str">
        <f>IF(SalesData[[#This Row],[Unit_Margin]]&lt;0, "Negative margin", "Positive margin")</f>
        <v>Positive margin</v>
      </c>
      <c r="V365" s="2" t="str">
        <f>IF(SalesData[[#This Row],[Profit]]&lt;0, "Loss", "Profit")</f>
        <v>Loss</v>
      </c>
      <c r="W365" s="2">
        <f>SalesData[[#This Row],[Unit_Price]]*(1-SalesData[[#This Row],[Discount]])</f>
        <v>1825.7840000000001</v>
      </c>
      <c r="X365" s="2">
        <f>SalesData[[#This Row],[Effective_Unit_Price]]-SalesData[[#This Row],[Unit_Cost]]</f>
        <v>-416.22600000000011</v>
      </c>
      <c r="Y365" s="2" t="str">
        <f>IF(SalesData[[#This Row],[Effective_Unit_Margin]]&lt;0,"Loss per Unit","Positive per Unit")</f>
        <v>Loss per Unit</v>
      </c>
    </row>
    <row r="366" spans="1:25" x14ac:dyDescent="0.3">
      <c r="A366">
        <v>1049</v>
      </c>
      <c r="B366" s="1">
        <v>45229</v>
      </c>
      <c r="C366" t="s">
        <v>41</v>
      </c>
      <c r="D366" t="s">
        <v>33</v>
      </c>
      <c r="E366">
        <v>38</v>
      </c>
      <c r="F366" t="s">
        <v>25</v>
      </c>
      <c r="G366">
        <v>4243.9799999999996</v>
      </c>
      <c r="H366">
        <v>4474.5099999999902</v>
      </c>
      <c r="I366" t="s">
        <v>29</v>
      </c>
      <c r="J366" s="2">
        <v>0.01</v>
      </c>
      <c r="K366" t="s">
        <v>30</v>
      </c>
      <c r="L366" t="s">
        <v>18</v>
      </c>
      <c r="M366" t="s">
        <v>51</v>
      </c>
      <c r="N366">
        <f>SalesData[[#This Row],[Quantity_Sold]]*SalesData[[#This Row],[Unit_Cost]]</f>
        <v>161271.24</v>
      </c>
      <c r="O366">
        <f>SalesData[[#This Row],[Quantity_Sold]]*SalesData[[#This Row],[Unit_Price]]</f>
        <v>170031.37999999963</v>
      </c>
      <c r="P366">
        <f>SalesData[[#This Row],[Gross_sales]]*(1-SalesData[[#This Row],[Discount]])</f>
        <v>168331.06619999962</v>
      </c>
      <c r="Q366" s="2">
        <f>SalesData[[#This Row],[Sales_amount]]-SalesData[[#This Row],[Total_Cost]]</f>
        <v>7059.8261999996321</v>
      </c>
      <c r="R366" s="2">
        <f>SalesData[[#This Row],[Profit]]/SalesData[[#This Row],[Sales_amount]]</f>
        <v>4.1940126438762187E-2</v>
      </c>
      <c r="S366" s="2">
        <f>SalesData[[#This Row],[Unit_Price]]-SalesData[[#This Row],[Unit_Cost]]</f>
        <v>230.52999999999065</v>
      </c>
      <c r="T366" s="10">
        <f>SalesData[[#This Row],[Unit_Margin]]/SalesData[[#This Row],[Unit_Price]]</f>
        <v>5.1520725174374657E-2</v>
      </c>
      <c r="U366" s="2" t="str">
        <f>IF(SalesData[[#This Row],[Unit_Margin]]&lt;0, "Negative margin", "Positive margin")</f>
        <v>Positive margin</v>
      </c>
      <c r="V366" s="2" t="str">
        <f>IF(SalesData[[#This Row],[Profit]]&lt;0, "Loss", "Profit")</f>
        <v>Profit</v>
      </c>
      <c r="W366" s="2">
        <f>SalesData[[#This Row],[Unit_Price]]*(1-SalesData[[#This Row],[Discount]])</f>
        <v>4429.7648999999901</v>
      </c>
      <c r="X366" s="2">
        <f>SalesData[[#This Row],[Effective_Unit_Price]]-SalesData[[#This Row],[Unit_Cost]]</f>
        <v>185.78489999999056</v>
      </c>
      <c r="Y366" s="2" t="str">
        <f>IF(SalesData[[#This Row],[Effective_Unit_Margin]]&lt;0,"Loss per Unit","Positive per Unit")</f>
        <v>Positive per Unit</v>
      </c>
    </row>
    <row r="367" spans="1:25" x14ac:dyDescent="0.3">
      <c r="A367">
        <v>1017</v>
      </c>
      <c r="B367" s="1">
        <v>45123</v>
      </c>
      <c r="C367" t="s">
        <v>41</v>
      </c>
      <c r="D367" t="s">
        <v>24</v>
      </c>
      <c r="E367">
        <v>18</v>
      </c>
      <c r="F367" t="s">
        <v>15</v>
      </c>
      <c r="G367">
        <v>1069.73</v>
      </c>
      <c r="H367">
        <v>1180.04</v>
      </c>
      <c r="I367" t="s">
        <v>16</v>
      </c>
      <c r="J367" s="2">
        <v>0.22</v>
      </c>
      <c r="K367" t="s">
        <v>26</v>
      </c>
      <c r="L367" t="s">
        <v>18</v>
      </c>
      <c r="M367" t="s">
        <v>42</v>
      </c>
      <c r="N367">
        <f>SalesData[[#This Row],[Quantity_Sold]]*SalesData[[#This Row],[Unit_Cost]]</f>
        <v>19255.14</v>
      </c>
      <c r="O367">
        <f>SalesData[[#This Row],[Quantity_Sold]]*SalesData[[#This Row],[Unit_Price]]</f>
        <v>21240.720000000001</v>
      </c>
      <c r="P367">
        <f>SalesData[[#This Row],[Gross_sales]]*(1-SalesData[[#This Row],[Discount]])</f>
        <v>16567.761600000002</v>
      </c>
      <c r="Q367" s="2">
        <f>SalesData[[#This Row],[Sales_amount]]-SalesData[[#This Row],[Total_Cost]]</f>
        <v>-2687.3783999999978</v>
      </c>
      <c r="R367" s="2">
        <f>SalesData[[#This Row],[Profit]]/SalesData[[#This Row],[Sales_amount]]</f>
        <v>-0.16220527943859342</v>
      </c>
      <c r="S367" s="2">
        <f>SalesData[[#This Row],[Unit_Price]]-SalesData[[#This Row],[Unit_Cost]]</f>
        <v>110.30999999999995</v>
      </c>
      <c r="T367" s="10">
        <f>SalesData[[#This Row],[Unit_Margin]]/SalesData[[#This Row],[Unit_Price]]</f>
        <v>9.3479882037896977E-2</v>
      </c>
      <c r="U367" s="2" t="str">
        <f>IF(SalesData[[#This Row],[Unit_Margin]]&lt;0, "Negative margin", "Positive margin")</f>
        <v>Positive margin</v>
      </c>
      <c r="V367" s="2" t="str">
        <f>IF(SalesData[[#This Row],[Profit]]&lt;0, "Loss", "Profit")</f>
        <v>Loss</v>
      </c>
      <c r="W367" s="2">
        <f>SalesData[[#This Row],[Unit_Price]]*(1-SalesData[[#This Row],[Discount]])</f>
        <v>920.43119999999999</v>
      </c>
      <c r="X367" s="2">
        <f>SalesData[[#This Row],[Effective_Unit_Price]]-SalesData[[#This Row],[Unit_Cost]]</f>
        <v>-149.29880000000003</v>
      </c>
      <c r="Y367" s="2" t="str">
        <f>IF(SalesData[[#This Row],[Effective_Unit_Margin]]&lt;0,"Loss per Unit","Positive per Unit")</f>
        <v>Loss per Unit</v>
      </c>
    </row>
    <row r="368" spans="1:25" x14ac:dyDescent="0.3">
      <c r="A368">
        <v>1044</v>
      </c>
      <c r="B368" s="1">
        <v>44937</v>
      </c>
      <c r="C368" t="s">
        <v>37</v>
      </c>
      <c r="D368" t="s">
        <v>14</v>
      </c>
      <c r="E368">
        <v>5</v>
      </c>
      <c r="F368" t="s">
        <v>25</v>
      </c>
      <c r="G368">
        <v>4762.87</v>
      </c>
      <c r="H368">
        <v>5050.46</v>
      </c>
      <c r="I368" t="s">
        <v>29</v>
      </c>
      <c r="J368" s="2">
        <v>0.25</v>
      </c>
      <c r="K368" t="s">
        <v>17</v>
      </c>
      <c r="L368" t="s">
        <v>21</v>
      </c>
      <c r="M368" t="s">
        <v>39</v>
      </c>
      <c r="N368">
        <f>SalesData[[#This Row],[Quantity_Sold]]*SalesData[[#This Row],[Unit_Cost]]</f>
        <v>23814.35</v>
      </c>
      <c r="O368">
        <f>SalesData[[#This Row],[Quantity_Sold]]*SalesData[[#This Row],[Unit_Price]]</f>
        <v>25252.3</v>
      </c>
      <c r="P368">
        <f>SalesData[[#This Row],[Gross_sales]]*(1-SalesData[[#This Row],[Discount]])</f>
        <v>18939.224999999999</v>
      </c>
      <c r="Q368" s="2">
        <f>SalesData[[#This Row],[Sales_amount]]-SalesData[[#This Row],[Total_Cost]]</f>
        <v>-4875.125</v>
      </c>
      <c r="R368" s="2">
        <f>SalesData[[#This Row],[Profit]]/SalesData[[#This Row],[Sales_amount]]</f>
        <v>-0.25740889608735312</v>
      </c>
      <c r="S368" s="2">
        <f>SalesData[[#This Row],[Unit_Price]]-SalesData[[#This Row],[Unit_Cost]]</f>
        <v>287.59000000000015</v>
      </c>
      <c r="T368" s="10">
        <f>SalesData[[#This Row],[Unit_Margin]]/SalesData[[#This Row],[Unit_Price]]</f>
        <v>5.6943327934485206E-2</v>
      </c>
      <c r="U368" s="2" t="str">
        <f>IF(SalesData[[#This Row],[Unit_Margin]]&lt;0, "Negative margin", "Positive margin")</f>
        <v>Positive margin</v>
      </c>
      <c r="V368" s="2" t="str">
        <f>IF(SalesData[[#This Row],[Profit]]&lt;0, "Loss", "Profit")</f>
        <v>Loss</v>
      </c>
      <c r="W368" s="2">
        <f>SalesData[[#This Row],[Unit_Price]]*(1-SalesData[[#This Row],[Discount]])</f>
        <v>3787.8450000000003</v>
      </c>
      <c r="X368" s="2">
        <f>SalesData[[#This Row],[Effective_Unit_Price]]-SalesData[[#This Row],[Unit_Cost]]</f>
        <v>-975.02499999999964</v>
      </c>
      <c r="Y368" s="2" t="str">
        <f>IF(SalesData[[#This Row],[Effective_Unit_Margin]]&lt;0,"Loss per Unit","Positive per Unit")</f>
        <v>Loss per Unit</v>
      </c>
    </row>
    <row r="369" spans="1:25" x14ac:dyDescent="0.3">
      <c r="A369">
        <v>1092</v>
      </c>
      <c r="B369" s="1">
        <v>45160</v>
      </c>
      <c r="C369" t="s">
        <v>23</v>
      </c>
      <c r="D369" t="s">
        <v>33</v>
      </c>
      <c r="E369">
        <v>29</v>
      </c>
      <c r="F369" t="s">
        <v>28</v>
      </c>
      <c r="G369">
        <v>1742.24</v>
      </c>
      <c r="H369">
        <v>2070.52</v>
      </c>
      <c r="I369" t="s">
        <v>29</v>
      </c>
      <c r="J369" s="2">
        <v>0.12</v>
      </c>
      <c r="K369" t="s">
        <v>17</v>
      </c>
      <c r="L369" t="s">
        <v>18</v>
      </c>
      <c r="M369" t="s">
        <v>49</v>
      </c>
      <c r="N369">
        <f>SalesData[[#This Row],[Quantity_Sold]]*SalesData[[#This Row],[Unit_Cost]]</f>
        <v>50524.959999999999</v>
      </c>
      <c r="O369">
        <f>SalesData[[#This Row],[Quantity_Sold]]*SalesData[[#This Row],[Unit_Price]]</f>
        <v>60045.08</v>
      </c>
      <c r="P369">
        <f>SalesData[[#This Row],[Gross_sales]]*(1-SalesData[[#This Row],[Discount]])</f>
        <v>52839.670400000003</v>
      </c>
      <c r="Q369" s="2">
        <f>SalesData[[#This Row],[Sales_amount]]-SalesData[[#This Row],[Total_Cost]]</f>
        <v>2314.7104000000036</v>
      </c>
      <c r="R369" s="2">
        <f>SalesData[[#This Row],[Profit]]/SalesData[[#This Row],[Sales_amount]]</f>
        <v>4.3806298988572107E-2</v>
      </c>
      <c r="S369" s="2">
        <f>SalesData[[#This Row],[Unit_Price]]-SalesData[[#This Row],[Unit_Cost]]</f>
        <v>328.28</v>
      </c>
      <c r="T369" s="10">
        <f>SalesData[[#This Row],[Unit_Margin]]/SalesData[[#This Row],[Unit_Price]]</f>
        <v>0.15854954310994337</v>
      </c>
      <c r="U369" s="2" t="str">
        <f>IF(SalesData[[#This Row],[Unit_Margin]]&lt;0, "Negative margin", "Positive margin")</f>
        <v>Positive margin</v>
      </c>
      <c r="V369" s="2" t="str">
        <f>IF(SalesData[[#This Row],[Profit]]&lt;0, "Loss", "Profit")</f>
        <v>Profit</v>
      </c>
      <c r="W369" s="2">
        <f>SalesData[[#This Row],[Unit_Price]]*(1-SalesData[[#This Row],[Discount]])</f>
        <v>1822.0576000000001</v>
      </c>
      <c r="X369" s="2">
        <f>SalesData[[#This Row],[Effective_Unit_Price]]-SalesData[[#This Row],[Unit_Cost]]</f>
        <v>79.817600000000084</v>
      </c>
      <c r="Y369" s="2" t="str">
        <f>IF(SalesData[[#This Row],[Effective_Unit_Margin]]&lt;0,"Loss per Unit","Positive per Unit")</f>
        <v>Positive per Unit</v>
      </c>
    </row>
    <row r="370" spans="1:25" x14ac:dyDescent="0.3">
      <c r="A370">
        <v>1030</v>
      </c>
      <c r="B370" s="1">
        <v>45121</v>
      </c>
      <c r="C370" t="s">
        <v>13</v>
      </c>
      <c r="D370" t="s">
        <v>33</v>
      </c>
      <c r="E370">
        <v>39</v>
      </c>
      <c r="F370" t="s">
        <v>28</v>
      </c>
      <c r="G370">
        <v>4929.7299999999996</v>
      </c>
      <c r="H370">
        <v>5088.0199999999904</v>
      </c>
      <c r="I370" t="s">
        <v>29</v>
      </c>
      <c r="J370" s="2">
        <v>0.23</v>
      </c>
      <c r="K370" t="s">
        <v>26</v>
      </c>
      <c r="L370" t="s">
        <v>21</v>
      </c>
      <c r="M370" t="s">
        <v>45</v>
      </c>
      <c r="N370">
        <f>SalesData[[#This Row],[Quantity_Sold]]*SalesData[[#This Row],[Unit_Cost]]</f>
        <v>192259.46999999997</v>
      </c>
      <c r="O370">
        <f>SalesData[[#This Row],[Quantity_Sold]]*SalesData[[#This Row],[Unit_Price]]</f>
        <v>198432.77999999962</v>
      </c>
      <c r="P370">
        <f>SalesData[[#This Row],[Gross_sales]]*(1-SalesData[[#This Row],[Discount]])</f>
        <v>152793.2405999997</v>
      </c>
      <c r="Q370" s="2">
        <f>SalesData[[#This Row],[Sales_amount]]-SalesData[[#This Row],[Total_Cost]]</f>
        <v>-39466.229400000273</v>
      </c>
      <c r="R370" s="2">
        <f>SalesData[[#This Row],[Profit]]/SalesData[[#This Row],[Sales_amount]]</f>
        <v>-0.25829826794052796</v>
      </c>
      <c r="S370" s="2">
        <f>SalesData[[#This Row],[Unit_Price]]-SalesData[[#This Row],[Unit_Cost]]</f>
        <v>158.28999999999087</v>
      </c>
      <c r="T370" s="10">
        <f>SalesData[[#This Row],[Unit_Margin]]/SalesData[[#This Row],[Unit_Price]]</f>
        <v>3.1110333685793523E-2</v>
      </c>
      <c r="U370" s="2" t="str">
        <f>IF(SalesData[[#This Row],[Unit_Margin]]&lt;0, "Negative margin", "Positive margin")</f>
        <v>Positive margin</v>
      </c>
      <c r="V370" s="2" t="str">
        <f>IF(SalesData[[#This Row],[Profit]]&lt;0, "Loss", "Profit")</f>
        <v>Loss</v>
      </c>
      <c r="W370" s="2">
        <f>SalesData[[#This Row],[Unit_Price]]*(1-SalesData[[#This Row],[Discount]])</f>
        <v>3917.7753999999927</v>
      </c>
      <c r="X370" s="2">
        <f>SalesData[[#This Row],[Effective_Unit_Price]]-SalesData[[#This Row],[Unit_Cost]]</f>
        <v>-1011.9546000000068</v>
      </c>
      <c r="Y370" s="2" t="str">
        <f>IF(SalesData[[#This Row],[Effective_Unit_Margin]]&lt;0,"Loss per Unit","Positive per Unit")</f>
        <v>Loss per Unit</v>
      </c>
    </row>
    <row r="371" spans="1:25" x14ac:dyDescent="0.3">
      <c r="A371">
        <v>1093</v>
      </c>
      <c r="B371" s="1">
        <v>45045</v>
      </c>
      <c r="C371" t="s">
        <v>41</v>
      </c>
      <c r="D371" t="s">
        <v>14</v>
      </c>
      <c r="E371">
        <v>34</v>
      </c>
      <c r="F371" t="s">
        <v>25</v>
      </c>
      <c r="G371">
        <v>4201.1099999999997</v>
      </c>
      <c r="H371">
        <v>4436.5</v>
      </c>
      <c r="I371" t="s">
        <v>29</v>
      </c>
      <c r="J371" s="2">
        <v>0.05</v>
      </c>
      <c r="K371" t="s">
        <v>17</v>
      </c>
      <c r="L371" t="s">
        <v>18</v>
      </c>
      <c r="M371" t="s">
        <v>48</v>
      </c>
      <c r="N371">
        <f>SalesData[[#This Row],[Quantity_Sold]]*SalesData[[#This Row],[Unit_Cost]]</f>
        <v>142837.74</v>
      </c>
      <c r="O371">
        <f>SalesData[[#This Row],[Quantity_Sold]]*SalesData[[#This Row],[Unit_Price]]</f>
        <v>150841</v>
      </c>
      <c r="P371">
        <f>SalesData[[#This Row],[Gross_sales]]*(1-SalesData[[#This Row],[Discount]])</f>
        <v>143298.94999999998</v>
      </c>
      <c r="Q371" s="2">
        <f>SalesData[[#This Row],[Sales_amount]]-SalesData[[#This Row],[Total_Cost]]</f>
        <v>461.20999999999185</v>
      </c>
      <c r="R371" s="2">
        <f>SalesData[[#This Row],[Profit]]/SalesData[[#This Row],[Sales_amount]]</f>
        <v>3.2185162557017474E-3</v>
      </c>
      <c r="S371" s="2">
        <f>SalesData[[#This Row],[Unit_Price]]-SalesData[[#This Row],[Unit_Cost]]</f>
        <v>235.39000000000033</v>
      </c>
      <c r="T371" s="10">
        <f>SalesData[[#This Row],[Unit_Margin]]/SalesData[[#This Row],[Unit_Price]]</f>
        <v>5.3057590442916788E-2</v>
      </c>
      <c r="U371" s="2" t="str">
        <f>IF(SalesData[[#This Row],[Unit_Margin]]&lt;0, "Negative margin", "Positive margin")</f>
        <v>Positive margin</v>
      </c>
      <c r="V371" s="2" t="str">
        <f>IF(SalesData[[#This Row],[Profit]]&lt;0, "Loss", "Profit")</f>
        <v>Profit</v>
      </c>
      <c r="W371" s="2">
        <f>SalesData[[#This Row],[Unit_Price]]*(1-SalesData[[#This Row],[Discount]])</f>
        <v>4214.6750000000002</v>
      </c>
      <c r="X371" s="2">
        <f>SalesData[[#This Row],[Effective_Unit_Price]]-SalesData[[#This Row],[Unit_Cost]]</f>
        <v>13.565000000000509</v>
      </c>
      <c r="Y371" s="2" t="str">
        <f>IF(SalesData[[#This Row],[Effective_Unit_Margin]]&lt;0,"Loss per Unit","Positive per Unit")</f>
        <v>Positive per Unit</v>
      </c>
    </row>
    <row r="372" spans="1:25" x14ac:dyDescent="0.3">
      <c r="A372">
        <v>1046</v>
      </c>
      <c r="B372" s="1">
        <v>44946</v>
      </c>
      <c r="C372" t="s">
        <v>37</v>
      </c>
      <c r="D372" t="s">
        <v>33</v>
      </c>
      <c r="E372">
        <v>43</v>
      </c>
      <c r="F372" t="s">
        <v>28</v>
      </c>
      <c r="G372">
        <v>4052.42</v>
      </c>
      <c r="H372">
        <v>4199.3</v>
      </c>
      <c r="I372" t="s">
        <v>29</v>
      </c>
      <c r="J372" s="2">
        <v>0.1</v>
      </c>
      <c r="K372" t="s">
        <v>26</v>
      </c>
      <c r="L372" t="s">
        <v>21</v>
      </c>
      <c r="M372" t="s">
        <v>47</v>
      </c>
      <c r="N372">
        <f>SalesData[[#This Row],[Quantity_Sold]]*SalesData[[#This Row],[Unit_Cost]]</f>
        <v>174254.06</v>
      </c>
      <c r="O372">
        <f>SalesData[[#This Row],[Quantity_Sold]]*SalesData[[#This Row],[Unit_Price]]</f>
        <v>180569.9</v>
      </c>
      <c r="P372">
        <f>SalesData[[#This Row],[Gross_sales]]*(1-SalesData[[#This Row],[Discount]])</f>
        <v>162512.91</v>
      </c>
      <c r="Q372" s="2">
        <f>SalesData[[#This Row],[Sales_amount]]-SalesData[[#This Row],[Total_Cost]]</f>
        <v>-11741.149999999994</v>
      </c>
      <c r="R372" s="2">
        <f>SalesData[[#This Row],[Profit]]/SalesData[[#This Row],[Sales_amount]]</f>
        <v>-7.2247490983947019E-2</v>
      </c>
      <c r="S372" s="2">
        <f>SalesData[[#This Row],[Unit_Price]]-SalesData[[#This Row],[Unit_Cost]]</f>
        <v>146.88000000000011</v>
      </c>
      <c r="T372" s="10">
        <f>SalesData[[#This Row],[Unit_Margin]]/SalesData[[#This Row],[Unit_Price]]</f>
        <v>3.4977258114447671E-2</v>
      </c>
      <c r="U372" s="2" t="str">
        <f>IF(SalesData[[#This Row],[Unit_Margin]]&lt;0, "Negative margin", "Positive margin")</f>
        <v>Positive margin</v>
      </c>
      <c r="V372" s="2" t="str">
        <f>IF(SalesData[[#This Row],[Profit]]&lt;0, "Loss", "Profit")</f>
        <v>Loss</v>
      </c>
      <c r="W372" s="2">
        <f>SalesData[[#This Row],[Unit_Price]]*(1-SalesData[[#This Row],[Discount]])</f>
        <v>3779.3700000000003</v>
      </c>
      <c r="X372" s="2">
        <f>SalesData[[#This Row],[Effective_Unit_Price]]-SalesData[[#This Row],[Unit_Cost]]</f>
        <v>-273.04999999999973</v>
      </c>
      <c r="Y372" s="2" t="str">
        <f>IF(SalesData[[#This Row],[Effective_Unit_Margin]]&lt;0,"Loss per Unit","Positive per Unit")</f>
        <v>Loss per Unit</v>
      </c>
    </row>
    <row r="373" spans="1:25" x14ac:dyDescent="0.3">
      <c r="A373">
        <v>1006</v>
      </c>
      <c r="B373" s="1">
        <v>45187</v>
      </c>
      <c r="C373" t="s">
        <v>23</v>
      </c>
      <c r="D373" t="s">
        <v>20</v>
      </c>
      <c r="E373">
        <v>45</v>
      </c>
      <c r="F373" t="s">
        <v>15</v>
      </c>
      <c r="G373">
        <v>1623.63</v>
      </c>
      <c r="H373">
        <v>1814.63</v>
      </c>
      <c r="I373" t="s">
        <v>29</v>
      </c>
      <c r="J373" s="2">
        <v>0.28999999999999998</v>
      </c>
      <c r="K373" t="s">
        <v>26</v>
      </c>
      <c r="L373" t="s">
        <v>21</v>
      </c>
      <c r="M373" t="s">
        <v>46</v>
      </c>
      <c r="N373">
        <f>SalesData[[#This Row],[Quantity_Sold]]*SalesData[[#This Row],[Unit_Cost]]</f>
        <v>73063.350000000006</v>
      </c>
      <c r="O373">
        <f>SalesData[[#This Row],[Quantity_Sold]]*SalesData[[#This Row],[Unit_Price]]</f>
        <v>81658.350000000006</v>
      </c>
      <c r="P373">
        <f>SalesData[[#This Row],[Gross_sales]]*(1-SalesData[[#This Row],[Discount]])</f>
        <v>57977.428500000002</v>
      </c>
      <c r="Q373" s="2">
        <f>SalesData[[#This Row],[Sales_amount]]-SalesData[[#This Row],[Total_Cost]]</f>
        <v>-15085.921500000004</v>
      </c>
      <c r="R373" s="2">
        <f>SalesData[[#This Row],[Profit]]/SalesData[[#This Row],[Sales_amount]]</f>
        <v>-0.26020335655280058</v>
      </c>
      <c r="S373" s="2">
        <f>SalesData[[#This Row],[Unit_Price]]-SalesData[[#This Row],[Unit_Cost]]</f>
        <v>191</v>
      </c>
      <c r="T373" s="10">
        <f>SalesData[[#This Row],[Unit_Margin]]/SalesData[[#This Row],[Unit_Price]]</f>
        <v>0.10525561684751161</v>
      </c>
      <c r="U373" s="2" t="str">
        <f>IF(SalesData[[#This Row],[Unit_Margin]]&lt;0, "Negative margin", "Positive margin")</f>
        <v>Positive margin</v>
      </c>
      <c r="V373" s="2" t="str">
        <f>IF(SalesData[[#This Row],[Profit]]&lt;0, "Loss", "Profit")</f>
        <v>Loss</v>
      </c>
      <c r="W373" s="2">
        <f>SalesData[[#This Row],[Unit_Price]]*(1-SalesData[[#This Row],[Discount]])</f>
        <v>1288.3873000000001</v>
      </c>
      <c r="X373" s="2">
        <f>SalesData[[#This Row],[Effective_Unit_Price]]-SalesData[[#This Row],[Unit_Cost]]</f>
        <v>-335.24270000000001</v>
      </c>
      <c r="Y373" s="2" t="str">
        <f>IF(SalesData[[#This Row],[Effective_Unit_Margin]]&lt;0,"Loss per Unit","Positive per Unit")</f>
        <v>Loss per Unit</v>
      </c>
    </row>
    <row r="374" spans="1:25" x14ac:dyDescent="0.3">
      <c r="A374">
        <v>1099</v>
      </c>
      <c r="B374" s="1">
        <v>45219</v>
      </c>
      <c r="C374" t="s">
        <v>23</v>
      </c>
      <c r="D374" t="s">
        <v>24</v>
      </c>
      <c r="E374">
        <v>23</v>
      </c>
      <c r="F374" t="s">
        <v>28</v>
      </c>
      <c r="G374">
        <v>93.45</v>
      </c>
      <c r="H374">
        <v>181.62</v>
      </c>
      <c r="I374" t="s">
        <v>16</v>
      </c>
      <c r="J374" s="2">
        <v>0.3</v>
      </c>
      <c r="K374" t="s">
        <v>26</v>
      </c>
      <c r="L374" t="s">
        <v>21</v>
      </c>
      <c r="M374" t="s">
        <v>27</v>
      </c>
      <c r="N374">
        <f>SalesData[[#This Row],[Quantity_Sold]]*SalesData[[#This Row],[Unit_Cost]]</f>
        <v>2149.35</v>
      </c>
      <c r="O374">
        <f>SalesData[[#This Row],[Quantity_Sold]]*SalesData[[#This Row],[Unit_Price]]</f>
        <v>4177.26</v>
      </c>
      <c r="P374">
        <f>SalesData[[#This Row],[Gross_sales]]*(1-SalesData[[#This Row],[Discount]])</f>
        <v>2924.0819999999999</v>
      </c>
      <c r="Q374" s="2">
        <f>SalesData[[#This Row],[Sales_amount]]-SalesData[[#This Row],[Total_Cost]]</f>
        <v>774.73199999999997</v>
      </c>
      <c r="R374" s="2">
        <f>SalesData[[#This Row],[Profit]]/SalesData[[#This Row],[Sales_amount]]</f>
        <v>0.26494879418566236</v>
      </c>
      <c r="S374" s="2">
        <f>SalesData[[#This Row],[Unit_Price]]-SalesData[[#This Row],[Unit_Cost]]</f>
        <v>88.17</v>
      </c>
      <c r="T374" s="10">
        <f>SalesData[[#This Row],[Unit_Margin]]/SalesData[[#This Row],[Unit_Price]]</f>
        <v>0.48546415592996367</v>
      </c>
      <c r="U374" s="2" t="str">
        <f>IF(SalesData[[#This Row],[Unit_Margin]]&lt;0, "Negative margin", "Positive margin")</f>
        <v>Positive margin</v>
      </c>
      <c r="V374" s="2" t="str">
        <f>IF(SalesData[[#This Row],[Profit]]&lt;0, "Loss", "Profit")</f>
        <v>Profit</v>
      </c>
      <c r="W374" s="2">
        <f>SalesData[[#This Row],[Unit_Price]]*(1-SalesData[[#This Row],[Discount]])</f>
        <v>127.134</v>
      </c>
      <c r="X374" s="2">
        <f>SalesData[[#This Row],[Effective_Unit_Price]]-SalesData[[#This Row],[Unit_Cost]]</f>
        <v>33.683999999999997</v>
      </c>
      <c r="Y374" s="2" t="str">
        <f>IF(SalesData[[#This Row],[Effective_Unit_Margin]]&lt;0,"Loss per Unit","Positive per Unit")</f>
        <v>Positive per Unit</v>
      </c>
    </row>
    <row r="375" spans="1:25" x14ac:dyDescent="0.3">
      <c r="A375">
        <v>1037</v>
      </c>
      <c r="B375" s="1">
        <v>45182</v>
      </c>
      <c r="C375" t="s">
        <v>13</v>
      </c>
      <c r="D375" t="s">
        <v>24</v>
      </c>
      <c r="E375">
        <v>5</v>
      </c>
      <c r="F375" t="s">
        <v>15</v>
      </c>
      <c r="G375">
        <v>1941.56</v>
      </c>
      <c r="H375">
        <v>2385.48</v>
      </c>
      <c r="I375" t="s">
        <v>16</v>
      </c>
      <c r="J375" s="2">
        <v>0.15</v>
      </c>
      <c r="K375" t="s">
        <v>30</v>
      </c>
      <c r="L375" t="s">
        <v>18</v>
      </c>
      <c r="M375" t="s">
        <v>31</v>
      </c>
      <c r="N375">
        <f>SalesData[[#This Row],[Quantity_Sold]]*SalesData[[#This Row],[Unit_Cost]]</f>
        <v>9707.7999999999993</v>
      </c>
      <c r="O375">
        <f>SalesData[[#This Row],[Quantity_Sold]]*SalesData[[#This Row],[Unit_Price]]</f>
        <v>11927.4</v>
      </c>
      <c r="P375">
        <f>SalesData[[#This Row],[Gross_sales]]*(1-SalesData[[#This Row],[Discount]])</f>
        <v>10138.289999999999</v>
      </c>
      <c r="Q375" s="2">
        <f>SalesData[[#This Row],[Sales_amount]]-SalesData[[#This Row],[Total_Cost]]</f>
        <v>430.48999999999978</v>
      </c>
      <c r="R375" s="2">
        <f>SalesData[[#This Row],[Profit]]/SalesData[[#This Row],[Sales_amount]]</f>
        <v>4.2461795825528746E-2</v>
      </c>
      <c r="S375" s="2">
        <f>SalesData[[#This Row],[Unit_Price]]-SalesData[[#This Row],[Unit_Cost]]</f>
        <v>443.92000000000007</v>
      </c>
      <c r="T375" s="10">
        <f>SalesData[[#This Row],[Unit_Margin]]/SalesData[[#This Row],[Unit_Price]]</f>
        <v>0.18609252645169946</v>
      </c>
      <c r="U375" s="2" t="str">
        <f>IF(SalesData[[#This Row],[Unit_Margin]]&lt;0, "Negative margin", "Positive margin")</f>
        <v>Positive margin</v>
      </c>
      <c r="V375" s="2" t="str">
        <f>IF(SalesData[[#This Row],[Profit]]&lt;0, "Loss", "Profit")</f>
        <v>Profit</v>
      </c>
      <c r="W375" s="2">
        <f>SalesData[[#This Row],[Unit_Price]]*(1-SalesData[[#This Row],[Discount]])</f>
        <v>2027.6579999999999</v>
      </c>
      <c r="X375" s="2">
        <f>SalesData[[#This Row],[Effective_Unit_Price]]-SalesData[[#This Row],[Unit_Cost]]</f>
        <v>86.097999999999956</v>
      </c>
      <c r="Y375" s="2" t="str">
        <f>IF(SalesData[[#This Row],[Effective_Unit_Margin]]&lt;0,"Loss per Unit","Positive per Unit")</f>
        <v>Positive per Unit</v>
      </c>
    </row>
    <row r="376" spans="1:25" x14ac:dyDescent="0.3">
      <c r="A376">
        <v>1024</v>
      </c>
      <c r="B376" s="1">
        <v>45148</v>
      </c>
      <c r="C376" t="s">
        <v>37</v>
      </c>
      <c r="D376" t="s">
        <v>24</v>
      </c>
      <c r="E376">
        <v>30</v>
      </c>
      <c r="F376" t="s">
        <v>25</v>
      </c>
      <c r="G376">
        <v>1543.96</v>
      </c>
      <c r="H376">
        <v>1558.87</v>
      </c>
      <c r="I376" t="s">
        <v>16</v>
      </c>
      <c r="J376" s="2">
        <v>0.28000000000000003</v>
      </c>
      <c r="K376" t="s">
        <v>30</v>
      </c>
      <c r="L376" t="s">
        <v>18</v>
      </c>
      <c r="M376" t="s">
        <v>38</v>
      </c>
      <c r="N376">
        <f>SalesData[[#This Row],[Quantity_Sold]]*SalesData[[#This Row],[Unit_Cost]]</f>
        <v>46318.8</v>
      </c>
      <c r="O376">
        <f>SalesData[[#This Row],[Quantity_Sold]]*SalesData[[#This Row],[Unit_Price]]</f>
        <v>46766.1</v>
      </c>
      <c r="P376">
        <f>SalesData[[#This Row],[Gross_sales]]*(1-SalesData[[#This Row],[Discount]])</f>
        <v>33671.591999999997</v>
      </c>
      <c r="Q376" s="2">
        <f>SalesData[[#This Row],[Sales_amount]]-SalesData[[#This Row],[Total_Cost]]</f>
        <v>-12647.208000000006</v>
      </c>
      <c r="R376" s="2">
        <f>SalesData[[#This Row],[Profit]]/SalesData[[#This Row],[Sales_amount]]</f>
        <v>-0.37560469371332389</v>
      </c>
      <c r="S376" s="2">
        <f>SalesData[[#This Row],[Unit_Price]]-SalesData[[#This Row],[Unit_Cost]]</f>
        <v>14.909999999999854</v>
      </c>
      <c r="T376" s="10">
        <f>SalesData[[#This Row],[Unit_Margin]]/SalesData[[#This Row],[Unit_Price]]</f>
        <v>9.5646205264068567E-3</v>
      </c>
      <c r="U376" s="2" t="str">
        <f>IF(SalesData[[#This Row],[Unit_Margin]]&lt;0, "Negative margin", "Positive margin")</f>
        <v>Positive margin</v>
      </c>
      <c r="V376" s="2" t="str">
        <f>IF(SalesData[[#This Row],[Profit]]&lt;0, "Loss", "Profit")</f>
        <v>Loss</v>
      </c>
      <c r="W376" s="2">
        <f>SalesData[[#This Row],[Unit_Price]]*(1-SalesData[[#This Row],[Discount]])</f>
        <v>1122.3863999999999</v>
      </c>
      <c r="X376" s="2">
        <f>SalesData[[#This Row],[Effective_Unit_Price]]-SalesData[[#This Row],[Unit_Cost]]</f>
        <v>-421.57360000000017</v>
      </c>
      <c r="Y376" s="2" t="str">
        <f>IF(SalesData[[#This Row],[Effective_Unit_Margin]]&lt;0,"Loss per Unit","Positive per Unit")</f>
        <v>Loss per Unit</v>
      </c>
    </row>
    <row r="377" spans="1:25" x14ac:dyDescent="0.3">
      <c r="A377">
        <v>1093</v>
      </c>
      <c r="B377" s="1">
        <v>45152</v>
      </c>
      <c r="C377" t="s">
        <v>23</v>
      </c>
      <c r="D377" t="s">
        <v>20</v>
      </c>
      <c r="E377">
        <v>6</v>
      </c>
      <c r="F377" t="s">
        <v>25</v>
      </c>
      <c r="G377">
        <v>235.12</v>
      </c>
      <c r="H377">
        <v>677.5</v>
      </c>
      <c r="I377" t="s">
        <v>16</v>
      </c>
      <c r="J377" s="2">
        <v>0.16</v>
      </c>
      <c r="K377" t="s">
        <v>30</v>
      </c>
      <c r="L377" t="s">
        <v>18</v>
      </c>
      <c r="M377" t="s">
        <v>46</v>
      </c>
      <c r="N377">
        <f>SalesData[[#This Row],[Quantity_Sold]]*SalesData[[#This Row],[Unit_Cost]]</f>
        <v>1410.72</v>
      </c>
      <c r="O377">
        <f>SalesData[[#This Row],[Quantity_Sold]]*SalesData[[#This Row],[Unit_Price]]</f>
        <v>4065</v>
      </c>
      <c r="P377">
        <f>SalesData[[#This Row],[Gross_sales]]*(1-SalesData[[#This Row],[Discount]])</f>
        <v>3414.6</v>
      </c>
      <c r="Q377" s="2">
        <f>SalesData[[#This Row],[Sales_amount]]-SalesData[[#This Row],[Total_Cost]]</f>
        <v>2003.8799999999999</v>
      </c>
      <c r="R377" s="2">
        <f>SalesData[[#This Row],[Profit]]/SalesData[[#This Row],[Sales_amount]]</f>
        <v>0.58685643999297132</v>
      </c>
      <c r="S377" s="2">
        <f>SalesData[[#This Row],[Unit_Price]]-SalesData[[#This Row],[Unit_Cost]]</f>
        <v>442.38</v>
      </c>
      <c r="T377" s="10">
        <f>SalesData[[#This Row],[Unit_Margin]]/SalesData[[#This Row],[Unit_Price]]</f>
        <v>0.65295940959409593</v>
      </c>
      <c r="U377" s="2" t="str">
        <f>IF(SalesData[[#This Row],[Unit_Margin]]&lt;0, "Negative margin", "Positive margin")</f>
        <v>Positive margin</v>
      </c>
      <c r="V377" s="2" t="str">
        <f>IF(SalesData[[#This Row],[Profit]]&lt;0, "Loss", "Profit")</f>
        <v>Profit</v>
      </c>
      <c r="W377" s="2">
        <f>SalesData[[#This Row],[Unit_Price]]*(1-SalesData[[#This Row],[Discount]])</f>
        <v>569.1</v>
      </c>
      <c r="X377" s="2">
        <f>SalesData[[#This Row],[Effective_Unit_Price]]-SalesData[[#This Row],[Unit_Cost]]</f>
        <v>333.98</v>
      </c>
      <c r="Y377" s="2" t="str">
        <f>IF(SalesData[[#This Row],[Effective_Unit_Margin]]&lt;0,"Loss per Unit","Positive per Unit")</f>
        <v>Positive per Unit</v>
      </c>
    </row>
    <row r="378" spans="1:25" x14ac:dyDescent="0.3">
      <c r="A378">
        <v>1046</v>
      </c>
      <c r="B378" s="1">
        <v>44979</v>
      </c>
      <c r="C378" t="s">
        <v>41</v>
      </c>
      <c r="D378" t="s">
        <v>24</v>
      </c>
      <c r="E378">
        <v>46</v>
      </c>
      <c r="F378" t="s">
        <v>28</v>
      </c>
      <c r="G378">
        <v>2551.56</v>
      </c>
      <c r="H378">
        <v>2841.68</v>
      </c>
      <c r="I378" t="s">
        <v>29</v>
      </c>
      <c r="J378" s="2">
        <v>0.09</v>
      </c>
      <c r="K378" t="s">
        <v>26</v>
      </c>
      <c r="L378" t="s">
        <v>21</v>
      </c>
      <c r="M378" t="s">
        <v>42</v>
      </c>
      <c r="N378">
        <f>SalesData[[#This Row],[Quantity_Sold]]*SalesData[[#This Row],[Unit_Cost]]</f>
        <v>117371.76</v>
      </c>
      <c r="O378">
        <f>SalesData[[#This Row],[Quantity_Sold]]*SalesData[[#This Row],[Unit_Price]]</f>
        <v>130717.28</v>
      </c>
      <c r="P378">
        <f>SalesData[[#This Row],[Gross_sales]]*(1-SalesData[[#This Row],[Discount]])</f>
        <v>118952.7248</v>
      </c>
      <c r="Q378" s="2">
        <f>SalesData[[#This Row],[Sales_amount]]-SalesData[[#This Row],[Total_Cost]]</f>
        <v>1580.9648000000016</v>
      </c>
      <c r="R378" s="2">
        <f>SalesData[[#This Row],[Profit]]/SalesData[[#This Row],[Sales_amount]]</f>
        <v>1.3290698491002549E-2</v>
      </c>
      <c r="S378" s="2">
        <f>SalesData[[#This Row],[Unit_Price]]-SalesData[[#This Row],[Unit_Cost]]</f>
        <v>290.11999999999989</v>
      </c>
      <c r="T378" s="10">
        <f>SalesData[[#This Row],[Unit_Margin]]/SalesData[[#This Row],[Unit_Price]]</f>
        <v>0.10209453562681227</v>
      </c>
      <c r="U378" s="2" t="str">
        <f>IF(SalesData[[#This Row],[Unit_Margin]]&lt;0, "Negative margin", "Positive margin")</f>
        <v>Positive margin</v>
      </c>
      <c r="V378" s="2" t="str">
        <f>IF(SalesData[[#This Row],[Profit]]&lt;0, "Loss", "Profit")</f>
        <v>Profit</v>
      </c>
      <c r="W378" s="2">
        <f>SalesData[[#This Row],[Unit_Price]]*(1-SalesData[[#This Row],[Discount]])</f>
        <v>2585.9288000000001</v>
      </c>
      <c r="X378" s="2">
        <f>SalesData[[#This Row],[Effective_Unit_Price]]-SalesData[[#This Row],[Unit_Cost]]</f>
        <v>34.368800000000192</v>
      </c>
      <c r="Y378" s="2" t="str">
        <f>IF(SalesData[[#This Row],[Effective_Unit_Margin]]&lt;0,"Loss per Unit","Positive per Unit")</f>
        <v>Positive per Unit</v>
      </c>
    </row>
    <row r="379" spans="1:25" x14ac:dyDescent="0.3">
      <c r="A379">
        <v>1053</v>
      </c>
      <c r="B379" s="1">
        <v>45281</v>
      </c>
      <c r="C379" t="s">
        <v>13</v>
      </c>
      <c r="D379" t="s">
        <v>14</v>
      </c>
      <c r="E379">
        <v>44</v>
      </c>
      <c r="F379" t="s">
        <v>15</v>
      </c>
      <c r="G379">
        <v>2045</v>
      </c>
      <c r="H379">
        <v>2217.5100000000002</v>
      </c>
      <c r="I379" t="s">
        <v>16</v>
      </c>
      <c r="J379" s="2">
        <v>0.08</v>
      </c>
      <c r="K379" t="s">
        <v>30</v>
      </c>
      <c r="L379" t="s">
        <v>18</v>
      </c>
      <c r="M379" t="s">
        <v>19</v>
      </c>
      <c r="N379">
        <f>SalesData[[#This Row],[Quantity_Sold]]*SalesData[[#This Row],[Unit_Cost]]</f>
        <v>89980</v>
      </c>
      <c r="O379">
        <f>SalesData[[#This Row],[Quantity_Sold]]*SalesData[[#This Row],[Unit_Price]]</f>
        <v>97570.44</v>
      </c>
      <c r="P379">
        <f>SalesData[[#This Row],[Gross_sales]]*(1-SalesData[[#This Row],[Discount]])</f>
        <v>89764.804800000013</v>
      </c>
      <c r="Q379" s="2">
        <f>SalesData[[#This Row],[Sales_amount]]-SalesData[[#This Row],[Total_Cost]]</f>
        <v>-215.19519999998738</v>
      </c>
      <c r="R379" s="2">
        <f>SalesData[[#This Row],[Profit]]/SalesData[[#This Row],[Sales_amount]]</f>
        <v>-2.397322653120584E-3</v>
      </c>
      <c r="S379" s="2">
        <f>SalesData[[#This Row],[Unit_Price]]-SalesData[[#This Row],[Unit_Cost]]</f>
        <v>172.51000000000022</v>
      </c>
      <c r="T379" s="10">
        <f>SalesData[[#This Row],[Unit_Margin]]/SalesData[[#This Row],[Unit_Price]]</f>
        <v>7.7794463159129024E-2</v>
      </c>
      <c r="U379" s="2" t="str">
        <f>IF(SalesData[[#This Row],[Unit_Margin]]&lt;0, "Negative margin", "Positive margin")</f>
        <v>Positive margin</v>
      </c>
      <c r="V379" s="2" t="str">
        <f>IF(SalesData[[#This Row],[Profit]]&lt;0, "Loss", "Profit")</f>
        <v>Loss</v>
      </c>
      <c r="W379" s="2">
        <f>SalesData[[#This Row],[Unit_Price]]*(1-SalesData[[#This Row],[Discount]])</f>
        <v>2040.1092000000003</v>
      </c>
      <c r="X379" s="2">
        <f>SalesData[[#This Row],[Effective_Unit_Price]]-SalesData[[#This Row],[Unit_Cost]]</f>
        <v>-4.8907999999996719</v>
      </c>
      <c r="Y379" s="2" t="str">
        <f>IF(SalesData[[#This Row],[Effective_Unit_Margin]]&lt;0,"Loss per Unit","Positive per Unit")</f>
        <v>Loss per Unit</v>
      </c>
    </row>
    <row r="380" spans="1:25" x14ac:dyDescent="0.3">
      <c r="A380">
        <v>1095</v>
      </c>
      <c r="B380" s="1">
        <v>45268</v>
      </c>
      <c r="C380" t="s">
        <v>37</v>
      </c>
      <c r="D380" t="s">
        <v>33</v>
      </c>
      <c r="E380">
        <v>4</v>
      </c>
      <c r="F380" t="s">
        <v>28</v>
      </c>
      <c r="G380">
        <v>3191.05</v>
      </c>
      <c r="H380">
        <v>3555.35</v>
      </c>
      <c r="I380" t="s">
        <v>29</v>
      </c>
      <c r="J380" s="2">
        <v>0.28000000000000003</v>
      </c>
      <c r="K380" t="s">
        <v>30</v>
      </c>
      <c r="L380" t="s">
        <v>18</v>
      </c>
      <c r="M380" t="s">
        <v>47</v>
      </c>
      <c r="N380">
        <f>SalesData[[#This Row],[Quantity_Sold]]*SalesData[[#This Row],[Unit_Cost]]</f>
        <v>12764.2</v>
      </c>
      <c r="O380">
        <f>SalesData[[#This Row],[Quantity_Sold]]*SalesData[[#This Row],[Unit_Price]]</f>
        <v>14221.4</v>
      </c>
      <c r="P380">
        <f>SalesData[[#This Row],[Gross_sales]]*(1-SalesData[[#This Row],[Discount]])</f>
        <v>10239.407999999999</v>
      </c>
      <c r="Q380" s="2">
        <f>SalesData[[#This Row],[Sales_amount]]-SalesData[[#This Row],[Total_Cost]]</f>
        <v>-2524.7920000000013</v>
      </c>
      <c r="R380" s="2">
        <f>SalesData[[#This Row],[Profit]]/SalesData[[#This Row],[Sales_amount]]</f>
        <v>-0.24657597392349259</v>
      </c>
      <c r="S380" s="2">
        <f>SalesData[[#This Row],[Unit_Price]]-SalesData[[#This Row],[Unit_Cost]]</f>
        <v>364.29999999999973</v>
      </c>
      <c r="T380" s="10">
        <f>SalesData[[#This Row],[Unit_Margin]]/SalesData[[#This Row],[Unit_Price]]</f>
        <v>0.10246529877508537</v>
      </c>
      <c r="U380" s="2" t="str">
        <f>IF(SalesData[[#This Row],[Unit_Margin]]&lt;0, "Negative margin", "Positive margin")</f>
        <v>Positive margin</v>
      </c>
      <c r="V380" s="2" t="str">
        <f>IF(SalesData[[#This Row],[Profit]]&lt;0, "Loss", "Profit")</f>
        <v>Loss</v>
      </c>
      <c r="W380" s="2">
        <f>SalesData[[#This Row],[Unit_Price]]*(1-SalesData[[#This Row],[Discount]])</f>
        <v>2559.8519999999999</v>
      </c>
      <c r="X380" s="2">
        <f>SalesData[[#This Row],[Effective_Unit_Price]]-SalesData[[#This Row],[Unit_Cost]]</f>
        <v>-631.19800000000032</v>
      </c>
      <c r="Y380" s="2" t="str">
        <f>IF(SalesData[[#This Row],[Effective_Unit_Margin]]&lt;0,"Loss per Unit","Positive per Unit")</f>
        <v>Loss per Unit</v>
      </c>
    </row>
    <row r="381" spans="1:25" x14ac:dyDescent="0.3">
      <c r="A381">
        <v>1099</v>
      </c>
      <c r="B381" s="1">
        <v>45290</v>
      </c>
      <c r="C381" t="s">
        <v>13</v>
      </c>
      <c r="D381" t="s">
        <v>20</v>
      </c>
      <c r="E381">
        <v>29</v>
      </c>
      <c r="F381" t="s">
        <v>34</v>
      </c>
      <c r="G381">
        <v>3124.87</v>
      </c>
      <c r="H381">
        <v>3383.67</v>
      </c>
      <c r="I381" t="s">
        <v>29</v>
      </c>
      <c r="J381" s="2">
        <v>0.05</v>
      </c>
      <c r="K381" t="s">
        <v>30</v>
      </c>
      <c r="L381" t="s">
        <v>21</v>
      </c>
      <c r="M381" t="s">
        <v>22</v>
      </c>
      <c r="N381">
        <f>SalesData[[#This Row],[Quantity_Sold]]*SalesData[[#This Row],[Unit_Cost]]</f>
        <v>90621.23</v>
      </c>
      <c r="O381">
        <f>SalesData[[#This Row],[Quantity_Sold]]*SalesData[[#This Row],[Unit_Price]]</f>
        <v>98126.430000000008</v>
      </c>
      <c r="P381">
        <f>SalesData[[#This Row],[Gross_sales]]*(1-SalesData[[#This Row],[Discount]])</f>
        <v>93220.108500000002</v>
      </c>
      <c r="Q381" s="2">
        <f>SalesData[[#This Row],[Sales_amount]]-SalesData[[#This Row],[Total_Cost]]</f>
        <v>2598.8785000000062</v>
      </c>
      <c r="R381" s="2">
        <f>SalesData[[#This Row],[Profit]]/SalesData[[#This Row],[Sales_amount]]</f>
        <v>2.7878947383975703E-2</v>
      </c>
      <c r="S381" s="2">
        <f>SalesData[[#This Row],[Unit_Price]]-SalesData[[#This Row],[Unit_Cost]]</f>
        <v>258.80000000000018</v>
      </c>
      <c r="T381" s="10">
        <f>SalesData[[#This Row],[Unit_Margin]]/SalesData[[#This Row],[Unit_Price]]</f>
        <v>7.6485000014776913E-2</v>
      </c>
      <c r="U381" s="2" t="str">
        <f>IF(SalesData[[#This Row],[Unit_Margin]]&lt;0, "Negative margin", "Positive margin")</f>
        <v>Positive margin</v>
      </c>
      <c r="V381" s="2" t="str">
        <f>IF(SalesData[[#This Row],[Profit]]&lt;0, "Loss", "Profit")</f>
        <v>Profit</v>
      </c>
      <c r="W381" s="2">
        <f>SalesData[[#This Row],[Unit_Price]]*(1-SalesData[[#This Row],[Discount]])</f>
        <v>3214.4865</v>
      </c>
      <c r="X381" s="2">
        <f>SalesData[[#This Row],[Effective_Unit_Price]]-SalesData[[#This Row],[Unit_Cost]]</f>
        <v>89.616500000000087</v>
      </c>
      <c r="Y381" s="2" t="str">
        <f>IF(SalesData[[#This Row],[Effective_Unit_Margin]]&lt;0,"Loss per Unit","Positive per Unit")</f>
        <v>Positive per Unit</v>
      </c>
    </row>
    <row r="382" spans="1:25" x14ac:dyDescent="0.3">
      <c r="A382">
        <v>1060</v>
      </c>
      <c r="B382" s="1">
        <v>45206</v>
      </c>
      <c r="C382" t="s">
        <v>41</v>
      </c>
      <c r="D382" t="s">
        <v>24</v>
      </c>
      <c r="E382">
        <v>23</v>
      </c>
      <c r="F382" t="s">
        <v>34</v>
      </c>
      <c r="G382">
        <v>647.70000000000005</v>
      </c>
      <c r="H382">
        <v>902.26</v>
      </c>
      <c r="I382" t="s">
        <v>29</v>
      </c>
      <c r="J382" s="2">
        <v>0.17</v>
      </c>
      <c r="K382" t="s">
        <v>26</v>
      </c>
      <c r="L382" t="s">
        <v>18</v>
      </c>
      <c r="M382" t="s">
        <v>42</v>
      </c>
      <c r="N382">
        <f>SalesData[[#This Row],[Quantity_Sold]]*SalesData[[#This Row],[Unit_Cost]]</f>
        <v>14897.1</v>
      </c>
      <c r="O382">
        <f>SalesData[[#This Row],[Quantity_Sold]]*SalesData[[#This Row],[Unit_Price]]</f>
        <v>20751.98</v>
      </c>
      <c r="P382">
        <f>SalesData[[#This Row],[Gross_sales]]*(1-SalesData[[#This Row],[Discount]])</f>
        <v>17224.143399999997</v>
      </c>
      <c r="Q382" s="2">
        <f>SalesData[[#This Row],[Sales_amount]]-SalesData[[#This Row],[Total_Cost]]</f>
        <v>2327.0433999999968</v>
      </c>
      <c r="R382" s="2">
        <f>SalesData[[#This Row],[Profit]]/SalesData[[#This Row],[Sales_amount]]</f>
        <v>0.13510357792306799</v>
      </c>
      <c r="S382" s="2">
        <f>SalesData[[#This Row],[Unit_Price]]-SalesData[[#This Row],[Unit_Cost]]</f>
        <v>254.55999999999995</v>
      </c>
      <c r="T382" s="10">
        <f>SalesData[[#This Row],[Unit_Margin]]/SalesData[[#This Row],[Unit_Price]]</f>
        <v>0.28213596967614651</v>
      </c>
      <c r="U382" s="2" t="str">
        <f>IF(SalesData[[#This Row],[Unit_Margin]]&lt;0, "Negative margin", "Positive margin")</f>
        <v>Positive margin</v>
      </c>
      <c r="V382" s="2" t="str">
        <f>IF(SalesData[[#This Row],[Profit]]&lt;0, "Loss", "Profit")</f>
        <v>Profit</v>
      </c>
      <c r="W382" s="2">
        <f>SalesData[[#This Row],[Unit_Price]]*(1-SalesData[[#This Row],[Discount]])</f>
        <v>748.87579999999991</v>
      </c>
      <c r="X382" s="2">
        <f>SalesData[[#This Row],[Effective_Unit_Price]]-SalesData[[#This Row],[Unit_Cost]]</f>
        <v>101.17579999999987</v>
      </c>
      <c r="Y382" s="2" t="str">
        <f>IF(SalesData[[#This Row],[Effective_Unit_Margin]]&lt;0,"Loss per Unit","Positive per Unit")</f>
        <v>Positive per Unit</v>
      </c>
    </row>
    <row r="383" spans="1:25" x14ac:dyDescent="0.3">
      <c r="A383">
        <v>1097</v>
      </c>
      <c r="B383" s="1">
        <v>45007</v>
      </c>
      <c r="C383" t="s">
        <v>37</v>
      </c>
      <c r="D383" t="s">
        <v>14</v>
      </c>
      <c r="E383">
        <v>6</v>
      </c>
      <c r="F383" t="s">
        <v>34</v>
      </c>
      <c r="G383">
        <v>4885.9799999999996</v>
      </c>
      <c r="H383">
        <v>4949.95</v>
      </c>
      <c r="I383" t="s">
        <v>16</v>
      </c>
      <c r="J383" s="2">
        <v>0.17</v>
      </c>
      <c r="K383" t="s">
        <v>26</v>
      </c>
      <c r="L383" t="s">
        <v>18</v>
      </c>
      <c r="M383" t="s">
        <v>39</v>
      </c>
      <c r="N383">
        <f>SalesData[[#This Row],[Quantity_Sold]]*SalesData[[#This Row],[Unit_Cost]]</f>
        <v>29315.879999999997</v>
      </c>
      <c r="O383">
        <f>SalesData[[#This Row],[Quantity_Sold]]*SalesData[[#This Row],[Unit_Price]]</f>
        <v>29699.699999999997</v>
      </c>
      <c r="P383">
        <f>SalesData[[#This Row],[Gross_sales]]*(1-SalesData[[#This Row],[Discount]])</f>
        <v>24650.750999999997</v>
      </c>
      <c r="Q383" s="2">
        <f>SalesData[[#This Row],[Sales_amount]]-SalesData[[#This Row],[Total_Cost]]</f>
        <v>-4665.1290000000008</v>
      </c>
      <c r="R383" s="2">
        <f>SalesData[[#This Row],[Profit]]/SalesData[[#This Row],[Sales_amount]]</f>
        <v>-0.1892489604069264</v>
      </c>
      <c r="S383" s="2">
        <f>SalesData[[#This Row],[Unit_Price]]-SalesData[[#This Row],[Unit_Cost]]</f>
        <v>63.970000000000255</v>
      </c>
      <c r="T383" s="10">
        <f>SalesData[[#This Row],[Unit_Margin]]/SalesData[[#This Row],[Unit_Price]]</f>
        <v>1.2923362862251186E-2</v>
      </c>
      <c r="U383" s="2" t="str">
        <f>IF(SalesData[[#This Row],[Unit_Margin]]&lt;0, "Negative margin", "Positive margin")</f>
        <v>Positive margin</v>
      </c>
      <c r="V383" s="2" t="str">
        <f>IF(SalesData[[#This Row],[Profit]]&lt;0, "Loss", "Profit")</f>
        <v>Loss</v>
      </c>
      <c r="W383" s="2">
        <f>SalesData[[#This Row],[Unit_Price]]*(1-SalesData[[#This Row],[Discount]])</f>
        <v>4108.4584999999997</v>
      </c>
      <c r="X383" s="2">
        <f>SalesData[[#This Row],[Effective_Unit_Price]]-SalesData[[#This Row],[Unit_Cost]]</f>
        <v>-777.52149999999983</v>
      </c>
      <c r="Y383" s="2" t="str">
        <f>IF(SalesData[[#This Row],[Effective_Unit_Margin]]&lt;0,"Loss per Unit","Positive per Unit")</f>
        <v>Loss per Unit</v>
      </c>
    </row>
    <row r="384" spans="1:25" x14ac:dyDescent="0.3">
      <c r="A384">
        <v>1063</v>
      </c>
      <c r="B384" s="1">
        <v>45128</v>
      </c>
      <c r="C384" t="s">
        <v>13</v>
      </c>
      <c r="D384" t="s">
        <v>33</v>
      </c>
      <c r="E384">
        <v>32</v>
      </c>
      <c r="F384" t="s">
        <v>34</v>
      </c>
      <c r="G384">
        <v>975.31</v>
      </c>
      <c r="H384">
        <v>1176.17</v>
      </c>
      <c r="I384" t="s">
        <v>29</v>
      </c>
      <c r="J384" s="2">
        <v>0.22</v>
      </c>
      <c r="K384" t="s">
        <v>26</v>
      </c>
      <c r="L384" t="s">
        <v>21</v>
      </c>
      <c r="M384" t="s">
        <v>45</v>
      </c>
      <c r="N384">
        <f>SalesData[[#This Row],[Quantity_Sold]]*SalesData[[#This Row],[Unit_Cost]]</f>
        <v>31209.919999999998</v>
      </c>
      <c r="O384">
        <f>SalesData[[#This Row],[Quantity_Sold]]*SalesData[[#This Row],[Unit_Price]]</f>
        <v>37637.440000000002</v>
      </c>
      <c r="P384">
        <f>SalesData[[#This Row],[Gross_sales]]*(1-SalesData[[#This Row],[Discount]])</f>
        <v>29357.203200000004</v>
      </c>
      <c r="Q384" s="2">
        <f>SalesData[[#This Row],[Sales_amount]]-SalesData[[#This Row],[Total_Cost]]</f>
        <v>-1852.7167999999947</v>
      </c>
      <c r="R384" s="2">
        <f>SalesData[[#This Row],[Profit]]/SalesData[[#This Row],[Sales_amount]]</f>
        <v>-6.3109444976011689E-2</v>
      </c>
      <c r="S384" s="2">
        <f>SalesData[[#This Row],[Unit_Price]]-SalesData[[#This Row],[Unit_Cost]]</f>
        <v>200.86000000000013</v>
      </c>
      <c r="T384" s="10">
        <f>SalesData[[#This Row],[Unit_Margin]]/SalesData[[#This Row],[Unit_Price]]</f>
        <v>0.17077463291871084</v>
      </c>
      <c r="U384" s="2" t="str">
        <f>IF(SalesData[[#This Row],[Unit_Margin]]&lt;0, "Negative margin", "Positive margin")</f>
        <v>Positive margin</v>
      </c>
      <c r="V384" s="2" t="str">
        <f>IF(SalesData[[#This Row],[Profit]]&lt;0, "Loss", "Profit")</f>
        <v>Loss</v>
      </c>
      <c r="W384" s="2">
        <f>SalesData[[#This Row],[Unit_Price]]*(1-SalesData[[#This Row],[Discount]])</f>
        <v>917.41260000000011</v>
      </c>
      <c r="X384" s="2">
        <f>SalesData[[#This Row],[Effective_Unit_Price]]-SalesData[[#This Row],[Unit_Cost]]</f>
        <v>-57.897399999999834</v>
      </c>
      <c r="Y384" s="2" t="str">
        <f>IF(SalesData[[#This Row],[Effective_Unit_Margin]]&lt;0,"Loss per Unit","Positive per Unit")</f>
        <v>Loss per Unit</v>
      </c>
    </row>
    <row r="385" spans="1:25" x14ac:dyDescent="0.3">
      <c r="A385">
        <v>1085</v>
      </c>
      <c r="B385" s="1">
        <v>45084</v>
      </c>
      <c r="C385" t="s">
        <v>32</v>
      </c>
      <c r="D385" t="s">
        <v>33</v>
      </c>
      <c r="E385">
        <v>42</v>
      </c>
      <c r="F385" t="s">
        <v>28</v>
      </c>
      <c r="G385">
        <v>2254.11</v>
      </c>
      <c r="H385">
        <v>2382.23</v>
      </c>
      <c r="I385" t="s">
        <v>16</v>
      </c>
      <c r="J385" s="2">
        <v>0.15</v>
      </c>
      <c r="K385" t="s">
        <v>30</v>
      </c>
      <c r="L385" t="s">
        <v>21</v>
      </c>
      <c r="M385" t="s">
        <v>35</v>
      </c>
      <c r="N385">
        <f>SalesData[[#This Row],[Quantity_Sold]]*SalesData[[#This Row],[Unit_Cost]]</f>
        <v>94672.62000000001</v>
      </c>
      <c r="O385">
        <f>SalesData[[#This Row],[Quantity_Sold]]*SalesData[[#This Row],[Unit_Price]]</f>
        <v>100053.66</v>
      </c>
      <c r="P385">
        <f>SalesData[[#This Row],[Gross_sales]]*(1-SalesData[[#This Row],[Discount]])</f>
        <v>85045.611000000004</v>
      </c>
      <c r="Q385" s="2">
        <f>SalesData[[#This Row],[Sales_amount]]-SalesData[[#This Row],[Total_Cost]]</f>
        <v>-9627.0090000000055</v>
      </c>
      <c r="R385" s="2">
        <f>SalesData[[#This Row],[Profit]]/SalesData[[#This Row],[Sales_amount]]</f>
        <v>-0.11319818726447864</v>
      </c>
      <c r="S385" s="2">
        <f>SalesData[[#This Row],[Unit_Price]]-SalesData[[#This Row],[Unit_Cost]]</f>
        <v>128.11999999999989</v>
      </c>
      <c r="T385" s="10">
        <f>SalesData[[#This Row],[Unit_Margin]]/SalesData[[#This Row],[Unit_Price]]</f>
        <v>5.3781540825193153E-2</v>
      </c>
      <c r="U385" s="2" t="str">
        <f>IF(SalesData[[#This Row],[Unit_Margin]]&lt;0, "Negative margin", "Positive margin")</f>
        <v>Positive margin</v>
      </c>
      <c r="V385" s="2" t="str">
        <f>IF(SalesData[[#This Row],[Profit]]&lt;0, "Loss", "Profit")</f>
        <v>Loss</v>
      </c>
      <c r="W385" s="2">
        <f>SalesData[[#This Row],[Unit_Price]]*(1-SalesData[[#This Row],[Discount]])</f>
        <v>2024.8954999999999</v>
      </c>
      <c r="X385" s="2">
        <f>SalesData[[#This Row],[Effective_Unit_Price]]-SalesData[[#This Row],[Unit_Cost]]</f>
        <v>-229.21450000000027</v>
      </c>
      <c r="Y385" s="2" t="str">
        <f>IF(SalesData[[#This Row],[Effective_Unit_Margin]]&lt;0,"Loss per Unit","Positive per Unit")</f>
        <v>Loss per Unit</v>
      </c>
    </row>
    <row r="386" spans="1:25" x14ac:dyDescent="0.3">
      <c r="A386">
        <v>1032</v>
      </c>
      <c r="B386" s="1">
        <v>45046</v>
      </c>
      <c r="C386" t="s">
        <v>41</v>
      </c>
      <c r="D386" t="s">
        <v>20</v>
      </c>
      <c r="E386">
        <v>18</v>
      </c>
      <c r="F386" t="s">
        <v>34</v>
      </c>
      <c r="G386">
        <v>2466.1799999999998</v>
      </c>
      <c r="H386">
        <v>2483.87</v>
      </c>
      <c r="I386" t="s">
        <v>16</v>
      </c>
      <c r="J386" s="2">
        <v>0.08</v>
      </c>
      <c r="K386" t="s">
        <v>17</v>
      </c>
      <c r="L386" t="s">
        <v>18</v>
      </c>
      <c r="M386" t="s">
        <v>50</v>
      </c>
      <c r="N386">
        <f>SalesData[[#This Row],[Quantity_Sold]]*SalesData[[#This Row],[Unit_Cost]]</f>
        <v>44391.24</v>
      </c>
      <c r="O386">
        <f>SalesData[[#This Row],[Quantity_Sold]]*SalesData[[#This Row],[Unit_Price]]</f>
        <v>44709.659999999996</v>
      </c>
      <c r="P386">
        <f>SalesData[[#This Row],[Gross_sales]]*(1-SalesData[[#This Row],[Discount]])</f>
        <v>41132.887199999997</v>
      </c>
      <c r="Q386" s="2">
        <f>SalesData[[#This Row],[Sales_amount]]-SalesData[[#This Row],[Total_Cost]]</f>
        <v>-3258.3528000000006</v>
      </c>
      <c r="R386" s="2">
        <f>SalesData[[#This Row],[Profit]]/SalesData[[#This Row],[Sales_amount]]</f>
        <v>-7.9215270840506447E-2</v>
      </c>
      <c r="S386" s="2">
        <f>SalesData[[#This Row],[Unit_Price]]-SalesData[[#This Row],[Unit_Cost]]</f>
        <v>17.690000000000055</v>
      </c>
      <c r="T386" s="10">
        <f>SalesData[[#This Row],[Unit_Margin]]/SalesData[[#This Row],[Unit_Price]]</f>
        <v>7.121950826734111E-3</v>
      </c>
      <c r="U386" s="2" t="str">
        <f>IF(SalesData[[#This Row],[Unit_Margin]]&lt;0, "Negative margin", "Positive margin")</f>
        <v>Positive margin</v>
      </c>
      <c r="V386" s="2" t="str">
        <f>IF(SalesData[[#This Row],[Profit]]&lt;0, "Loss", "Profit")</f>
        <v>Loss</v>
      </c>
      <c r="W386" s="2">
        <f>SalesData[[#This Row],[Unit_Price]]*(1-SalesData[[#This Row],[Discount]])</f>
        <v>2285.1604000000002</v>
      </c>
      <c r="X386" s="2">
        <f>SalesData[[#This Row],[Effective_Unit_Price]]-SalesData[[#This Row],[Unit_Cost]]</f>
        <v>-181.01959999999963</v>
      </c>
      <c r="Y386" s="2" t="str">
        <f>IF(SalesData[[#This Row],[Effective_Unit_Margin]]&lt;0,"Loss per Unit","Positive per Unit")</f>
        <v>Loss per Unit</v>
      </c>
    </row>
    <row r="387" spans="1:25" x14ac:dyDescent="0.3">
      <c r="A387">
        <v>1087</v>
      </c>
      <c r="B387" s="1">
        <v>44985</v>
      </c>
      <c r="C387" t="s">
        <v>41</v>
      </c>
      <c r="D387" t="s">
        <v>20</v>
      </c>
      <c r="E387">
        <v>15</v>
      </c>
      <c r="F387" t="s">
        <v>15</v>
      </c>
      <c r="G387">
        <v>4074.66</v>
      </c>
      <c r="H387">
        <v>4261.1099999999997</v>
      </c>
      <c r="I387" t="s">
        <v>16</v>
      </c>
      <c r="J387" s="2">
        <v>0.05</v>
      </c>
      <c r="K387" t="s">
        <v>30</v>
      </c>
      <c r="L387" t="s">
        <v>21</v>
      </c>
      <c r="M387" t="s">
        <v>50</v>
      </c>
      <c r="N387">
        <f>SalesData[[#This Row],[Quantity_Sold]]*SalesData[[#This Row],[Unit_Cost]]</f>
        <v>61119.899999999994</v>
      </c>
      <c r="O387">
        <f>SalesData[[#This Row],[Quantity_Sold]]*SalesData[[#This Row],[Unit_Price]]</f>
        <v>63916.649999999994</v>
      </c>
      <c r="P387">
        <f>SalesData[[#This Row],[Gross_sales]]*(1-SalesData[[#This Row],[Discount]])</f>
        <v>60720.81749999999</v>
      </c>
      <c r="Q387" s="2">
        <f>SalesData[[#This Row],[Sales_amount]]-SalesData[[#This Row],[Total_Cost]]</f>
        <v>-399.08250000000407</v>
      </c>
      <c r="R387" s="2">
        <f>SalesData[[#This Row],[Profit]]/SalesData[[#This Row],[Sales_amount]]</f>
        <v>-6.5724164533852688E-3</v>
      </c>
      <c r="S387" s="2">
        <f>SalesData[[#This Row],[Unit_Price]]-SalesData[[#This Row],[Unit_Cost]]</f>
        <v>186.44999999999982</v>
      </c>
      <c r="T387" s="10">
        <f>SalesData[[#This Row],[Unit_Margin]]/SalesData[[#This Row],[Unit_Price]]</f>
        <v>4.375620436928402E-2</v>
      </c>
      <c r="U387" s="2" t="str">
        <f>IF(SalesData[[#This Row],[Unit_Margin]]&lt;0, "Negative margin", "Positive margin")</f>
        <v>Positive margin</v>
      </c>
      <c r="V387" s="2" t="str">
        <f>IF(SalesData[[#This Row],[Profit]]&lt;0, "Loss", "Profit")</f>
        <v>Loss</v>
      </c>
      <c r="W387" s="2">
        <f>SalesData[[#This Row],[Unit_Price]]*(1-SalesData[[#This Row],[Discount]])</f>
        <v>4048.0544999999993</v>
      </c>
      <c r="X387" s="2">
        <f>SalesData[[#This Row],[Effective_Unit_Price]]-SalesData[[#This Row],[Unit_Cost]]</f>
        <v>-26.605500000000575</v>
      </c>
      <c r="Y387" s="2" t="str">
        <f>IF(SalesData[[#This Row],[Effective_Unit_Margin]]&lt;0,"Loss per Unit","Positive per Unit")</f>
        <v>Loss per Unit</v>
      </c>
    </row>
    <row r="388" spans="1:25" x14ac:dyDescent="0.3">
      <c r="A388">
        <v>1033</v>
      </c>
      <c r="B388" s="1">
        <v>45141</v>
      </c>
      <c r="C388" t="s">
        <v>41</v>
      </c>
      <c r="D388" t="s">
        <v>20</v>
      </c>
      <c r="E388">
        <v>40</v>
      </c>
      <c r="F388" t="s">
        <v>25</v>
      </c>
      <c r="G388">
        <v>541.19000000000005</v>
      </c>
      <c r="H388">
        <v>595.20000000000005</v>
      </c>
      <c r="I388" t="s">
        <v>16</v>
      </c>
      <c r="J388" s="2">
        <v>0.19</v>
      </c>
      <c r="K388" t="s">
        <v>30</v>
      </c>
      <c r="L388" t="s">
        <v>18</v>
      </c>
      <c r="M388" t="s">
        <v>50</v>
      </c>
      <c r="N388">
        <f>SalesData[[#This Row],[Quantity_Sold]]*SalesData[[#This Row],[Unit_Cost]]</f>
        <v>21647.600000000002</v>
      </c>
      <c r="O388">
        <f>SalesData[[#This Row],[Quantity_Sold]]*SalesData[[#This Row],[Unit_Price]]</f>
        <v>23808</v>
      </c>
      <c r="P388">
        <f>SalesData[[#This Row],[Gross_sales]]*(1-SalesData[[#This Row],[Discount]])</f>
        <v>19284.48</v>
      </c>
      <c r="Q388" s="2">
        <f>SalesData[[#This Row],[Sales_amount]]-SalesData[[#This Row],[Total_Cost]]</f>
        <v>-2363.1200000000026</v>
      </c>
      <c r="R388" s="2">
        <f>SalesData[[#This Row],[Profit]]/SalesData[[#This Row],[Sales_amount]]</f>
        <v>-0.12253999070755357</v>
      </c>
      <c r="S388" s="2">
        <f>SalesData[[#This Row],[Unit_Price]]-SalesData[[#This Row],[Unit_Cost]]</f>
        <v>54.009999999999991</v>
      </c>
      <c r="T388" s="10">
        <f>SalesData[[#This Row],[Unit_Margin]]/SalesData[[#This Row],[Unit_Price]]</f>
        <v>9.0742607526881694E-2</v>
      </c>
      <c r="U388" s="2" t="str">
        <f>IF(SalesData[[#This Row],[Unit_Margin]]&lt;0, "Negative margin", "Positive margin")</f>
        <v>Positive margin</v>
      </c>
      <c r="V388" s="2" t="str">
        <f>IF(SalesData[[#This Row],[Profit]]&lt;0, "Loss", "Profit")</f>
        <v>Loss</v>
      </c>
      <c r="W388" s="2">
        <f>SalesData[[#This Row],[Unit_Price]]*(1-SalesData[[#This Row],[Discount]])</f>
        <v>482.11200000000008</v>
      </c>
      <c r="X388" s="2">
        <f>SalesData[[#This Row],[Effective_Unit_Price]]-SalesData[[#This Row],[Unit_Cost]]</f>
        <v>-59.077999999999975</v>
      </c>
      <c r="Y388" s="2" t="str">
        <f>IF(SalesData[[#This Row],[Effective_Unit_Margin]]&lt;0,"Loss per Unit","Positive per Unit")</f>
        <v>Loss per Unit</v>
      </c>
    </row>
    <row r="389" spans="1:25" x14ac:dyDescent="0.3">
      <c r="A389">
        <v>1067</v>
      </c>
      <c r="B389" s="1">
        <v>45054</v>
      </c>
      <c r="C389" t="s">
        <v>32</v>
      </c>
      <c r="D389" t="s">
        <v>14</v>
      </c>
      <c r="E389">
        <v>32</v>
      </c>
      <c r="F389" t="s">
        <v>25</v>
      </c>
      <c r="G389">
        <v>2171.79</v>
      </c>
      <c r="H389">
        <v>2307.64</v>
      </c>
      <c r="I389" t="s">
        <v>16</v>
      </c>
      <c r="J389" s="2">
        <v>0.22</v>
      </c>
      <c r="K389" t="s">
        <v>26</v>
      </c>
      <c r="L389" t="s">
        <v>18</v>
      </c>
      <c r="M389" t="s">
        <v>52</v>
      </c>
      <c r="N389">
        <f>SalesData[[#This Row],[Quantity_Sold]]*SalesData[[#This Row],[Unit_Cost]]</f>
        <v>69497.279999999999</v>
      </c>
      <c r="O389">
        <f>SalesData[[#This Row],[Quantity_Sold]]*SalesData[[#This Row],[Unit_Price]]</f>
        <v>73844.479999999996</v>
      </c>
      <c r="P389">
        <f>SalesData[[#This Row],[Gross_sales]]*(1-SalesData[[#This Row],[Discount]])</f>
        <v>57598.6944</v>
      </c>
      <c r="Q389" s="2">
        <f>SalesData[[#This Row],[Sales_amount]]-SalesData[[#This Row],[Total_Cost]]</f>
        <v>-11898.585599999999</v>
      </c>
      <c r="R389" s="2">
        <f>SalesData[[#This Row],[Profit]]/SalesData[[#This Row],[Sales_amount]]</f>
        <v>-0.20657734908657926</v>
      </c>
      <c r="S389" s="2">
        <f>SalesData[[#This Row],[Unit_Price]]-SalesData[[#This Row],[Unit_Cost]]</f>
        <v>135.84999999999991</v>
      </c>
      <c r="T389" s="10">
        <f>SalesData[[#This Row],[Unit_Margin]]/SalesData[[#This Row],[Unit_Price]]</f>
        <v>5.8869667712468113E-2</v>
      </c>
      <c r="U389" s="2" t="str">
        <f>IF(SalesData[[#This Row],[Unit_Margin]]&lt;0, "Negative margin", "Positive margin")</f>
        <v>Positive margin</v>
      </c>
      <c r="V389" s="2" t="str">
        <f>IF(SalesData[[#This Row],[Profit]]&lt;0, "Loss", "Profit")</f>
        <v>Loss</v>
      </c>
      <c r="W389" s="2">
        <f>SalesData[[#This Row],[Unit_Price]]*(1-SalesData[[#This Row],[Discount]])</f>
        <v>1799.9592</v>
      </c>
      <c r="X389" s="2">
        <f>SalesData[[#This Row],[Effective_Unit_Price]]-SalesData[[#This Row],[Unit_Cost]]</f>
        <v>-371.83079999999995</v>
      </c>
      <c r="Y389" s="2" t="str">
        <f>IF(SalesData[[#This Row],[Effective_Unit_Margin]]&lt;0,"Loss per Unit","Positive per Unit")</f>
        <v>Loss per Unit</v>
      </c>
    </row>
    <row r="390" spans="1:25" x14ac:dyDescent="0.3">
      <c r="A390">
        <v>1018</v>
      </c>
      <c r="B390" s="1">
        <v>45150</v>
      </c>
      <c r="C390" t="s">
        <v>32</v>
      </c>
      <c r="D390" t="s">
        <v>14</v>
      </c>
      <c r="E390">
        <v>9</v>
      </c>
      <c r="F390" t="s">
        <v>34</v>
      </c>
      <c r="G390">
        <v>3161.09</v>
      </c>
      <c r="H390">
        <v>3216.42</v>
      </c>
      <c r="I390" t="s">
        <v>29</v>
      </c>
      <c r="J390" s="2">
        <v>0.17</v>
      </c>
      <c r="K390" t="s">
        <v>26</v>
      </c>
      <c r="L390" t="s">
        <v>18</v>
      </c>
      <c r="M390" t="s">
        <v>52</v>
      </c>
      <c r="N390">
        <f>SalesData[[#This Row],[Quantity_Sold]]*SalesData[[#This Row],[Unit_Cost]]</f>
        <v>28449.81</v>
      </c>
      <c r="O390">
        <f>SalesData[[#This Row],[Quantity_Sold]]*SalesData[[#This Row],[Unit_Price]]</f>
        <v>28947.78</v>
      </c>
      <c r="P390">
        <f>SalesData[[#This Row],[Gross_sales]]*(1-SalesData[[#This Row],[Discount]])</f>
        <v>24026.657399999996</v>
      </c>
      <c r="Q390" s="2">
        <f>SalesData[[#This Row],[Sales_amount]]-SalesData[[#This Row],[Total_Cost]]</f>
        <v>-4423.1526000000049</v>
      </c>
      <c r="R390" s="2">
        <f>SalesData[[#This Row],[Profit]]/SalesData[[#This Row],[Sales_amount]]</f>
        <v>-0.18409354769423755</v>
      </c>
      <c r="S390" s="2">
        <f>SalesData[[#This Row],[Unit_Price]]-SalesData[[#This Row],[Unit_Cost]]</f>
        <v>55.329999999999927</v>
      </c>
      <c r="T390" s="10">
        <f>SalesData[[#This Row],[Unit_Margin]]/SalesData[[#This Row],[Unit_Price]]</f>
        <v>1.7202355413783003E-2</v>
      </c>
      <c r="U390" s="2" t="str">
        <f>IF(SalesData[[#This Row],[Unit_Margin]]&lt;0, "Negative margin", "Positive margin")</f>
        <v>Positive margin</v>
      </c>
      <c r="V390" s="2" t="str">
        <f>IF(SalesData[[#This Row],[Profit]]&lt;0, "Loss", "Profit")</f>
        <v>Loss</v>
      </c>
      <c r="W390" s="2">
        <f>SalesData[[#This Row],[Unit_Price]]*(1-SalesData[[#This Row],[Discount]])</f>
        <v>2669.6286</v>
      </c>
      <c r="X390" s="2">
        <f>SalesData[[#This Row],[Effective_Unit_Price]]-SalesData[[#This Row],[Unit_Cost]]</f>
        <v>-491.46140000000014</v>
      </c>
      <c r="Y390" s="2" t="str">
        <f>IF(SalesData[[#This Row],[Effective_Unit_Margin]]&lt;0,"Loss per Unit","Positive per Unit")</f>
        <v>Loss per Unit</v>
      </c>
    </row>
    <row r="391" spans="1:25" x14ac:dyDescent="0.3">
      <c r="A391">
        <v>1025</v>
      </c>
      <c r="B391" s="1">
        <v>45135</v>
      </c>
      <c r="C391" t="s">
        <v>23</v>
      </c>
      <c r="D391" t="s">
        <v>20</v>
      </c>
      <c r="E391">
        <v>37</v>
      </c>
      <c r="F391" t="s">
        <v>34</v>
      </c>
      <c r="G391">
        <v>1115.02</v>
      </c>
      <c r="H391">
        <v>1174.48</v>
      </c>
      <c r="I391" t="s">
        <v>29</v>
      </c>
      <c r="J391" s="2">
        <v>0.22</v>
      </c>
      <c r="K391" t="s">
        <v>30</v>
      </c>
      <c r="L391" t="s">
        <v>18</v>
      </c>
      <c r="M391" t="s">
        <v>46</v>
      </c>
      <c r="N391">
        <f>SalesData[[#This Row],[Quantity_Sold]]*SalesData[[#This Row],[Unit_Cost]]</f>
        <v>41255.74</v>
      </c>
      <c r="O391">
        <f>SalesData[[#This Row],[Quantity_Sold]]*SalesData[[#This Row],[Unit_Price]]</f>
        <v>43455.76</v>
      </c>
      <c r="P391">
        <f>SalesData[[#This Row],[Gross_sales]]*(1-SalesData[[#This Row],[Discount]])</f>
        <v>33895.4928</v>
      </c>
      <c r="Q391" s="2">
        <f>SalesData[[#This Row],[Sales_amount]]-SalesData[[#This Row],[Total_Cost]]</f>
        <v>-7360.247199999998</v>
      </c>
      <c r="R391" s="2">
        <f>SalesData[[#This Row],[Profit]]/SalesData[[#This Row],[Sales_amount]]</f>
        <v>-0.21714530729584194</v>
      </c>
      <c r="S391" s="2">
        <f>SalesData[[#This Row],[Unit_Price]]-SalesData[[#This Row],[Unit_Cost]]</f>
        <v>59.460000000000036</v>
      </c>
      <c r="T391" s="10">
        <f>SalesData[[#This Row],[Unit_Margin]]/SalesData[[#This Row],[Unit_Price]]</f>
        <v>5.0626660309243267E-2</v>
      </c>
      <c r="U391" s="2" t="str">
        <f>IF(SalesData[[#This Row],[Unit_Margin]]&lt;0, "Negative margin", "Positive margin")</f>
        <v>Positive margin</v>
      </c>
      <c r="V391" s="2" t="str">
        <f>IF(SalesData[[#This Row],[Profit]]&lt;0, "Loss", "Profit")</f>
        <v>Loss</v>
      </c>
      <c r="W391" s="2">
        <f>SalesData[[#This Row],[Unit_Price]]*(1-SalesData[[#This Row],[Discount]])</f>
        <v>916.09440000000006</v>
      </c>
      <c r="X391" s="2">
        <f>SalesData[[#This Row],[Effective_Unit_Price]]-SalesData[[#This Row],[Unit_Cost]]</f>
        <v>-198.92559999999992</v>
      </c>
      <c r="Y391" s="2" t="str">
        <f>IF(SalesData[[#This Row],[Effective_Unit_Margin]]&lt;0,"Loss per Unit","Positive per Unit")</f>
        <v>Loss per Unit</v>
      </c>
    </row>
    <row r="392" spans="1:25" x14ac:dyDescent="0.3">
      <c r="A392">
        <v>1095</v>
      </c>
      <c r="B392" s="1">
        <v>45041</v>
      </c>
      <c r="C392" t="s">
        <v>13</v>
      </c>
      <c r="D392" t="s">
        <v>24</v>
      </c>
      <c r="E392">
        <v>10</v>
      </c>
      <c r="F392" t="s">
        <v>34</v>
      </c>
      <c r="G392">
        <v>3155.97</v>
      </c>
      <c r="H392">
        <v>3263.49</v>
      </c>
      <c r="I392" t="s">
        <v>16</v>
      </c>
      <c r="J392" s="2">
        <v>0.04</v>
      </c>
      <c r="K392" t="s">
        <v>30</v>
      </c>
      <c r="L392" t="s">
        <v>18</v>
      </c>
      <c r="M392" t="s">
        <v>31</v>
      </c>
      <c r="N392">
        <f>SalesData[[#This Row],[Quantity_Sold]]*SalesData[[#This Row],[Unit_Cost]]</f>
        <v>31559.699999999997</v>
      </c>
      <c r="O392">
        <f>SalesData[[#This Row],[Quantity_Sold]]*SalesData[[#This Row],[Unit_Price]]</f>
        <v>32634.899999999998</v>
      </c>
      <c r="P392">
        <f>SalesData[[#This Row],[Gross_sales]]*(1-SalesData[[#This Row],[Discount]])</f>
        <v>31329.503999999997</v>
      </c>
      <c r="Q392" s="2">
        <f>SalesData[[#This Row],[Sales_amount]]-SalesData[[#This Row],[Total_Cost]]</f>
        <v>-230.19599999999991</v>
      </c>
      <c r="R392" s="2">
        <f>SalesData[[#This Row],[Profit]]/SalesData[[#This Row],[Sales_amount]]</f>
        <v>-7.3475788189943875E-3</v>
      </c>
      <c r="S392" s="2">
        <f>SalesData[[#This Row],[Unit_Price]]-SalesData[[#This Row],[Unit_Cost]]</f>
        <v>107.51999999999998</v>
      </c>
      <c r="T392" s="10">
        <f>SalesData[[#This Row],[Unit_Margin]]/SalesData[[#This Row],[Unit_Price]]</f>
        <v>3.2946324333765382E-2</v>
      </c>
      <c r="U392" s="2" t="str">
        <f>IF(SalesData[[#This Row],[Unit_Margin]]&lt;0, "Negative margin", "Positive margin")</f>
        <v>Positive margin</v>
      </c>
      <c r="V392" s="2" t="str">
        <f>IF(SalesData[[#This Row],[Profit]]&lt;0, "Loss", "Profit")</f>
        <v>Loss</v>
      </c>
      <c r="W392" s="2">
        <f>SalesData[[#This Row],[Unit_Price]]*(1-SalesData[[#This Row],[Discount]])</f>
        <v>3132.9503999999997</v>
      </c>
      <c r="X392" s="2">
        <f>SalesData[[#This Row],[Effective_Unit_Price]]-SalesData[[#This Row],[Unit_Cost]]</f>
        <v>-23.019600000000082</v>
      </c>
      <c r="Y392" s="2" t="str">
        <f>IF(SalesData[[#This Row],[Effective_Unit_Margin]]&lt;0,"Loss per Unit","Positive per Unit")</f>
        <v>Loss per Unit</v>
      </c>
    </row>
    <row r="393" spans="1:25" x14ac:dyDescent="0.3">
      <c r="A393">
        <v>1054</v>
      </c>
      <c r="B393" s="1">
        <v>45135</v>
      </c>
      <c r="C393" t="s">
        <v>23</v>
      </c>
      <c r="D393" t="s">
        <v>33</v>
      </c>
      <c r="E393">
        <v>20</v>
      </c>
      <c r="F393" t="s">
        <v>28</v>
      </c>
      <c r="G393">
        <v>4622.1400000000003</v>
      </c>
      <c r="H393">
        <v>5122.07</v>
      </c>
      <c r="I393" t="s">
        <v>29</v>
      </c>
      <c r="J393" s="2">
        <v>0.26</v>
      </c>
      <c r="K393" t="s">
        <v>17</v>
      </c>
      <c r="L393" t="s">
        <v>21</v>
      </c>
      <c r="M393" t="s">
        <v>49</v>
      </c>
      <c r="N393">
        <f>SalesData[[#This Row],[Quantity_Sold]]*SalesData[[#This Row],[Unit_Cost]]</f>
        <v>92442.8</v>
      </c>
      <c r="O393">
        <f>SalesData[[#This Row],[Quantity_Sold]]*SalesData[[#This Row],[Unit_Price]]</f>
        <v>102441.4</v>
      </c>
      <c r="P393">
        <f>SalesData[[#This Row],[Gross_sales]]*(1-SalesData[[#This Row],[Discount]])</f>
        <v>75806.635999999999</v>
      </c>
      <c r="Q393" s="2">
        <f>SalesData[[#This Row],[Sales_amount]]-SalesData[[#This Row],[Total_Cost]]</f>
        <v>-16636.164000000004</v>
      </c>
      <c r="R393" s="2">
        <f>SalesData[[#This Row],[Profit]]/SalesData[[#This Row],[Sales_amount]]</f>
        <v>-0.21945524663566399</v>
      </c>
      <c r="S393" s="2">
        <f>SalesData[[#This Row],[Unit_Price]]-SalesData[[#This Row],[Unit_Cost]]</f>
        <v>499.92999999999938</v>
      </c>
      <c r="T393" s="10">
        <f>SalesData[[#This Row],[Unit_Margin]]/SalesData[[#This Row],[Unit_Price]]</f>
        <v>9.7603117489608579E-2</v>
      </c>
      <c r="U393" s="2" t="str">
        <f>IF(SalesData[[#This Row],[Unit_Margin]]&lt;0, "Negative margin", "Positive margin")</f>
        <v>Positive margin</v>
      </c>
      <c r="V393" s="2" t="str">
        <f>IF(SalesData[[#This Row],[Profit]]&lt;0, "Loss", "Profit")</f>
        <v>Loss</v>
      </c>
      <c r="W393" s="2">
        <f>SalesData[[#This Row],[Unit_Price]]*(1-SalesData[[#This Row],[Discount]])</f>
        <v>3790.3317999999999</v>
      </c>
      <c r="X393" s="2">
        <f>SalesData[[#This Row],[Effective_Unit_Price]]-SalesData[[#This Row],[Unit_Cost]]</f>
        <v>-831.8082000000004</v>
      </c>
      <c r="Y393" s="2" t="str">
        <f>IF(SalesData[[#This Row],[Effective_Unit_Margin]]&lt;0,"Loss per Unit","Positive per Unit")</f>
        <v>Loss per Unit</v>
      </c>
    </row>
    <row r="394" spans="1:25" x14ac:dyDescent="0.3">
      <c r="A394">
        <v>1058</v>
      </c>
      <c r="B394" s="1">
        <v>44940</v>
      </c>
      <c r="C394" t="s">
        <v>13</v>
      </c>
      <c r="D394" t="s">
        <v>33</v>
      </c>
      <c r="E394">
        <v>6</v>
      </c>
      <c r="F394" t="s">
        <v>25</v>
      </c>
      <c r="G394">
        <v>4987.71</v>
      </c>
      <c r="H394">
        <v>4998.78</v>
      </c>
      <c r="I394" t="s">
        <v>16</v>
      </c>
      <c r="J394" s="2">
        <v>0.17</v>
      </c>
      <c r="K394" t="s">
        <v>17</v>
      </c>
      <c r="L394" t="s">
        <v>21</v>
      </c>
      <c r="M394" t="s">
        <v>45</v>
      </c>
      <c r="N394">
        <f>SalesData[[#This Row],[Quantity_Sold]]*SalesData[[#This Row],[Unit_Cost]]</f>
        <v>29926.260000000002</v>
      </c>
      <c r="O394">
        <f>SalesData[[#This Row],[Quantity_Sold]]*SalesData[[#This Row],[Unit_Price]]</f>
        <v>29992.68</v>
      </c>
      <c r="P394">
        <f>SalesData[[#This Row],[Gross_sales]]*(1-SalesData[[#This Row],[Discount]])</f>
        <v>24893.9244</v>
      </c>
      <c r="Q394" s="2">
        <f>SalesData[[#This Row],[Sales_amount]]-SalesData[[#This Row],[Total_Cost]]</f>
        <v>-5032.3356000000022</v>
      </c>
      <c r="R394" s="2">
        <f>SalesData[[#This Row],[Profit]]/SalesData[[#This Row],[Sales_amount]]</f>
        <v>-0.20215115620741589</v>
      </c>
      <c r="S394" s="2">
        <f>SalesData[[#This Row],[Unit_Price]]-SalesData[[#This Row],[Unit_Cost]]</f>
        <v>11.069999999999709</v>
      </c>
      <c r="T394" s="10">
        <f>SalesData[[#This Row],[Unit_Margin]]/SalesData[[#This Row],[Unit_Price]]</f>
        <v>2.214540347844816E-3</v>
      </c>
      <c r="U394" s="2" t="str">
        <f>IF(SalesData[[#This Row],[Unit_Margin]]&lt;0, "Negative margin", "Positive margin")</f>
        <v>Positive margin</v>
      </c>
      <c r="V394" s="2" t="str">
        <f>IF(SalesData[[#This Row],[Profit]]&lt;0, "Loss", "Profit")</f>
        <v>Loss</v>
      </c>
      <c r="W394" s="2">
        <f>SalesData[[#This Row],[Unit_Price]]*(1-SalesData[[#This Row],[Discount]])</f>
        <v>4148.9874</v>
      </c>
      <c r="X394" s="2">
        <f>SalesData[[#This Row],[Effective_Unit_Price]]-SalesData[[#This Row],[Unit_Cost]]</f>
        <v>-838.72260000000006</v>
      </c>
      <c r="Y394" s="2" t="str">
        <f>IF(SalesData[[#This Row],[Effective_Unit_Margin]]&lt;0,"Loss per Unit","Positive per Unit")</f>
        <v>Loss per Unit</v>
      </c>
    </row>
    <row r="395" spans="1:25" x14ac:dyDescent="0.3">
      <c r="A395">
        <v>1067</v>
      </c>
      <c r="B395" s="1">
        <v>44935</v>
      </c>
      <c r="C395" t="s">
        <v>32</v>
      </c>
      <c r="D395" t="s">
        <v>14</v>
      </c>
      <c r="E395">
        <v>48</v>
      </c>
      <c r="F395" t="s">
        <v>34</v>
      </c>
      <c r="G395">
        <v>210.63</v>
      </c>
      <c r="H395">
        <v>533.57999999999902</v>
      </c>
      <c r="I395" t="s">
        <v>29</v>
      </c>
      <c r="J395" s="2">
        <v>0.04</v>
      </c>
      <c r="K395" t="s">
        <v>26</v>
      </c>
      <c r="L395" t="s">
        <v>18</v>
      </c>
      <c r="M395" t="s">
        <v>52</v>
      </c>
      <c r="N395">
        <f>SalesData[[#This Row],[Quantity_Sold]]*SalesData[[#This Row],[Unit_Cost]]</f>
        <v>10110.24</v>
      </c>
      <c r="O395">
        <f>SalesData[[#This Row],[Quantity_Sold]]*SalesData[[#This Row],[Unit_Price]]</f>
        <v>25611.839999999953</v>
      </c>
      <c r="P395">
        <f>SalesData[[#This Row],[Gross_sales]]*(1-SalesData[[#This Row],[Discount]])</f>
        <v>24587.366399999955</v>
      </c>
      <c r="Q395" s="2">
        <f>SalesData[[#This Row],[Sales_amount]]-SalesData[[#This Row],[Total_Cost]]</f>
        <v>14477.126399999956</v>
      </c>
      <c r="R395" s="2">
        <f>SalesData[[#This Row],[Profit]]/SalesData[[#This Row],[Sales_amount]]</f>
        <v>0.58880345964991121</v>
      </c>
      <c r="S395" s="2">
        <f>SalesData[[#This Row],[Unit_Price]]-SalesData[[#This Row],[Unit_Cost]]</f>
        <v>322.94999999999902</v>
      </c>
      <c r="T395" s="10">
        <f>SalesData[[#This Row],[Unit_Margin]]/SalesData[[#This Row],[Unit_Price]]</f>
        <v>0.60525132126391468</v>
      </c>
      <c r="U395" s="2" t="str">
        <f>IF(SalesData[[#This Row],[Unit_Margin]]&lt;0, "Negative margin", "Positive margin")</f>
        <v>Positive margin</v>
      </c>
      <c r="V395" s="2" t="str">
        <f>IF(SalesData[[#This Row],[Profit]]&lt;0, "Loss", "Profit")</f>
        <v>Profit</v>
      </c>
      <c r="W395" s="2">
        <f>SalesData[[#This Row],[Unit_Price]]*(1-SalesData[[#This Row],[Discount]])</f>
        <v>512.23679999999899</v>
      </c>
      <c r="X395" s="2">
        <f>SalesData[[#This Row],[Effective_Unit_Price]]-SalesData[[#This Row],[Unit_Cost]]</f>
        <v>301.606799999999</v>
      </c>
      <c r="Y395" s="2" t="str">
        <f>IF(SalesData[[#This Row],[Effective_Unit_Margin]]&lt;0,"Loss per Unit","Positive per Unit")</f>
        <v>Positive per Unit</v>
      </c>
    </row>
    <row r="396" spans="1:25" x14ac:dyDescent="0.3">
      <c r="A396">
        <v>1046</v>
      </c>
      <c r="B396" s="1">
        <v>44966</v>
      </c>
      <c r="C396" t="s">
        <v>32</v>
      </c>
      <c r="D396" t="s">
        <v>33</v>
      </c>
      <c r="E396">
        <v>3</v>
      </c>
      <c r="F396" t="s">
        <v>15</v>
      </c>
      <c r="G396">
        <v>1216.1600000000001</v>
      </c>
      <c r="H396">
        <v>1295.3699999999999</v>
      </c>
      <c r="I396" t="s">
        <v>29</v>
      </c>
      <c r="J396" s="2">
        <v>0.14000000000000001</v>
      </c>
      <c r="K396" t="s">
        <v>17</v>
      </c>
      <c r="L396" t="s">
        <v>21</v>
      </c>
      <c r="M396" t="s">
        <v>35</v>
      </c>
      <c r="N396">
        <f>SalesData[[#This Row],[Quantity_Sold]]*SalesData[[#This Row],[Unit_Cost]]</f>
        <v>3648.4800000000005</v>
      </c>
      <c r="O396">
        <f>SalesData[[#This Row],[Quantity_Sold]]*SalesData[[#This Row],[Unit_Price]]</f>
        <v>3886.1099999999997</v>
      </c>
      <c r="P396">
        <f>SalesData[[#This Row],[Gross_sales]]*(1-SalesData[[#This Row],[Discount]])</f>
        <v>3342.0545999999995</v>
      </c>
      <c r="Q396" s="2">
        <f>SalesData[[#This Row],[Sales_amount]]-SalesData[[#This Row],[Total_Cost]]</f>
        <v>-306.42540000000099</v>
      </c>
      <c r="R396" s="2">
        <f>SalesData[[#This Row],[Profit]]/SalesData[[#This Row],[Sales_amount]]</f>
        <v>-9.1687730056834213E-2</v>
      </c>
      <c r="S396" s="2">
        <f>SalesData[[#This Row],[Unit_Price]]-SalesData[[#This Row],[Unit_Cost]]</f>
        <v>79.209999999999809</v>
      </c>
      <c r="T396" s="10">
        <f>SalesData[[#This Row],[Unit_Margin]]/SalesData[[#This Row],[Unit_Price]]</f>
        <v>6.11485521511227E-2</v>
      </c>
      <c r="U396" s="2" t="str">
        <f>IF(SalesData[[#This Row],[Unit_Margin]]&lt;0, "Negative margin", "Positive margin")</f>
        <v>Positive margin</v>
      </c>
      <c r="V396" s="2" t="str">
        <f>IF(SalesData[[#This Row],[Profit]]&lt;0, "Loss", "Profit")</f>
        <v>Loss</v>
      </c>
      <c r="W396" s="2">
        <f>SalesData[[#This Row],[Unit_Price]]*(1-SalesData[[#This Row],[Discount]])</f>
        <v>1114.0182</v>
      </c>
      <c r="X396" s="2">
        <f>SalesData[[#This Row],[Effective_Unit_Price]]-SalesData[[#This Row],[Unit_Cost]]</f>
        <v>-102.1418000000001</v>
      </c>
      <c r="Y396" s="2" t="str">
        <f>IF(SalesData[[#This Row],[Effective_Unit_Margin]]&lt;0,"Loss per Unit","Positive per Unit")</f>
        <v>Loss per Unit</v>
      </c>
    </row>
    <row r="397" spans="1:25" x14ac:dyDescent="0.3">
      <c r="A397">
        <v>1024</v>
      </c>
      <c r="B397" s="1">
        <v>45163</v>
      </c>
      <c r="C397" t="s">
        <v>23</v>
      </c>
      <c r="D397" t="s">
        <v>24</v>
      </c>
      <c r="E397">
        <v>42</v>
      </c>
      <c r="F397" t="s">
        <v>34</v>
      </c>
      <c r="G397">
        <v>1586.02</v>
      </c>
      <c r="H397">
        <v>2047.13</v>
      </c>
      <c r="I397" t="s">
        <v>29</v>
      </c>
      <c r="J397" s="2">
        <v>0.25</v>
      </c>
      <c r="K397" t="s">
        <v>17</v>
      </c>
      <c r="L397" t="s">
        <v>21</v>
      </c>
      <c r="M397" t="s">
        <v>27</v>
      </c>
      <c r="N397">
        <f>SalesData[[#This Row],[Quantity_Sold]]*SalesData[[#This Row],[Unit_Cost]]</f>
        <v>66612.84</v>
      </c>
      <c r="O397">
        <f>SalesData[[#This Row],[Quantity_Sold]]*SalesData[[#This Row],[Unit_Price]]</f>
        <v>85979.46</v>
      </c>
      <c r="P397">
        <f>SalesData[[#This Row],[Gross_sales]]*(1-SalesData[[#This Row],[Discount]])</f>
        <v>64484.595000000001</v>
      </c>
      <c r="Q397" s="2">
        <f>SalesData[[#This Row],[Sales_amount]]-SalesData[[#This Row],[Total_Cost]]</f>
        <v>-2128.2449999999953</v>
      </c>
      <c r="R397" s="2">
        <f>SalesData[[#This Row],[Profit]]/SalesData[[#This Row],[Sales_amount]]</f>
        <v>-3.3003929077944825E-2</v>
      </c>
      <c r="S397" s="2">
        <f>SalesData[[#This Row],[Unit_Price]]-SalesData[[#This Row],[Unit_Cost]]</f>
        <v>461.11000000000013</v>
      </c>
      <c r="T397" s="10">
        <f>SalesData[[#This Row],[Unit_Margin]]/SalesData[[#This Row],[Unit_Price]]</f>
        <v>0.22524705319154137</v>
      </c>
      <c r="U397" s="2" t="str">
        <f>IF(SalesData[[#This Row],[Unit_Margin]]&lt;0, "Negative margin", "Positive margin")</f>
        <v>Positive margin</v>
      </c>
      <c r="V397" s="2" t="str">
        <f>IF(SalesData[[#This Row],[Profit]]&lt;0, "Loss", "Profit")</f>
        <v>Loss</v>
      </c>
      <c r="W397" s="2">
        <f>SalesData[[#This Row],[Unit_Price]]*(1-SalesData[[#This Row],[Discount]])</f>
        <v>1535.3475000000001</v>
      </c>
      <c r="X397" s="2">
        <f>SalesData[[#This Row],[Effective_Unit_Price]]-SalesData[[#This Row],[Unit_Cost]]</f>
        <v>-50.6724999999999</v>
      </c>
      <c r="Y397" s="2" t="str">
        <f>IF(SalesData[[#This Row],[Effective_Unit_Margin]]&lt;0,"Loss per Unit","Positive per Unit")</f>
        <v>Loss per Unit</v>
      </c>
    </row>
    <row r="398" spans="1:25" x14ac:dyDescent="0.3">
      <c r="A398">
        <v>1032</v>
      </c>
      <c r="B398" s="1">
        <v>45207</v>
      </c>
      <c r="C398" t="s">
        <v>37</v>
      </c>
      <c r="D398" t="s">
        <v>33</v>
      </c>
      <c r="E398">
        <v>11</v>
      </c>
      <c r="F398" t="s">
        <v>25</v>
      </c>
      <c r="G398">
        <v>2025.67</v>
      </c>
      <c r="H398">
        <v>2081.5500000000002</v>
      </c>
      <c r="I398" t="s">
        <v>29</v>
      </c>
      <c r="J398" s="2">
        <v>0.27</v>
      </c>
      <c r="K398" t="s">
        <v>26</v>
      </c>
      <c r="L398" t="s">
        <v>18</v>
      </c>
      <c r="M398" t="s">
        <v>47</v>
      </c>
      <c r="N398">
        <f>SalesData[[#This Row],[Quantity_Sold]]*SalesData[[#This Row],[Unit_Cost]]</f>
        <v>22282.370000000003</v>
      </c>
      <c r="O398">
        <f>SalesData[[#This Row],[Quantity_Sold]]*SalesData[[#This Row],[Unit_Price]]</f>
        <v>22897.050000000003</v>
      </c>
      <c r="P398">
        <f>SalesData[[#This Row],[Gross_sales]]*(1-SalesData[[#This Row],[Discount]])</f>
        <v>16714.846500000003</v>
      </c>
      <c r="Q398" s="2">
        <f>SalesData[[#This Row],[Sales_amount]]-SalesData[[#This Row],[Total_Cost]]</f>
        <v>-5567.5234999999993</v>
      </c>
      <c r="R398" s="2">
        <f>SalesData[[#This Row],[Profit]]/SalesData[[#This Row],[Sales_amount]]</f>
        <v>-0.33308852103427922</v>
      </c>
      <c r="S398" s="2">
        <f>SalesData[[#This Row],[Unit_Price]]-SalesData[[#This Row],[Unit_Cost]]</f>
        <v>55.880000000000109</v>
      </c>
      <c r="T398" s="10">
        <f>SalesData[[#This Row],[Unit_Margin]]/SalesData[[#This Row],[Unit_Price]]</f>
        <v>2.6845379644976148E-2</v>
      </c>
      <c r="U398" s="2" t="str">
        <f>IF(SalesData[[#This Row],[Unit_Margin]]&lt;0, "Negative margin", "Positive margin")</f>
        <v>Positive margin</v>
      </c>
      <c r="V398" s="2" t="str">
        <f>IF(SalesData[[#This Row],[Profit]]&lt;0, "Loss", "Profit")</f>
        <v>Loss</v>
      </c>
      <c r="W398" s="2">
        <f>SalesData[[#This Row],[Unit_Price]]*(1-SalesData[[#This Row],[Discount]])</f>
        <v>1519.5315000000001</v>
      </c>
      <c r="X398" s="2">
        <f>SalesData[[#This Row],[Effective_Unit_Price]]-SalesData[[#This Row],[Unit_Cost]]</f>
        <v>-506.13850000000002</v>
      </c>
      <c r="Y398" s="2" t="str">
        <f>IF(SalesData[[#This Row],[Effective_Unit_Margin]]&lt;0,"Loss per Unit","Positive per Unit")</f>
        <v>Loss per Unit</v>
      </c>
    </row>
    <row r="399" spans="1:25" x14ac:dyDescent="0.3">
      <c r="A399">
        <v>1047</v>
      </c>
      <c r="B399" s="1">
        <v>45285</v>
      </c>
      <c r="C399" t="s">
        <v>23</v>
      </c>
      <c r="D399" t="s">
        <v>14</v>
      </c>
      <c r="E399">
        <v>43</v>
      </c>
      <c r="F399" t="s">
        <v>34</v>
      </c>
      <c r="G399">
        <v>1249.17</v>
      </c>
      <c r="H399">
        <v>1727.15</v>
      </c>
      <c r="I399" t="s">
        <v>29</v>
      </c>
      <c r="J399" s="2">
        <v>0.08</v>
      </c>
      <c r="K399" t="s">
        <v>17</v>
      </c>
      <c r="L399" t="s">
        <v>21</v>
      </c>
      <c r="M399" t="s">
        <v>44</v>
      </c>
      <c r="N399">
        <f>SalesData[[#This Row],[Quantity_Sold]]*SalesData[[#This Row],[Unit_Cost]]</f>
        <v>53714.310000000005</v>
      </c>
      <c r="O399">
        <f>SalesData[[#This Row],[Quantity_Sold]]*SalesData[[#This Row],[Unit_Price]]</f>
        <v>74267.45</v>
      </c>
      <c r="P399">
        <f>SalesData[[#This Row],[Gross_sales]]*(1-SalesData[[#This Row],[Discount]])</f>
        <v>68326.054000000004</v>
      </c>
      <c r="Q399" s="2">
        <f>SalesData[[#This Row],[Sales_amount]]-SalesData[[#This Row],[Total_Cost]]</f>
        <v>14611.743999999999</v>
      </c>
      <c r="R399" s="2">
        <f>SalesData[[#This Row],[Profit]]/SalesData[[#This Row],[Sales_amount]]</f>
        <v>0.21385318110131163</v>
      </c>
      <c r="S399" s="2">
        <f>SalesData[[#This Row],[Unit_Price]]-SalesData[[#This Row],[Unit_Cost]]</f>
        <v>477.98</v>
      </c>
      <c r="T399" s="10">
        <f>SalesData[[#This Row],[Unit_Margin]]/SalesData[[#This Row],[Unit_Price]]</f>
        <v>0.27674492661320671</v>
      </c>
      <c r="U399" s="2" t="str">
        <f>IF(SalesData[[#This Row],[Unit_Margin]]&lt;0, "Negative margin", "Positive margin")</f>
        <v>Positive margin</v>
      </c>
      <c r="V399" s="2" t="str">
        <f>IF(SalesData[[#This Row],[Profit]]&lt;0, "Loss", "Profit")</f>
        <v>Profit</v>
      </c>
      <c r="W399" s="2">
        <f>SalesData[[#This Row],[Unit_Price]]*(1-SalesData[[#This Row],[Discount]])</f>
        <v>1588.9780000000001</v>
      </c>
      <c r="X399" s="2">
        <f>SalesData[[#This Row],[Effective_Unit_Price]]-SalesData[[#This Row],[Unit_Cost]]</f>
        <v>339.80799999999999</v>
      </c>
      <c r="Y399" s="2" t="str">
        <f>IF(SalesData[[#This Row],[Effective_Unit_Margin]]&lt;0,"Loss per Unit","Positive per Unit")</f>
        <v>Positive per Unit</v>
      </c>
    </row>
    <row r="400" spans="1:25" x14ac:dyDescent="0.3">
      <c r="A400">
        <v>1086</v>
      </c>
      <c r="B400" s="1">
        <v>45127</v>
      </c>
      <c r="C400" t="s">
        <v>13</v>
      </c>
      <c r="D400" t="s">
        <v>14</v>
      </c>
      <c r="E400">
        <v>17</v>
      </c>
      <c r="F400" t="s">
        <v>25</v>
      </c>
      <c r="G400">
        <v>1057.27</v>
      </c>
      <c r="H400">
        <v>1366.62</v>
      </c>
      <c r="I400" t="s">
        <v>29</v>
      </c>
      <c r="J400" s="2">
        <v>0.21</v>
      </c>
      <c r="K400" t="s">
        <v>30</v>
      </c>
      <c r="L400" t="s">
        <v>21</v>
      </c>
      <c r="M400" t="s">
        <v>19</v>
      </c>
      <c r="N400">
        <f>SalesData[[#This Row],[Quantity_Sold]]*SalesData[[#This Row],[Unit_Cost]]</f>
        <v>17973.59</v>
      </c>
      <c r="O400">
        <f>SalesData[[#This Row],[Quantity_Sold]]*SalesData[[#This Row],[Unit_Price]]</f>
        <v>23232.539999999997</v>
      </c>
      <c r="P400">
        <f>SalesData[[#This Row],[Gross_sales]]*(1-SalesData[[#This Row],[Discount]])</f>
        <v>18353.706599999998</v>
      </c>
      <c r="Q400" s="2">
        <f>SalesData[[#This Row],[Sales_amount]]-SalesData[[#This Row],[Total_Cost]]</f>
        <v>380.11659999999756</v>
      </c>
      <c r="R400" s="2">
        <f>SalesData[[#This Row],[Profit]]/SalesData[[#This Row],[Sales_amount]]</f>
        <v>2.0710617658015608E-2</v>
      </c>
      <c r="S400" s="2">
        <f>SalesData[[#This Row],[Unit_Price]]-SalesData[[#This Row],[Unit_Cost]]</f>
        <v>309.34999999999991</v>
      </c>
      <c r="T400" s="10">
        <f>SalesData[[#This Row],[Unit_Margin]]/SalesData[[#This Row],[Unit_Price]]</f>
        <v>0.22636138794983238</v>
      </c>
      <c r="U400" s="2" t="str">
        <f>IF(SalesData[[#This Row],[Unit_Margin]]&lt;0, "Negative margin", "Positive margin")</f>
        <v>Positive margin</v>
      </c>
      <c r="V400" s="2" t="str">
        <f>IF(SalesData[[#This Row],[Profit]]&lt;0, "Loss", "Profit")</f>
        <v>Profit</v>
      </c>
      <c r="W400" s="2">
        <f>SalesData[[#This Row],[Unit_Price]]*(1-SalesData[[#This Row],[Discount]])</f>
        <v>1079.6297999999999</v>
      </c>
      <c r="X400" s="2">
        <f>SalesData[[#This Row],[Effective_Unit_Price]]-SalesData[[#This Row],[Unit_Cost]]</f>
        <v>22.35979999999995</v>
      </c>
      <c r="Y400" s="2" t="str">
        <f>IF(SalesData[[#This Row],[Effective_Unit_Margin]]&lt;0,"Loss per Unit","Positive per Unit")</f>
        <v>Positive per Unit</v>
      </c>
    </row>
    <row r="401" spans="1:25" x14ac:dyDescent="0.3">
      <c r="A401">
        <v>1023</v>
      </c>
      <c r="B401" s="1">
        <v>45172</v>
      </c>
      <c r="C401" t="s">
        <v>23</v>
      </c>
      <c r="D401" t="s">
        <v>24</v>
      </c>
      <c r="E401">
        <v>32</v>
      </c>
      <c r="F401" t="s">
        <v>34</v>
      </c>
      <c r="G401">
        <v>4775.04</v>
      </c>
      <c r="H401">
        <v>4785.66</v>
      </c>
      <c r="I401" t="s">
        <v>29</v>
      </c>
      <c r="J401" s="2">
        <v>0.03</v>
      </c>
      <c r="K401" t="s">
        <v>17</v>
      </c>
      <c r="L401" t="s">
        <v>18</v>
      </c>
      <c r="M401" t="s">
        <v>27</v>
      </c>
      <c r="N401">
        <f>SalesData[[#This Row],[Quantity_Sold]]*SalesData[[#This Row],[Unit_Cost]]</f>
        <v>152801.28</v>
      </c>
      <c r="O401">
        <f>SalesData[[#This Row],[Quantity_Sold]]*SalesData[[#This Row],[Unit_Price]]</f>
        <v>153141.12</v>
      </c>
      <c r="P401">
        <f>SalesData[[#This Row],[Gross_sales]]*(1-SalesData[[#This Row],[Discount]])</f>
        <v>148546.88639999999</v>
      </c>
      <c r="Q401" s="2">
        <f>SalesData[[#This Row],[Sales_amount]]-SalesData[[#This Row],[Total_Cost]]</f>
        <v>-4254.3936000000103</v>
      </c>
      <c r="R401" s="2">
        <f>SalesData[[#This Row],[Profit]]/SalesData[[#This Row],[Sales_amount]]</f>
        <v>-2.8640072525949696E-2</v>
      </c>
      <c r="S401" s="2">
        <f>SalesData[[#This Row],[Unit_Price]]-SalesData[[#This Row],[Unit_Cost]]</f>
        <v>10.619999999999891</v>
      </c>
      <c r="T401" s="10">
        <f>SalesData[[#This Row],[Unit_Margin]]/SalesData[[#This Row],[Unit_Price]]</f>
        <v>2.2191296498288412E-3</v>
      </c>
      <c r="U401" s="2" t="str">
        <f>IF(SalesData[[#This Row],[Unit_Margin]]&lt;0, "Negative margin", "Positive margin")</f>
        <v>Positive margin</v>
      </c>
      <c r="V401" s="2" t="str">
        <f>IF(SalesData[[#This Row],[Profit]]&lt;0, "Loss", "Profit")</f>
        <v>Loss</v>
      </c>
      <c r="W401" s="2">
        <f>SalesData[[#This Row],[Unit_Price]]*(1-SalesData[[#This Row],[Discount]])</f>
        <v>4642.0901999999996</v>
      </c>
      <c r="X401" s="2">
        <f>SalesData[[#This Row],[Effective_Unit_Price]]-SalesData[[#This Row],[Unit_Cost]]</f>
        <v>-132.94980000000032</v>
      </c>
      <c r="Y401" s="2" t="str">
        <f>IF(SalesData[[#This Row],[Effective_Unit_Margin]]&lt;0,"Loss per Unit","Positive per Unit")</f>
        <v>Loss per Unit</v>
      </c>
    </row>
    <row r="402" spans="1:25" x14ac:dyDescent="0.3">
      <c r="A402">
        <v>1066</v>
      </c>
      <c r="B402" s="1">
        <v>45204</v>
      </c>
      <c r="C402" t="s">
        <v>41</v>
      </c>
      <c r="D402" t="s">
        <v>24</v>
      </c>
      <c r="E402">
        <v>4</v>
      </c>
      <c r="F402" t="s">
        <v>15</v>
      </c>
      <c r="G402">
        <v>4596.68</v>
      </c>
      <c r="H402">
        <v>5044.74</v>
      </c>
      <c r="I402" t="s">
        <v>29</v>
      </c>
      <c r="J402" s="2">
        <v>0.01</v>
      </c>
      <c r="K402" t="s">
        <v>26</v>
      </c>
      <c r="L402" t="s">
        <v>18</v>
      </c>
      <c r="M402" t="s">
        <v>42</v>
      </c>
      <c r="N402">
        <f>SalesData[[#This Row],[Quantity_Sold]]*SalesData[[#This Row],[Unit_Cost]]</f>
        <v>18386.72</v>
      </c>
      <c r="O402">
        <f>SalesData[[#This Row],[Quantity_Sold]]*SalesData[[#This Row],[Unit_Price]]</f>
        <v>20178.96</v>
      </c>
      <c r="P402">
        <f>SalesData[[#This Row],[Gross_sales]]*(1-SalesData[[#This Row],[Discount]])</f>
        <v>19977.170399999999</v>
      </c>
      <c r="Q402" s="2">
        <f>SalesData[[#This Row],[Sales_amount]]-SalesData[[#This Row],[Total_Cost]]</f>
        <v>1590.4503999999979</v>
      </c>
      <c r="R402" s="2">
        <f>SalesData[[#This Row],[Profit]]/SalesData[[#This Row],[Sales_amount]]</f>
        <v>7.9613397100522204E-2</v>
      </c>
      <c r="S402" s="2">
        <f>SalesData[[#This Row],[Unit_Price]]-SalesData[[#This Row],[Unit_Cost]]</f>
        <v>448.05999999999949</v>
      </c>
      <c r="T402" s="10">
        <f>SalesData[[#This Row],[Unit_Margin]]/SalesData[[#This Row],[Unit_Price]]</f>
        <v>8.8817263129516988E-2</v>
      </c>
      <c r="U402" s="2" t="str">
        <f>IF(SalesData[[#This Row],[Unit_Margin]]&lt;0, "Negative margin", "Positive margin")</f>
        <v>Positive margin</v>
      </c>
      <c r="V402" s="2" t="str">
        <f>IF(SalesData[[#This Row],[Profit]]&lt;0, "Loss", "Profit")</f>
        <v>Profit</v>
      </c>
      <c r="W402" s="2">
        <f>SalesData[[#This Row],[Unit_Price]]*(1-SalesData[[#This Row],[Discount]])</f>
        <v>4994.2925999999998</v>
      </c>
      <c r="X402" s="2">
        <f>SalesData[[#This Row],[Effective_Unit_Price]]-SalesData[[#This Row],[Unit_Cost]]</f>
        <v>397.61259999999947</v>
      </c>
      <c r="Y402" s="2" t="str">
        <f>IF(SalesData[[#This Row],[Effective_Unit_Margin]]&lt;0,"Loss per Unit","Positive per Unit")</f>
        <v>Positive per Unit</v>
      </c>
    </row>
    <row r="403" spans="1:25" x14ac:dyDescent="0.3">
      <c r="A403">
        <v>1027</v>
      </c>
      <c r="B403" s="1">
        <v>45161</v>
      </c>
      <c r="C403" t="s">
        <v>13</v>
      </c>
      <c r="D403" t="s">
        <v>33</v>
      </c>
      <c r="E403">
        <v>4</v>
      </c>
      <c r="F403" t="s">
        <v>34</v>
      </c>
      <c r="G403">
        <v>282.61</v>
      </c>
      <c r="H403">
        <v>548.25</v>
      </c>
      <c r="I403" t="s">
        <v>29</v>
      </c>
      <c r="J403" s="2">
        <v>0.17</v>
      </c>
      <c r="K403" t="s">
        <v>30</v>
      </c>
      <c r="L403" t="s">
        <v>18</v>
      </c>
      <c r="M403" t="s">
        <v>45</v>
      </c>
      <c r="N403">
        <f>SalesData[[#This Row],[Quantity_Sold]]*SalesData[[#This Row],[Unit_Cost]]</f>
        <v>1130.44</v>
      </c>
      <c r="O403">
        <f>SalesData[[#This Row],[Quantity_Sold]]*SalesData[[#This Row],[Unit_Price]]</f>
        <v>2193</v>
      </c>
      <c r="P403">
        <f>SalesData[[#This Row],[Gross_sales]]*(1-SalesData[[#This Row],[Discount]])</f>
        <v>1820.1899999999998</v>
      </c>
      <c r="Q403" s="2">
        <f>SalesData[[#This Row],[Sales_amount]]-SalesData[[#This Row],[Total_Cost]]</f>
        <v>689.74999999999977</v>
      </c>
      <c r="R403" s="2">
        <f>SalesData[[#This Row],[Profit]]/SalesData[[#This Row],[Sales_amount]]</f>
        <v>0.37894395640015593</v>
      </c>
      <c r="S403" s="2">
        <f>SalesData[[#This Row],[Unit_Price]]-SalesData[[#This Row],[Unit_Cost]]</f>
        <v>265.64</v>
      </c>
      <c r="T403" s="10">
        <f>SalesData[[#This Row],[Unit_Margin]]/SalesData[[#This Row],[Unit_Price]]</f>
        <v>0.48452348381212945</v>
      </c>
      <c r="U403" s="2" t="str">
        <f>IF(SalesData[[#This Row],[Unit_Margin]]&lt;0, "Negative margin", "Positive margin")</f>
        <v>Positive margin</v>
      </c>
      <c r="V403" s="2" t="str">
        <f>IF(SalesData[[#This Row],[Profit]]&lt;0, "Loss", "Profit")</f>
        <v>Profit</v>
      </c>
      <c r="W403" s="2">
        <f>SalesData[[#This Row],[Unit_Price]]*(1-SalesData[[#This Row],[Discount]])</f>
        <v>455.04749999999996</v>
      </c>
      <c r="X403" s="2">
        <f>SalesData[[#This Row],[Effective_Unit_Price]]-SalesData[[#This Row],[Unit_Cost]]</f>
        <v>172.43749999999994</v>
      </c>
      <c r="Y403" s="2" t="str">
        <f>IF(SalesData[[#This Row],[Effective_Unit_Margin]]&lt;0,"Loss per Unit","Positive per Unit")</f>
        <v>Positive per Unit</v>
      </c>
    </row>
    <row r="404" spans="1:25" x14ac:dyDescent="0.3">
      <c r="A404">
        <v>1002</v>
      </c>
      <c r="B404" s="1">
        <v>44930</v>
      </c>
      <c r="C404" t="s">
        <v>13</v>
      </c>
      <c r="D404" t="s">
        <v>33</v>
      </c>
      <c r="E404">
        <v>17</v>
      </c>
      <c r="F404" t="s">
        <v>15</v>
      </c>
      <c r="G404">
        <v>1727.12</v>
      </c>
      <c r="H404">
        <v>1865.83</v>
      </c>
      <c r="I404" t="s">
        <v>29</v>
      </c>
      <c r="J404" s="2">
        <v>0.21</v>
      </c>
      <c r="K404" t="s">
        <v>17</v>
      </c>
      <c r="L404" t="s">
        <v>18</v>
      </c>
      <c r="M404" t="s">
        <v>45</v>
      </c>
      <c r="N404">
        <f>SalesData[[#This Row],[Quantity_Sold]]*SalesData[[#This Row],[Unit_Cost]]</f>
        <v>29361.039999999997</v>
      </c>
      <c r="O404">
        <f>SalesData[[#This Row],[Quantity_Sold]]*SalesData[[#This Row],[Unit_Price]]</f>
        <v>31719.11</v>
      </c>
      <c r="P404">
        <f>SalesData[[#This Row],[Gross_sales]]*(1-SalesData[[#This Row],[Discount]])</f>
        <v>25058.0969</v>
      </c>
      <c r="Q404" s="2">
        <f>SalesData[[#This Row],[Sales_amount]]-SalesData[[#This Row],[Total_Cost]]</f>
        <v>-4302.9430999999968</v>
      </c>
      <c r="R404" s="2">
        <f>SalesData[[#This Row],[Profit]]/SalesData[[#This Row],[Sales_amount]]</f>
        <v>-0.17171867110147526</v>
      </c>
      <c r="S404" s="2">
        <f>SalesData[[#This Row],[Unit_Price]]-SalesData[[#This Row],[Unit_Cost]]</f>
        <v>138.71000000000004</v>
      </c>
      <c r="T404" s="10">
        <f>SalesData[[#This Row],[Unit_Margin]]/SalesData[[#This Row],[Unit_Price]]</f>
        <v>7.4342249829834464E-2</v>
      </c>
      <c r="U404" s="2" t="str">
        <f>IF(SalesData[[#This Row],[Unit_Margin]]&lt;0, "Negative margin", "Positive margin")</f>
        <v>Positive margin</v>
      </c>
      <c r="V404" s="2" t="str">
        <f>IF(SalesData[[#This Row],[Profit]]&lt;0, "Loss", "Profit")</f>
        <v>Loss</v>
      </c>
      <c r="W404" s="2">
        <f>SalesData[[#This Row],[Unit_Price]]*(1-SalesData[[#This Row],[Discount]])</f>
        <v>1474.0056999999999</v>
      </c>
      <c r="X404" s="2">
        <f>SalesData[[#This Row],[Effective_Unit_Price]]-SalesData[[#This Row],[Unit_Cost]]</f>
        <v>-253.11429999999996</v>
      </c>
      <c r="Y404" s="2" t="str">
        <f>IF(SalesData[[#This Row],[Effective_Unit_Margin]]&lt;0,"Loss per Unit","Positive per Unit")</f>
        <v>Loss per Unit</v>
      </c>
    </row>
    <row r="405" spans="1:25" x14ac:dyDescent="0.3">
      <c r="A405">
        <v>1090</v>
      </c>
      <c r="B405" s="1">
        <v>45080</v>
      </c>
      <c r="C405" t="s">
        <v>37</v>
      </c>
      <c r="D405" t="s">
        <v>14</v>
      </c>
      <c r="E405">
        <v>41</v>
      </c>
      <c r="F405" t="s">
        <v>15</v>
      </c>
      <c r="G405">
        <v>2055.4899999999998</v>
      </c>
      <c r="H405">
        <v>2441.46</v>
      </c>
      <c r="I405" t="s">
        <v>29</v>
      </c>
      <c r="J405" s="2">
        <v>0.24</v>
      </c>
      <c r="K405" t="s">
        <v>30</v>
      </c>
      <c r="L405" t="s">
        <v>18</v>
      </c>
      <c r="M405" t="s">
        <v>39</v>
      </c>
      <c r="N405">
        <f>SalesData[[#This Row],[Quantity_Sold]]*SalesData[[#This Row],[Unit_Cost]]</f>
        <v>84275.09</v>
      </c>
      <c r="O405">
        <f>SalesData[[#This Row],[Quantity_Sold]]*SalesData[[#This Row],[Unit_Price]]</f>
        <v>100099.86</v>
      </c>
      <c r="P405">
        <f>SalesData[[#This Row],[Gross_sales]]*(1-SalesData[[#This Row],[Discount]])</f>
        <v>76075.893599999996</v>
      </c>
      <c r="Q405" s="2">
        <f>SalesData[[#This Row],[Sales_amount]]-SalesData[[#This Row],[Total_Cost]]</f>
        <v>-8199.1964000000007</v>
      </c>
      <c r="R405" s="2">
        <f>SalesData[[#This Row],[Profit]]/SalesData[[#This Row],[Sales_amount]]</f>
        <v>-0.10777653750753972</v>
      </c>
      <c r="S405" s="2">
        <f>SalesData[[#This Row],[Unit_Price]]-SalesData[[#This Row],[Unit_Cost]]</f>
        <v>385.97000000000025</v>
      </c>
      <c r="T405" s="10">
        <f>SalesData[[#This Row],[Unit_Margin]]/SalesData[[#This Row],[Unit_Price]]</f>
        <v>0.15808983149426992</v>
      </c>
      <c r="U405" s="2" t="str">
        <f>IF(SalesData[[#This Row],[Unit_Margin]]&lt;0, "Negative margin", "Positive margin")</f>
        <v>Positive margin</v>
      </c>
      <c r="V405" s="2" t="str">
        <f>IF(SalesData[[#This Row],[Profit]]&lt;0, "Loss", "Profit")</f>
        <v>Loss</v>
      </c>
      <c r="W405" s="2">
        <f>SalesData[[#This Row],[Unit_Price]]*(1-SalesData[[#This Row],[Discount]])</f>
        <v>1855.5096000000001</v>
      </c>
      <c r="X405" s="2">
        <f>SalesData[[#This Row],[Effective_Unit_Price]]-SalesData[[#This Row],[Unit_Cost]]</f>
        <v>-199.98039999999969</v>
      </c>
      <c r="Y405" s="2" t="str">
        <f>IF(SalesData[[#This Row],[Effective_Unit_Margin]]&lt;0,"Loss per Unit","Positive per Unit")</f>
        <v>Loss per Unit</v>
      </c>
    </row>
    <row r="406" spans="1:25" x14ac:dyDescent="0.3">
      <c r="A406">
        <v>1017</v>
      </c>
      <c r="B406" s="1">
        <v>44955</v>
      </c>
      <c r="C406" t="s">
        <v>32</v>
      </c>
      <c r="D406" t="s">
        <v>24</v>
      </c>
      <c r="E406">
        <v>19</v>
      </c>
      <c r="F406" t="s">
        <v>34</v>
      </c>
      <c r="G406">
        <v>1233.1199999999999</v>
      </c>
      <c r="H406">
        <v>1697.1899999999901</v>
      </c>
      <c r="I406" t="s">
        <v>29</v>
      </c>
      <c r="J406" s="2">
        <v>0.1</v>
      </c>
      <c r="K406" t="s">
        <v>30</v>
      </c>
      <c r="L406" t="s">
        <v>18</v>
      </c>
      <c r="M406" t="s">
        <v>43</v>
      </c>
      <c r="N406">
        <f>SalesData[[#This Row],[Quantity_Sold]]*SalesData[[#This Row],[Unit_Cost]]</f>
        <v>23429.279999999999</v>
      </c>
      <c r="O406">
        <f>SalesData[[#This Row],[Quantity_Sold]]*SalesData[[#This Row],[Unit_Price]]</f>
        <v>32246.609999999811</v>
      </c>
      <c r="P406">
        <f>SalesData[[#This Row],[Gross_sales]]*(1-SalesData[[#This Row],[Discount]])</f>
        <v>29021.94899999983</v>
      </c>
      <c r="Q406" s="2">
        <f>SalesData[[#This Row],[Sales_amount]]-SalesData[[#This Row],[Total_Cost]]</f>
        <v>5592.6689999998307</v>
      </c>
      <c r="R406" s="2">
        <f>SalesData[[#This Row],[Profit]]/SalesData[[#This Row],[Sales_amount]]</f>
        <v>0.19270480421559089</v>
      </c>
      <c r="S406" s="2">
        <f>SalesData[[#This Row],[Unit_Price]]-SalesData[[#This Row],[Unit_Cost]]</f>
        <v>464.06999999999016</v>
      </c>
      <c r="T406" s="10">
        <f>SalesData[[#This Row],[Unit_Margin]]/SalesData[[#This Row],[Unit_Price]]</f>
        <v>0.27343432379403182</v>
      </c>
      <c r="U406" s="2" t="str">
        <f>IF(SalesData[[#This Row],[Unit_Margin]]&lt;0, "Negative margin", "Positive margin")</f>
        <v>Positive margin</v>
      </c>
      <c r="V406" s="2" t="str">
        <f>IF(SalesData[[#This Row],[Profit]]&lt;0, "Loss", "Profit")</f>
        <v>Profit</v>
      </c>
      <c r="W406" s="2">
        <f>SalesData[[#This Row],[Unit_Price]]*(1-SalesData[[#This Row],[Discount]])</f>
        <v>1527.4709999999911</v>
      </c>
      <c r="X406" s="2">
        <f>SalesData[[#This Row],[Effective_Unit_Price]]-SalesData[[#This Row],[Unit_Cost]]</f>
        <v>294.35099999999125</v>
      </c>
      <c r="Y406" s="2" t="str">
        <f>IF(SalesData[[#This Row],[Effective_Unit_Margin]]&lt;0,"Loss per Unit","Positive per Unit")</f>
        <v>Positive per Unit</v>
      </c>
    </row>
    <row r="407" spans="1:25" x14ac:dyDescent="0.3">
      <c r="A407">
        <v>1033</v>
      </c>
      <c r="B407" s="1">
        <v>45035</v>
      </c>
      <c r="C407" t="s">
        <v>13</v>
      </c>
      <c r="D407" t="s">
        <v>24</v>
      </c>
      <c r="E407">
        <v>5</v>
      </c>
      <c r="F407" t="s">
        <v>15</v>
      </c>
      <c r="G407">
        <v>3162.92</v>
      </c>
      <c r="H407">
        <v>3409.93</v>
      </c>
      <c r="I407" t="s">
        <v>29</v>
      </c>
      <c r="J407" s="2">
        <v>0</v>
      </c>
      <c r="K407" t="s">
        <v>17</v>
      </c>
      <c r="L407" t="s">
        <v>18</v>
      </c>
      <c r="M407" t="s">
        <v>31</v>
      </c>
      <c r="N407">
        <f>SalesData[[#This Row],[Quantity_Sold]]*SalesData[[#This Row],[Unit_Cost]]</f>
        <v>15814.6</v>
      </c>
      <c r="O407">
        <f>SalesData[[#This Row],[Quantity_Sold]]*SalesData[[#This Row],[Unit_Price]]</f>
        <v>17049.649999999998</v>
      </c>
      <c r="P407">
        <f>SalesData[[#This Row],[Gross_sales]]*(1-SalesData[[#This Row],[Discount]])</f>
        <v>17049.649999999998</v>
      </c>
      <c r="Q407" s="2">
        <f>SalesData[[#This Row],[Sales_amount]]-SalesData[[#This Row],[Total_Cost]]</f>
        <v>1235.0499999999975</v>
      </c>
      <c r="R407" s="2">
        <f>SalesData[[#This Row],[Profit]]/SalesData[[#This Row],[Sales_amount]]</f>
        <v>7.2438437152668678E-2</v>
      </c>
      <c r="S407" s="2">
        <f>SalesData[[#This Row],[Unit_Price]]-SalesData[[#This Row],[Unit_Cost]]</f>
        <v>247.00999999999976</v>
      </c>
      <c r="T407" s="10">
        <f>SalesData[[#This Row],[Unit_Margin]]/SalesData[[#This Row],[Unit_Price]]</f>
        <v>7.2438437152668761E-2</v>
      </c>
      <c r="U407" s="2" t="str">
        <f>IF(SalesData[[#This Row],[Unit_Margin]]&lt;0, "Negative margin", "Positive margin")</f>
        <v>Positive margin</v>
      </c>
      <c r="V407" s="2" t="str">
        <f>IF(SalesData[[#This Row],[Profit]]&lt;0, "Loss", "Profit")</f>
        <v>Profit</v>
      </c>
      <c r="W407" s="2">
        <f>SalesData[[#This Row],[Unit_Price]]*(1-SalesData[[#This Row],[Discount]])</f>
        <v>3409.93</v>
      </c>
      <c r="X407" s="2">
        <f>SalesData[[#This Row],[Effective_Unit_Price]]-SalesData[[#This Row],[Unit_Cost]]</f>
        <v>247.00999999999976</v>
      </c>
      <c r="Y407" s="2" t="str">
        <f>IF(SalesData[[#This Row],[Effective_Unit_Margin]]&lt;0,"Loss per Unit","Positive per Unit")</f>
        <v>Positive per Unit</v>
      </c>
    </row>
    <row r="408" spans="1:25" x14ac:dyDescent="0.3">
      <c r="A408">
        <v>1009</v>
      </c>
      <c r="B408" s="1">
        <v>45024</v>
      </c>
      <c r="C408" t="s">
        <v>32</v>
      </c>
      <c r="D408" t="s">
        <v>24</v>
      </c>
      <c r="E408">
        <v>32</v>
      </c>
      <c r="F408" t="s">
        <v>28</v>
      </c>
      <c r="G408">
        <v>3219.88</v>
      </c>
      <c r="H408">
        <v>3384.5</v>
      </c>
      <c r="I408" t="s">
        <v>16</v>
      </c>
      <c r="J408" s="2">
        <v>0.14000000000000001</v>
      </c>
      <c r="K408" t="s">
        <v>17</v>
      </c>
      <c r="L408" t="s">
        <v>21</v>
      </c>
      <c r="M408" t="s">
        <v>43</v>
      </c>
      <c r="N408">
        <f>SalesData[[#This Row],[Quantity_Sold]]*SalesData[[#This Row],[Unit_Cost]]</f>
        <v>103036.16</v>
      </c>
      <c r="O408">
        <f>SalesData[[#This Row],[Quantity_Sold]]*SalesData[[#This Row],[Unit_Price]]</f>
        <v>108304</v>
      </c>
      <c r="P408">
        <f>SalesData[[#This Row],[Gross_sales]]*(1-SalesData[[#This Row],[Discount]])</f>
        <v>93141.440000000002</v>
      </c>
      <c r="Q408" s="2">
        <f>SalesData[[#This Row],[Sales_amount]]-SalesData[[#This Row],[Total_Cost]]</f>
        <v>-9894.7200000000012</v>
      </c>
      <c r="R408" s="2">
        <f>SalesData[[#This Row],[Profit]]/SalesData[[#This Row],[Sales_amount]]</f>
        <v>-0.10623327275163451</v>
      </c>
      <c r="S408" s="2">
        <f>SalesData[[#This Row],[Unit_Price]]-SalesData[[#This Row],[Unit_Cost]]</f>
        <v>164.61999999999989</v>
      </c>
      <c r="T408" s="10">
        <f>SalesData[[#This Row],[Unit_Margin]]/SalesData[[#This Row],[Unit_Price]]</f>
        <v>4.8639385433594293E-2</v>
      </c>
      <c r="U408" s="2" t="str">
        <f>IF(SalesData[[#This Row],[Unit_Margin]]&lt;0, "Negative margin", "Positive margin")</f>
        <v>Positive margin</v>
      </c>
      <c r="V408" s="2" t="str">
        <f>IF(SalesData[[#This Row],[Profit]]&lt;0, "Loss", "Profit")</f>
        <v>Loss</v>
      </c>
      <c r="W408" s="2">
        <f>SalesData[[#This Row],[Unit_Price]]*(1-SalesData[[#This Row],[Discount]])</f>
        <v>2910.67</v>
      </c>
      <c r="X408" s="2">
        <f>SalesData[[#This Row],[Effective_Unit_Price]]-SalesData[[#This Row],[Unit_Cost]]</f>
        <v>-309.21000000000004</v>
      </c>
      <c r="Y408" s="2" t="str">
        <f>IF(SalesData[[#This Row],[Effective_Unit_Margin]]&lt;0,"Loss per Unit","Positive per Unit")</f>
        <v>Loss per Unit</v>
      </c>
    </row>
    <row r="409" spans="1:25" x14ac:dyDescent="0.3">
      <c r="A409">
        <v>1043</v>
      </c>
      <c r="B409" s="1">
        <v>45141</v>
      </c>
      <c r="C409" t="s">
        <v>23</v>
      </c>
      <c r="D409" t="s">
        <v>33</v>
      </c>
      <c r="E409">
        <v>22</v>
      </c>
      <c r="F409" t="s">
        <v>34</v>
      </c>
      <c r="G409">
        <v>4260</v>
      </c>
      <c r="H409">
        <v>4656.58</v>
      </c>
      <c r="I409" t="s">
        <v>29</v>
      </c>
      <c r="J409" s="2">
        <v>0</v>
      </c>
      <c r="K409" t="s">
        <v>26</v>
      </c>
      <c r="L409" t="s">
        <v>18</v>
      </c>
      <c r="M409" t="s">
        <v>49</v>
      </c>
      <c r="N409">
        <f>SalesData[[#This Row],[Quantity_Sold]]*SalesData[[#This Row],[Unit_Cost]]</f>
        <v>93720</v>
      </c>
      <c r="O409">
        <f>SalesData[[#This Row],[Quantity_Sold]]*SalesData[[#This Row],[Unit_Price]]</f>
        <v>102444.76</v>
      </c>
      <c r="P409">
        <f>SalesData[[#This Row],[Gross_sales]]*(1-SalesData[[#This Row],[Discount]])</f>
        <v>102444.76</v>
      </c>
      <c r="Q409" s="2">
        <f>SalesData[[#This Row],[Sales_amount]]-SalesData[[#This Row],[Total_Cost]]</f>
        <v>8724.7599999999948</v>
      </c>
      <c r="R409" s="2">
        <f>SalesData[[#This Row],[Profit]]/SalesData[[#This Row],[Sales_amount]]</f>
        <v>8.5165507733143159E-2</v>
      </c>
      <c r="S409" s="2">
        <f>SalesData[[#This Row],[Unit_Price]]-SalesData[[#This Row],[Unit_Cost]]</f>
        <v>396.57999999999993</v>
      </c>
      <c r="T409" s="10">
        <f>SalesData[[#This Row],[Unit_Margin]]/SalesData[[#This Row],[Unit_Price]]</f>
        <v>8.51655077331432E-2</v>
      </c>
      <c r="U409" s="2" t="str">
        <f>IF(SalesData[[#This Row],[Unit_Margin]]&lt;0, "Negative margin", "Positive margin")</f>
        <v>Positive margin</v>
      </c>
      <c r="V409" s="2" t="str">
        <f>IF(SalesData[[#This Row],[Profit]]&lt;0, "Loss", "Profit")</f>
        <v>Profit</v>
      </c>
      <c r="W409" s="2">
        <f>SalesData[[#This Row],[Unit_Price]]*(1-SalesData[[#This Row],[Discount]])</f>
        <v>4656.58</v>
      </c>
      <c r="X409" s="2">
        <f>SalesData[[#This Row],[Effective_Unit_Price]]-SalesData[[#This Row],[Unit_Cost]]</f>
        <v>396.57999999999993</v>
      </c>
      <c r="Y409" s="2" t="str">
        <f>IF(SalesData[[#This Row],[Effective_Unit_Margin]]&lt;0,"Loss per Unit","Positive per Unit")</f>
        <v>Positive per Unit</v>
      </c>
    </row>
    <row r="410" spans="1:25" x14ac:dyDescent="0.3">
      <c r="A410">
        <v>1048</v>
      </c>
      <c r="B410" s="1">
        <v>45219</v>
      </c>
      <c r="C410" t="s">
        <v>41</v>
      </c>
      <c r="D410" t="s">
        <v>24</v>
      </c>
      <c r="E410">
        <v>6</v>
      </c>
      <c r="F410" t="s">
        <v>34</v>
      </c>
      <c r="G410">
        <v>3717.3</v>
      </c>
      <c r="H410">
        <v>4061.37</v>
      </c>
      <c r="I410" t="s">
        <v>29</v>
      </c>
      <c r="J410" s="2">
        <v>0.03</v>
      </c>
      <c r="K410" t="s">
        <v>26</v>
      </c>
      <c r="L410" t="s">
        <v>21</v>
      </c>
      <c r="M410" t="s">
        <v>42</v>
      </c>
      <c r="N410">
        <f>SalesData[[#This Row],[Quantity_Sold]]*SalesData[[#This Row],[Unit_Cost]]</f>
        <v>22303.800000000003</v>
      </c>
      <c r="O410">
        <f>SalesData[[#This Row],[Quantity_Sold]]*SalesData[[#This Row],[Unit_Price]]</f>
        <v>24368.22</v>
      </c>
      <c r="P410">
        <f>SalesData[[#This Row],[Gross_sales]]*(1-SalesData[[#This Row],[Discount]])</f>
        <v>23637.1734</v>
      </c>
      <c r="Q410" s="2">
        <f>SalesData[[#This Row],[Sales_amount]]-SalesData[[#This Row],[Total_Cost]]</f>
        <v>1333.3733999999968</v>
      </c>
      <c r="R410" s="2">
        <f>SalesData[[#This Row],[Profit]]/SalesData[[#This Row],[Sales_amount]]</f>
        <v>5.6410018974603654E-2</v>
      </c>
      <c r="S410" s="2">
        <f>SalesData[[#This Row],[Unit_Price]]-SalesData[[#This Row],[Unit_Cost]]</f>
        <v>344.06999999999971</v>
      </c>
      <c r="T410" s="10">
        <f>SalesData[[#This Row],[Unit_Margin]]/SalesData[[#This Row],[Unit_Price]]</f>
        <v>8.4717718405365613E-2</v>
      </c>
      <c r="U410" s="2" t="str">
        <f>IF(SalesData[[#This Row],[Unit_Margin]]&lt;0, "Negative margin", "Positive margin")</f>
        <v>Positive margin</v>
      </c>
      <c r="V410" s="2" t="str">
        <f>IF(SalesData[[#This Row],[Profit]]&lt;0, "Loss", "Profit")</f>
        <v>Profit</v>
      </c>
      <c r="W410" s="2">
        <f>SalesData[[#This Row],[Unit_Price]]*(1-SalesData[[#This Row],[Discount]])</f>
        <v>3939.5288999999998</v>
      </c>
      <c r="X410" s="2">
        <f>SalesData[[#This Row],[Effective_Unit_Price]]-SalesData[[#This Row],[Unit_Cost]]</f>
        <v>222.22889999999961</v>
      </c>
      <c r="Y410" s="2" t="str">
        <f>IF(SalesData[[#This Row],[Effective_Unit_Margin]]&lt;0,"Loss per Unit","Positive per Unit")</f>
        <v>Positive per Unit</v>
      </c>
    </row>
    <row r="411" spans="1:25" x14ac:dyDescent="0.3">
      <c r="A411">
        <v>1039</v>
      </c>
      <c r="B411" s="1">
        <v>45001</v>
      </c>
      <c r="C411" t="s">
        <v>37</v>
      </c>
      <c r="D411" t="s">
        <v>14</v>
      </c>
      <c r="E411">
        <v>35</v>
      </c>
      <c r="F411" t="s">
        <v>15</v>
      </c>
      <c r="G411">
        <v>2735.74</v>
      </c>
      <c r="H411">
        <v>3181.22999999999</v>
      </c>
      <c r="I411" t="s">
        <v>29</v>
      </c>
      <c r="J411" s="2">
        <v>0.1</v>
      </c>
      <c r="K411" t="s">
        <v>30</v>
      </c>
      <c r="L411" t="s">
        <v>21</v>
      </c>
      <c r="M411" t="s">
        <v>39</v>
      </c>
      <c r="N411">
        <f>SalesData[[#This Row],[Quantity_Sold]]*SalesData[[#This Row],[Unit_Cost]]</f>
        <v>95750.9</v>
      </c>
      <c r="O411">
        <f>SalesData[[#This Row],[Quantity_Sold]]*SalesData[[#This Row],[Unit_Price]]</f>
        <v>111343.04999999965</v>
      </c>
      <c r="P411">
        <f>SalesData[[#This Row],[Gross_sales]]*(1-SalesData[[#This Row],[Discount]])</f>
        <v>100208.74499999969</v>
      </c>
      <c r="Q411" s="2">
        <f>SalesData[[#This Row],[Sales_amount]]-SalesData[[#This Row],[Total_Cost]]</f>
        <v>4457.8449999996956</v>
      </c>
      <c r="R411" s="2">
        <f>SalesData[[#This Row],[Profit]]/SalesData[[#This Row],[Sales_amount]]</f>
        <v>4.4485588558161357E-2</v>
      </c>
      <c r="S411" s="2">
        <f>SalesData[[#This Row],[Unit_Price]]-SalesData[[#This Row],[Unit_Cost]]</f>
        <v>445.48999999999023</v>
      </c>
      <c r="T411" s="10">
        <f>SalesData[[#This Row],[Unit_Margin]]/SalesData[[#This Row],[Unit_Price]]</f>
        <v>0.14003702970234519</v>
      </c>
      <c r="U411" s="2" t="str">
        <f>IF(SalesData[[#This Row],[Unit_Margin]]&lt;0, "Negative margin", "Positive margin")</f>
        <v>Positive margin</v>
      </c>
      <c r="V411" s="2" t="str">
        <f>IF(SalesData[[#This Row],[Profit]]&lt;0, "Loss", "Profit")</f>
        <v>Profit</v>
      </c>
      <c r="W411" s="2">
        <f>SalesData[[#This Row],[Unit_Price]]*(1-SalesData[[#This Row],[Discount]])</f>
        <v>2863.1069999999909</v>
      </c>
      <c r="X411" s="2">
        <f>SalesData[[#This Row],[Effective_Unit_Price]]-SalesData[[#This Row],[Unit_Cost]]</f>
        <v>127.36699999999109</v>
      </c>
      <c r="Y411" s="2" t="str">
        <f>IF(SalesData[[#This Row],[Effective_Unit_Margin]]&lt;0,"Loss per Unit","Positive per Unit")</f>
        <v>Positive per Unit</v>
      </c>
    </row>
    <row r="412" spans="1:25" x14ac:dyDescent="0.3">
      <c r="A412">
        <v>1093</v>
      </c>
      <c r="B412" s="1">
        <v>45252</v>
      </c>
      <c r="C412" t="s">
        <v>32</v>
      </c>
      <c r="D412" t="s">
        <v>14</v>
      </c>
      <c r="E412">
        <v>22</v>
      </c>
      <c r="F412" t="s">
        <v>15</v>
      </c>
      <c r="G412">
        <v>3285.25</v>
      </c>
      <c r="H412">
        <v>3634.58</v>
      </c>
      <c r="I412" t="s">
        <v>29</v>
      </c>
      <c r="J412" s="2">
        <v>0.13</v>
      </c>
      <c r="K412" t="s">
        <v>26</v>
      </c>
      <c r="L412" t="s">
        <v>18</v>
      </c>
      <c r="M412" t="s">
        <v>52</v>
      </c>
      <c r="N412">
        <f>SalesData[[#This Row],[Quantity_Sold]]*SalesData[[#This Row],[Unit_Cost]]</f>
        <v>72275.5</v>
      </c>
      <c r="O412">
        <f>SalesData[[#This Row],[Quantity_Sold]]*SalesData[[#This Row],[Unit_Price]]</f>
        <v>79960.759999999995</v>
      </c>
      <c r="P412">
        <f>SalesData[[#This Row],[Gross_sales]]*(1-SalesData[[#This Row],[Discount]])</f>
        <v>69565.861199999999</v>
      </c>
      <c r="Q412" s="2">
        <f>SalesData[[#This Row],[Sales_amount]]-SalesData[[#This Row],[Total_Cost]]</f>
        <v>-2709.6388000000006</v>
      </c>
      <c r="R412" s="2">
        <f>SalesData[[#This Row],[Profit]]/SalesData[[#This Row],[Sales_amount]]</f>
        <v>-3.8950697271034437E-2</v>
      </c>
      <c r="S412" s="2">
        <f>SalesData[[#This Row],[Unit_Price]]-SalesData[[#This Row],[Unit_Cost]]</f>
        <v>349.32999999999993</v>
      </c>
      <c r="T412" s="10">
        <f>SalesData[[#This Row],[Unit_Margin]]/SalesData[[#This Row],[Unit_Price]]</f>
        <v>9.6112893374200023E-2</v>
      </c>
      <c r="U412" s="2" t="str">
        <f>IF(SalesData[[#This Row],[Unit_Margin]]&lt;0, "Negative margin", "Positive margin")</f>
        <v>Positive margin</v>
      </c>
      <c r="V412" s="2" t="str">
        <f>IF(SalesData[[#This Row],[Profit]]&lt;0, "Loss", "Profit")</f>
        <v>Loss</v>
      </c>
      <c r="W412" s="2">
        <f>SalesData[[#This Row],[Unit_Price]]*(1-SalesData[[#This Row],[Discount]])</f>
        <v>3162.0846000000001</v>
      </c>
      <c r="X412" s="2">
        <f>SalesData[[#This Row],[Effective_Unit_Price]]-SalesData[[#This Row],[Unit_Cost]]</f>
        <v>-123.16539999999986</v>
      </c>
      <c r="Y412" s="2" t="str">
        <f>IF(SalesData[[#This Row],[Effective_Unit_Margin]]&lt;0,"Loss per Unit","Positive per Unit")</f>
        <v>Loss per Unit</v>
      </c>
    </row>
    <row r="413" spans="1:25" x14ac:dyDescent="0.3">
      <c r="A413">
        <v>1042</v>
      </c>
      <c r="B413" s="1">
        <v>45072</v>
      </c>
      <c r="C413" t="s">
        <v>13</v>
      </c>
      <c r="D413" t="s">
        <v>33</v>
      </c>
      <c r="E413">
        <v>1</v>
      </c>
      <c r="F413" t="s">
        <v>34</v>
      </c>
      <c r="G413">
        <v>1406.24</v>
      </c>
      <c r="H413">
        <v>1535.57</v>
      </c>
      <c r="I413" t="s">
        <v>29</v>
      </c>
      <c r="J413" s="2">
        <v>0.08</v>
      </c>
      <c r="K413" t="s">
        <v>30</v>
      </c>
      <c r="L413" t="s">
        <v>21</v>
      </c>
      <c r="M413" t="s">
        <v>45</v>
      </c>
      <c r="N413">
        <f>SalesData[[#This Row],[Quantity_Sold]]*SalesData[[#This Row],[Unit_Cost]]</f>
        <v>1406.24</v>
      </c>
      <c r="O413">
        <f>SalesData[[#This Row],[Quantity_Sold]]*SalesData[[#This Row],[Unit_Price]]</f>
        <v>1535.57</v>
      </c>
      <c r="P413">
        <f>SalesData[[#This Row],[Gross_sales]]*(1-SalesData[[#This Row],[Discount]])</f>
        <v>1412.7244000000001</v>
      </c>
      <c r="Q413" s="2">
        <f>SalesData[[#This Row],[Sales_amount]]-SalesData[[#This Row],[Total_Cost]]</f>
        <v>6.4844000000000506</v>
      </c>
      <c r="R413" s="2">
        <f>SalesData[[#This Row],[Profit]]/SalesData[[#This Row],[Sales_amount]]</f>
        <v>4.5899964635707077E-3</v>
      </c>
      <c r="S413" s="2">
        <f>SalesData[[#This Row],[Unit_Price]]-SalesData[[#This Row],[Unit_Cost]]</f>
        <v>129.32999999999993</v>
      </c>
      <c r="T413" s="10">
        <f>SalesData[[#This Row],[Unit_Margin]]/SalesData[[#This Row],[Unit_Price]]</f>
        <v>8.4222796746484974E-2</v>
      </c>
      <c r="U413" s="2" t="str">
        <f>IF(SalesData[[#This Row],[Unit_Margin]]&lt;0, "Negative margin", "Positive margin")</f>
        <v>Positive margin</v>
      </c>
      <c r="V413" s="2" t="str">
        <f>IF(SalesData[[#This Row],[Profit]]&lt;0, "Loss", "Profit")</f>
        <v>Profit</v>
      </c>
      <c r="W413" s="2">
        <f>SalesData[[#This Row],[Unit_Price]]*(1-SalesData[[#This Row],[Discount]])</f>
        <v>1412.7244000000001</v>
      </c>
      <c r="X413" s="2">
        <f>SalesData[[#This Row],[Effective_Unit_Price]]-SalesData[[#This Row],[Unit_Cost]]</f>
        <v>6.4844000000000506</v>
      </c>
      <c r="Y413" s="2" t="str">
        <f>IF(SalesData[[#This Row],[Effective_Unit_Margin]]&lt;0,"Loss per Unit","Positive per Unit")</f>
        <v>Positive per Unit</v>
      </c>
    </row>
    <row r="414" spans="1:25" x14ac:dyDescent="0.3">
      <c r="A414">
        <v>1026</v>
      </c>
      <c r="B414" s="1">
        <v>45054</v>
      </c>
      <c r="C414" t="s">
        <v>32</v>
      </c>
      <c r="D414" t="s">
        <v>20</v>
      </c>
      <c r="E414">
        <v>20</v>
      </c>
      <c r="F414" t="s">
        <v>28</v>
      </c>
      <c r="G414">
        <v>2985.63</v>
      </c>
      <c r="H414">
        <v>3452.14</v>
      </c>
      <c r="I414" t="s">
        <v>29</v>
      </c>
      <c r="J414" s="2">
        <v>0.17</v>
      </c>
      <c r="K414" t="s">
        <v>30</v>
      </c>
      <c r="L414" t="s">
        <v>21</v>
      </c>
      <c r="M414" t="s">
        <v>36</v>
      </c>
      <c r="N414">
        <f>SalesData[[#This Row],[Quantity_Sold]]*SalesData[[#This Row],[Unit_Cost]]</f>
        <v>59712.600000000006</v>
      </c>
      <c r="O414">
        <f>SalesData[[#This Row],[Quantity_Sold]]*SalesData[[#This Row],[Unit_Price]]</f>
        <v>69042.8</v>
      </c>
      <c r="P414">
        <f>SalesData[[#This Row],[Gross_sales]]*(1-SalesData[[#This Row],[Discount]])</f>
        <v>57305.523999999998</v>
      </c>
      <c r="Q414" s="2">
        <f>SalesData[[#This Row],[Sales_amount]]-SalesData[[#This Row],[Total_Cost]]</f>
        <v>-2407.0760000000082</v>
      </c>
      <c r="R414" s="2">
        <f>SalesData[[#This Row],[Profit]]/SalesData[[#This Row],[Sales_amount]]</f>
        <v>-4.20042577396205E-2</v>
      </c>
      <c r="S414" s="2">
        <f>SalesData[[#This Row],[Unit_Price]]-SalesData[[#This Row],[Unit_Cost]]</f>
        <v>466.50999999999976</v>
      </c>
      <c r="T414" s="10">
        <f>SalesData[[#This Row],[Unit_Margin]]/SalesData[[#This Row],[Unit_Price]]</f>
        <v>0.13513646607611504</v>
      </c>
      <c r="U414" s="2" t="str">
        <f>IF(SalesData[[#This Row],[Unit_Margin]]&lt;0, "Negative margin", "Positive margin")</f>
        <v>Positive margin</v>
      </c>
      <c r="V414" s="2" t="str">
        <f>IF(SalesData[[#This Row],[Profit]]&lt;0, "Loss", "Profit")</f>
        <v>Loss</v>
      </c>
      <c r="W414" s="2">
        <f>SalesData[[#This Row],[Unit_Price]]*(1-SalesData[[#This Row],[Discount]])</f>
        <v>2865.2761999999998</v>
      </c>
      <c r="X414" s="2">
        <f>SalesData[[#This Row],[Effective_Unit_Price]]-SalesData[[#This Row],[Unit_Cost]]</f>
        <v>-120.35380000000032</v>
      </c>
      <c r="Y414" s="2" t="str">
        <f>IF(SalesData[[#This Row],[Effective_Unit_Margin]]&lt;0,"Loss per Unit","Positive per Unit")</f>
        <v>Loss per Unit</v>
      </c>
    </row>
    <row r="415" spans="1:25" x14ac:dyDescent="0.3">
      <c r="A415">
        <v>1099</v>
      </c>
      <c r="B415" s="1">
        <v>45267</v>
      </c>
      <c r="C415" t="s">
        <v>13</v>
      </c>
      <c r="D415" t="s">
        <v>33</v>
      </c>
      <c r="E415">
        <v>22</v>
      </c>
      <c r="F415" t="s">
        <v>15</v>
      </c>
      <c r="G415">
        <v>2471.67</v>
      </c>
      <c r="H415">
        <v>2533.04</v>
      </c>
      <c r="I415" t="s">
        <v>16</v>
      </c>
      <c r="J415" s="2">
        <v>0.02</v>
      </c>
      <c r="K415" t="s">
        <v>26</v>
      </c>
      <c r="L415" t="s">
        <v>21</v>
      </c>
      <c r="M415" t="s">
        <v>45</v>
      </c>
      <c r="N415">
        <f>SalesData[[#This Row],[Quantity_Sold]]*SalesData[[#This Row],[Unit_Cost]]</f>
        <v>54376.740000000005</v>
      </c>
      <c r="O415">
        <f>SalesData[[#This Row],[Quantity_Sold]]*SalesData[[#This Row],[Unit_Price]]</f>
        <v>55726.879999999997</v>
      </c>
      <c r="P415">
        <f>SalesData[[#This Row],[Gross_sales]]*(1-SalesData[[#This Row],[Discount]])</f>
        <v>54612.342399999994</v>
      </c>
      <c r="Q415" s="2">
        <f>SalesData[[#This Row],[Sales_amount]]-SalesData[[#This Row],[Total_Cost]]</f>
        <v>235.60239999998885</v>
      </c>
      <c r="R415" s="2">
        <f>SalesData[[#This Row],[Profit]]/SalesData[[#This Row],[Sales_amount]]</f>
        <v>4.3140870661498836E-3</v>
      </c>
      <c r="S415" s="2">
        <f>SalesData[[#This Row],[Unit_Price]]-SalesData[[#This Row],[Unit_Cost]]</f>
        <v>61.369999999999891</v>
      </c>
      <c r="T415" s="10">
        <f>SalesData[[#This Row],[Unit_Margin]]/SalesData[[#This Row],[Unit_Price]]</f>
        <v>2.4227805324827042E-2</v>
      </c>
      <c r="U415" s="2" t="str">
        <f>IF(SalesData[[#This Row],[Unit_Margin]]&lt;0, "Negative margin", "Positive margin")</f>
        <v>Positive margin</v>
      </c>
      <c r="V415" s="2" t="str">
        <f>IF(SalesData[[#This Row],[Profit]]&lt;0, "Loss", "Profit")</f>
        <v>Profit</v>
      </c>
      <c r="W415" s="2">
        <f>SalesData[[#This Row],[Unit_Price]]*(1-SalesData[[#This Row],[Discount]])</f>
        <v>2482.3791999999999</v>
      </c>
      <c r="X415" s="2">
        <f>SalesData[[#This Row],[Effective_Unit_Price]]-SalesData[[#This Row],[Unit_Cost]]</f>
        <v>10.709199999999782</v>
      </c>
      <c r="Y415" s="2" t="str">
        <f>IF(SalesData[[#This Row],[Effective_Unit_Margin]]&lt;0,"Loss per Unit","Positive per Unit")</f>
        <v>Positive per Unit</v>
      </c>
    </row>
    <row r="416" spans="1:25" x14ac:dyDescent="0.3">
      <c r="A416">
        <v>1050</v>
      </c>
      <c r="B416" s="1">
        <v>44968</v>
      </c>
      <c r="C416" t="s">
        <v>32</v>
      </c>
      <c r="D416" t="s">
        <v>20</v>
      </c>
      <c r="E416">
        <v>48</v>
      </c>
      <c r="F416" t="s">
        <v>15</v>
      </c>
      <c r="G416">
        <v>710.06</v>
      </c>
      <c r="H416">
        <v>851.349999999999</v>
      </c>
      <c r="I416" t="s">
        <v>16</v>
      </c>
      <c r="J416" s="2">
        <v>0.04</v>
      </c>
      <c r="K416" t="s">
        <v>26</v>
      </c>
      <c r="L416" t="s">
        <v>18</v>
      </c>
      <c r="M416" t="s">
        <v>36</v>
      </c>
      <c r="N416">
        <f>SalesData[[#This Row],[Quantity_Sold]]*SalesData[[#This Row],[Unit_Cost]]</f>
        <v>34082.879999999997</v>
      </c>
      <c r="O416">
        <f>SalesData[[#This Row],[Quantity_Sold]]*SalesData[[#This Row],[Unit_Price]]</f>
        <v>40864.799999999952</v>
      </c>
      <c r="P416">
        <f>SalesData[[#This Row],[Gross_sales]]*(1-SalesData[[#This Row],[Discount]])</f>
        <v>39230.207999999955</v>
      </c>
      <c r="Q416" s="2">
        <f>SalesData[[#This Row],[Sales_amount]]-SalesData[[#This Row],[Total_Cost]]</f>
        <v>5147.3279999999577</v>
      </c>
      <c r="R416" s="2">
        <f>SalesData[[#This Row],[Profit]]/SalesData[[#This Row],[Sales_amount]]</f>
        <v>0.13120827705017429</v>
      </c>
      <c r="S416" s="2">
        <f>SalesData[[#This Row],[Unit_Price]]-SalesData[[#This Row],[Unit_Cost]]</f>
        <v>141.28999999999905</v>
      </c>
      <c r="T416" s="10">
        <f>SalesData[[#This Row],[Unit_Margin]]/SalesData[[#This Row],[Unit_Price]]</f>
        <v>0.16595994596816729</v>
      </c>
      <c r="U416" s="2" t="str">
        <f>IF(SalesData[[#This Row],[Unit_Margin]]&lt;0, "Negative margin", "Positive margin")</f>
        <v>Positive margin</v>
      </c>
      <c r="V416" s="2" t="str">
        <f>IF(SalesData[[#This Row],[Profit]]&lt;0, "Loss", "Profit")</f>
        <v>Profit</v>
      </c>
      <c r="W416" s="2">
        <f>SalesData[[#This Row],[Unit_Price]]*(1-SalesData[[#This Row],[Discount]])</f>
        <v>817.29599999999903</v>
      </c>
      <c r="X416" s="2">
        <f>SalesData[[#This Row],[Effective_Unit_Price]]-SalesData[[#This Row],[Unit_Cost]]</f>
        <v>107.23599999999908</v>
      </c>
      <c r="Y416" s="2" t="str">
        <f>IF(SalesData[[#This Row],[Effective_Unit_Margin]]&lt;0,"Loss per Unit","Positive per Unit")</f>
        <v>Positive per Unit</v>
      </c>
    </row>
    <row r="417" spans="1:25" x14ac:dyDescent="0.3">
      <c r="A417">
        <v>1025</v>
      </c>
      <c r="B417" s="1">
        <v>45282</v>
      </c>
      <c r="C417" t="s">
        <v>13</v>
      </c>
      <c r="D417" t="s">
        <v>24</v>
      </c>
      <c r="E417">
        <v>11</v>
      </c>
      <c r="F417" t="s">
        <v>25</v>
      </c>
      <c r="G417">
        <v>1250.5899999999999</v>
      </c>
      <c r="H417">
        <v>1515.48999999999</v>
      </c>
      <c r="I417" t="s">
        <v>16</v>
      </c>
      <c r="J417" s="2">
        <v>0.21</v>
      </c>
      <c r="K417" t="s">
        <v>26</v>
      </c>
      <c r="L417" t="s">
        <v>21</v>
      </c>
      <c r="M417" t="s">
        <v>31</v>
      </c>
      <c r="N417">
        <f>SalesData[[#This Row],[Quantity_Sold]]*SalesData[[#This Row],[Unit_Cost]]</f>
        <v>13756.49</v>
      </c>
      <c r="O417">
        <f>SalesData[[#This Row],[Quantity_Sold]]*SalesData[[#This Row],[Unit_Price]]</f>
        <v>16670.38999999989</v>
      </c>
      <c r="P417">
        <f>SalesData[[#This Row],[Gross_sales]]*(1-SalesData[[#This Row],[Discount]])</f>
        <v>13169.608099999914</v>
      </c>
      <c r="Q417" s="2">
        <f>SalesData[[#This Row],[Sales_amount]]-SalesData[[#This Row],[Total_Cost]]</f>
        <v>-586.88190000008581</v>
      </c>
      <c r="R417" s="2">
        <f>SalesData[[#This Row],[Profit]]/SalesData[[#This Row],[Sales_amount]]</f>
        <v>-4.4563353407615039E-2</v>
      </c>
      <c r="S417" s="2">
        <f>SalesData[[#This Row],[Unit_Price]]-SalesData[[#This Row],[Unit_Cost]]</f>
        <v>264.89999999999009</v>
      </c>
      <c r="T417" s="10">
        <f>SalesData[[#This Row],[Unit_Margin]]/SalesData[[#This Row],[Unit_Price]]</f>
        <v>0.1747949508079841</v>
      </c>
      <c r="U417" s="2" t="str">
        <f>IF(SalesData[[#This Row],[Unit_Margin]]&lt;0, "Negative margin", "Positive margin")</f>
        <v>Positive margin</v>
      </c>
      <c r="V417" s="2" t="str">
        <f>IF(SalesData[[#This Row],[Profit]]&lt;0, "Loss", "Profit")</f>
        <v>Loss</v>
      </c>
      <c r="W417" s="2">
        <f>SalesData[[#This Row],[Unit_Price]]*(1-SalesData[[#This Row],[Discount]])</f>
        <v>1197.2370999999921</v>
      </c>
      <c r="X417" s="2">
        <f>SalesData[[#This Row],[Effective_Unit_Price]]-SalesData[[#This Row],[Unit_Cost]]</f>
        <v>-53.352900000007821</v>
      </c>
      <c r="Y417" s="2" t="str">
        <f>IF(SalesData[[#This Row],[Effective_Unit_Margin]]&lt;0,"Loss per Unit","Positive per Unit")</f>
        <v>Loss per Unit</v>
      </c>
    </row>
    <row r="418" spans="1:25" x14ac:dyDescent="0.3">
      <c r="A418">
        <v>1024</v>
      </c>
      <c r="B418" s="1">
        <v>44967</v>
      </c>
      <c r="C418" t="s">
        <v>23</v>
      </c>
      <c r="D418" t="s">
        <v>33</v>
      </c>
      <c r="E418">
        <v>13</v>
      </c>
      <c r="F418" t="s">
        <v>28</v>
      </c>
      <c r="G418">
        <v>1493.88</v>
      </c>
      <c r="H418">
        <v>1781.09</v>
      </c>
      <c r="I418" t="s">
        <v>29</v>
      </c>
      <c r="J418" s="2">
        <v>0.04</v>
      </c>
      <c r="K418" t="s">
        <v>17</v>
      </c>
      <c r="L418" t="s">
        <v>21</v>
      </c>
      <c r="M418" t="s">
        <v>49</v>
      </c>
      <c r="N418">
        <f>SalesData[[#This Row],[Quantity_Sold]]*SalesData[[#This Row],[Unit_Cost]]</f>
        <v>19420.440000000002</v>
      </c>
      <c r="O418">
        <f>SalesData[[#This Row],[Quantity_Sold]]*SalesData[[#This Row],[Unit_Price]]</f>
        <v>23154.17</v>
      </c>
      <c r="P418">
        <f>SalesData[[#This Row],[Gross_sales]]*(1-SalesData[[#This Row],[Discount]])</f>
        <v>22228.003199999999</v>
      </c>
      <c r="Q418" s="2">
        <f>SalesData[[#This Row],[Sales_amount]]-SalesData[[#This Row],[Total_Cost]]</f>
        <v>2807.5631999999969</v>
      </c>
      <c r="R418" s="2">
        <f>SalesData[[#This Row],[Profit]]/SalesData[[#This Row],[Sales_amount]]</f>
        <v>0.12630748586539689</v>
      </c>
      <c r="S418" s="2">
        <f>SalesData[[#This Row],[Unit_Price]]-SalesData[[#This Row],[Unit_Cost]]</f>
        <v>287.20999999999981</v>
      </c>
      <c r="T418" s="10">
        <f>SalesData[[#This Row],[Unit_Margin]]/SalesData[[#This Row],[Unit_Price]]</f>
        <v>0.16125518643078104</v>
      </c>
      <c r="U418" s="2" t="str">
        <f>IF(SalesData[[#This Row],[Unit_Margin]]&lt;0, "Negative margin", "Positive margin")</f>
        <v>Positive margin</v>
      </c>
      <c r="V418" s="2" t="str">
        <f>IF(SalesData[[#This Row],[Profit]]&lt;0, "Loss", "Profit")</f>
        <v>Profit</v>
      </c>
      <c r="W418" s="2">
        <f>SalesData[[#This Row],[Unit_Price]]*(1-SalesData[[#This Row],[Discount]])</f>
        <v>1709.8463999999999</v>
      </c>
      <c r="X418" s="2">
        <f>SalesData[[#This Row],[Effective_Unit_Price]]-SalesData[[#This Row],[Unit_Cost]]</f>
        <v>215.96639999999979</v>
      </c>
      <c r="Y418" s="2" t="str">
        <f>IF(SalesData[[#This Row],[Effective_Unit_Margin]]&lt;0,"Loss per Unit","Positive per Unit")</f>
        <v>Positive per Unit</v>
      </c>
    </row>
    <row r="419" spans="1:25" x14ac:dyDescent="0.3">
      <c r="A419">
        <v>1013</v>
      </c>
      <c r="B419" s="1">
        <v>44960</v>
      </c>
      <c r="C419" t="s">
        <v>13</v>
      </c>
      <c r="D419" t="s">
        <v>14</v>
      </c>
      <c r="E419">
        <v>42</v>
      </c>
      <c r="F419" t="s">
        <v>28</v>
      </c>
      <c r="G419">
        <v>4625.33</v>
      </c>
      <c r="H419">
        <v>4642.83</v>
      </c>
      <c r="I419" t="s">
        <v>29</v>
      </c>
      <c r="J419" s="2">
        <v>0.19</v>
      </c>
      <c r="K419" t="s">
        <v>30</v>
      </c>
      <c r="L419" t="s">
        <v>18</v>
      </c>
      <c r="M419" t="s">
        <v>19</v>
      </c>
      <c r="N419">
        <f>SalesData[[#This Row],[Quantity_Sold]]*SalesData[[#This Row],[Unit_Cost]]</f>
        <v>194263.86</v>
      </c>
      <c r="O419">
        <f>SalesData[[#This Row],[Quantity_Sold]]*SalesData[[#This Row],[Unit_Price]]</f>
        <v>194998.86</v>
      </c>
      <c r="P419">
        <f>SalesData[[#This Row],[Gross_sales]]*(1-SalesData[[#This Row],[Discount]])</f>
        <v>157949.0766</v>
      </c>
      <c r="Q419" s="2">
        <f>SalesData[[#This Row],[Sales_amount]]-SalesData[[#This Row],[Total_Cost]]</f>
        <v>-36314.783399999986</v>
      </c>
      <c r="R419" s="2">
        <f>SalesData[[#This Row],[Profit]]/SalesData[[#This Row],[Sales_amount]]</f>
        <v>-0.22991450271004615</v>
      </c>
      <c r="S419" s="2">
        <f>SalesData[[#This Row],[Unit_Price]]-SalesData[[#This Row],[Unit_Cost]]</f>
        <v>17.5</v>
      </c>
      <c r="T419" s="10">
        <f>SalesData[[#This Row],[Unit_Margin]]/SalesData[[#This Row],[Unit_Price]]</f>
        <v>3.7692528048625515E-3</v>
      </c>
      <c r="U419" s="2" t="str">
        <f>IF(SalesData[[#This Row],[Unit_Margin]]&lt;0, "Negative margin", "Positive margin")</f>
        <v>Positive margin</v>
      </c>
      <c r="V419" s="2" t="str">
        <f>IF(SalesData[[#This Row],[Profit]]&lt;0, "Loss", "Profit")</f>
        <v>Loss</v>
      </c>
      <c r="W419" s="2">
        <f>SalesData[[#This Row],[Unit_Price]]*(1-SalesData[[#This Row],[Discount]])</f>
        <v>3760.6923000000002</v>
      </c>
      <c r="X419" s="2">
        <f>SalesData[[#This Row],[Effective_Unit_Price]]-SalesData[[#This Row],[Unit_Cost]]</f>
        <v>-864.63769999999977</v>
      </c>
      <c r="Y419" s="2" t="str">
        <f>IF(SalesData[[#This Row],[Effective_Unit_Margin]]&lt;0,"Loss per Unit","Positive per Unit")</f>
        <v>Loss per Unit</v>
      </c>
    </row>
    <row r="420" spans="1:25" x14ac:dyDescent="0.3">
      <c r="A420">
        <v>1060</v>
      </c>
      <c r="B420" s="1">
        <v>44943</v>
      </c>
      <c r="C420" t="s">
        <v>13</v>
      </c>
      <c r="D420" t="s">
        <v>24</v>
      </c>
      <c r="E420">
        <v>3</v>
      </c>
      <c r="F420" t="s">
        <v>34</v>
      </c>
      <c r="G420">
        <v>1190.4100000000001</v>
      </c>
      <c r="H420">
        <v>1582.89</v>
      </c>
      <c r="I420" t="s">
        <v>29</v>
      </c>
      <c r="J420" s="2">
        <v>0.02</v>
      </c>
      <c r="K420" t="s">
        <v>30</v>
      </c>
      <c r="L420" t="s">
        <v>21</v>
      </c>
      <c r="M420" t="s">
        <v>31</v>
      </c>
      <c r="N420">
        <f>SalesData[[#This Row],[Quantity_Sold]]*SalesData[[#This Row],[Unit_Cost]]</f>
        <v>3571.2300000000005</v>
      </c>
      <c r="O420">
        <f>SalesData[[#This Row],[Quantity_Sold]]*SalesData[[#This Row],[Unit_Price]]</f>
        <v>4748.67</v>
      </c>
      <c r="P420">
        <f>SalesData[[#This Row],[Gross_sales]]*(1-SalesData[[#This Row],[Discount]])</f>
        <v>4653.6966000000002</v>
      </c>
      <c r="Q420" s="2">
        <f>SalesData[[#This Row],[Sales_amount]]-SalesData[[#This Row],[Total_Cost]]</f>
        <v>1082.4665999999997</v>
      </c>
      <c r="R420" s="2">
        <f>SalesData[[#This Row],[Profit]]/SalesData[[#This Row],[Sales_amount]]</f>
        <v>0.23260360376737918</v>
      </c>
      <c r="S420" s="2">
        <f>SalesData[[#This Row],[Unit_Price]]-SalesData[[#This Row],[Unit_Cost]]</f>
        <v>392.48</v>
      </c>
      <c r="T420" s="10">
        <f>SalesData[[#This Row],[Unit_Margin]]/SalesData[[#This Row],[Unit_Price]]</f>
        <v>0.24795153169203166</v>
      </c>
      <c r="U420" s="2" t="str">
        <f>IF(SalesData[[#This Row],[Unit_Margin]]&lt;0, "Negative margin", "Positive margin")</f>
        <v>Positive margin</v>
      </c>
      <c r="V420" s="2" t="str">
        <f>IF(SalesData[[#This Row],[Profit]]&lt;0, "Loss", "Profit")</f>
        <v>Profit</v>
      </c>
      <c r="W420" s="2">
        <f>SalesData[[#This Row],[Unit_Price]]*(1-SalesData[[#This Row],[Discount]])</f>
        <v>1551.2322000000001</v>
      </c>
      <c r="X420" s="2">
        <f>SalesData[[#This Row],[Effective_Unit_Price]]-SalesData[[#This Row],[Unit_Cost]]</f>
        <v>360.82220000000007</v>
      </c>
      <c r="Y420" s="2" t="str">
        <f>IF(SalesData[[#This Row],[Effective_Unit_Margin]]&lt;0,"Loss per Unit","Positive per Unit")</f>
        <v>Positive per Unit</v>
      </c>
    </row>
    <row r="421" spans="1:25" x14ac:dyDescent="0.3">
      <c r="A421">
        <v>1007</v>
      </c>
      <c r="B421" s="1">
        <v>45091</v>
      </c>
      <c r="C421" t="s">
        <v>41</v>
      </c>
      <c r="D421" t="s">
        <v>14</v>
      </c>
      <c r="E421">
        <v>9</v>
      </c>
      <c r="F421" t="s">
        <v>28</v>
      </c>
      <c r="G421">
        <v>1481.76</v>
      </c>
      <c r="H421">
        <v>1668.95</v>
      </c>
      <c r="I421" t="s">
        <v>16</v>
      </c>
      <c r="J421" s="2">
        <v>0.12</v>
      </c>
      <c r="K421" t="s">
        <v>30</v>
      </c>
      <c r="L421" t="s">
        <v>21</v>
      </c>
      <c r="M421" t="s">
        <v>48</v>
      </c>
      <c r="N421">
        <f>SalesData[[#This Row],[Quantity_Sold]]*SalesData[[#This Row],[Unit_Cost]]</f>
        <v>13335.84</v>
      </c>
      <c r="O421">
        <f>SalesData[[#This Row],[Quantity_Sold]]*SalesData[[#This Row],[Unit_Price]]</f>
        <v>15020.550000000001</v>
      </c>
      <c r="P421">
        <f>SalesData[[#This Row],[Gross_sales]]*(1-SalesData[[#This Row],[Discount]])</f>
        <v>13218.084000000001</v>
      </c>
      <c r="Q421" s="2">
        <f>SalesData[[#This Row],[Sales_amount]]-SalesData[[#This Row],[Total_Cost]]</f>
        <v>-117.7559999999994</v>
      </c>
      <c r="R421" s="2">
        <f>SalesData[[#This Row],[Profit]]/SalesData[[#This Row],[Sales_amount]]</f>
        <v>-8.9087041662013495E-3</v>
      </c>
      <c r="S421" s="2">
        <f>SalesData[[#This Row],[Unit_Price]]-SalesData[[#This Row],[Unit_Cost]]</f>
        <v>187.19000000000005</v>
      </c>
      <c r="T421" s="10">
        <f>SalesData[[#This Row],[Unit_Margin]]/SalesData[[#This Row],[Unit_Price]]</f>
        <v>0.11216034033374281</v>
      </c>
      <c r="U421" s="2" t="str">
        <f>IF(SalesData[[#This Row],[Unit_Margin]]&lt;0, "Negative margin", "Positive margin")</f>
        <v>Positive margin</v>
      </c>
      <c r="V421" s="2" t="str">
        <f>IF(SalesData[[#This Row],[Profit]]&lt;0, "Loss", "Profit")</f>
        <v>Loss</v>
      </c>
      <c r="W421" s="2">
        <f>SalesData[[#This Row],[Unit_Price]]*(1-SalesData[[#This Row],[Discount]])</f>
        <v>1468.6760000000002</v>
      </c>
      <c r="X421" s="2">
        <f>SalesData[[#This Row],[Effective_Unit_Price]]-SalesData[[#This Row],[Unit_Cost]]</f>
        <v>-13.083999999999833</v>
      </c>
      <c r="Y421" s="2" t="str">
        <f>IF(SalesData[[#This Row],[Effective_Unit_Margin]]&lt;0,"Loss per Unit","Positive per Unit")</f>
        <v>Loss per Unit</v>
      </c>
    </row>
    <row r="422" spans="1:25" x14ac:dyDescent="0.3">
      <c r="A422">
        <v>1057</v>
      </c>
      <c r="B422" s="1">
        <v>45079</v>
      </c>
      <c r="C422" t="s">
        <v>13</v>
      </c>
      <c r="D422" t="s">
        <v>24</v>
      </c>
      <c r="E422">
        <v>12</v>
      </c>
      <c r="F422" t="s">
        <v>34</v>
      </c>
      <c r="G422">
        <v>1878.3</v>
      </c>
      <c r="H422">
        <v>2087.4499999999998</v>
      </c>
      <c r="I422" t="s">
        <v>29</v>
      </c>
      <c r="J422" s="2">
        <v>0.05</v>
      </c>
      <c r="K422" t="s">
        <v>26</v>
      </c>
      <c r="L422" t="s">
        <v>21</v>
      </c>
      <c r="M422" t="s">
        <v>31</v>
      </c>
      <c r="N422">
        <f>SalesData[[#This Row],[Quantity_Sold]]*SalesData[[#This Row],[Unit_Cost]]</f>
        <v>22539.599999999999</v>
      </c>
      <c r="O422">
        <f>SalesData[[#This Row],[Quantity_Sold]]*SalesData[[#This Row],[Unit_Price]]</f>
        <v>25049.399999999998</v>
      </c>
      <c r="P422">
        <f>SalesData[[#This Row],[Gross_sales]]*(1-SalesData[[#This Row],[Discount]])</f>
        <v>23796.929999999997</v>
      </c>
      <c r="Q422" s="2">
        <f>SalesData[[#This Row],[Sales_amount]]-SalesData[[#This Row],[Total_Cost]]</f>
        <v>1257.3299999999981</v>
      </c>
      <c r="R422" s="2">
        <f>SalesData[[#This Row],[Profit]]/SalesData[[#This Row],[Sales_amount]]</f>
        <v>5.2835806971739563E-2</v>
      </c>
      <c r="S422" s="2">
        <f>SalesData[[#This Row],[Unit_Price]]-SalesData[[#This Row],[Unit_Cost]]</f>
        <v>209.14999999999986</v>
      </c>
      <c r="T422" s="10">
        <f>SalesData[[#This Row],[Unit_Margin]]/SalesData[[#This Row],[Unit_Price]]</f>
        <v>0.1001940166231526</v>
      </c>
      <c r="U422" s="2" t="str">
        <f>IF(SalesData[[#This Row],[Unit_Margin]]&lt;0, "Negative margin", "Positive margin")</f>
        <v>Positive margin</v>
      </c>
      <c r="V422" s="2" t="str">
        <f>IF(SalesData[[#This Row],[Profit]]&lt;0, "Loss", "Profit")</f>
        <v>Profit</v>
      </c>
      <c r="W422" s="2">
        <f>SalesData[[#This Row],[Unit_Price]]*(1-SalesData[[#This Row],[Discount]])</f>
        <v>1983.0774999999996</v>
      </c>
      <c r="X422" s="2">
        <f>SalesData[[#This Row],[Effective_Unit_Price]]-SalesData[[#This Row],[Unit_Cost]]</f>
        <v>104.77749999999969</v>
      </c>
      <c r="Y422" s="2" t="str">
        <f>IF(SalesData[[#This Row],[Effective_Unit_Margin]]&lt;0,"Loss per Unit","Positive per Unit")</f>
        <v>Positive per Unit</v>
      </c>
    </row>
    <row r="423" spans="1:25" x14ac:dyDescent="0.3">
      <c r="A423">
        <v>1036</v>
      </c>
      <c r="B423" s="1">
        <v>45002</v>
      </c>
      <c r="C423" t="s">
        <v>41</v>
      </c>
      <c r="D423" t="s">
        <v>33</v>
      </c>
      <c r="E423">
        <v>23</v>
      </c>
      <c r="F423" t="s">
        <v>25</v>
      </c>
      <c r="G423">
        <v>3335.53</v>
      </c>
      <c r="H423">
        <v>3742.12</v>
      </c>
      <c r="I423" t="s">
        <v>29</v>
      </c>
      <c r="J423" s="2">
        <v>0.03</v>
      </c>
      <c r="K423" t="s">
        <v>26</v>
      </c>
      <c r="L423" t="s">
        <v>21</v>
      </c>
      <c r="M423" t="s">
        <v>51</v>
      </c>
      <c r="N423">
        <f>SalesData[[#This Row],[Quantity_Sold]]*SalesData[[#This Row],[Unit_Cost]]</f>
        <v>76717.19</v>
      </c>
      <c r="O423">
        <f>SalesData[[#This Row],[Quantity_Sold]]*SalesData[[#This Row],[Unit_Price]]</f>
        <v>86068.76</v>
      </c>
      <c r="P423">
        <f>SalesData[[#This Row],[Gross_sales]]*(1-SalesData[[#This Row],[Discount]])</f>
        <v>83486.697199999995</v>
      </c>
      <c r="Q423" s="2">
        <f>SalesData[[#This Row],[Sales_amount]]-SalesData[[#This Row],[Total_Cost]]</f>
        <v>6769.5071999999927</v>
      </c>
      <c r="R423" s="2">
        <f>SalesData[[#This Row],[Profit]]/SalesData[[#This Row],[Sales_amount]]</f>
        <v>8.1084860547100346E-2</v>
      </c>
      <c r="S423" s="2">
        <f>SalesData[[#This Row],[Unit_Price]]-SalesData[[#This Row],[Unit_Cost]]</f>
        <v>406.58999999999969</v>
      </c>
      <c r="T423" s="10">
        <f>SalesData[[#This Row],[Unit_Margin]]/SalesData[[#This Row],[Unit_Price]]</f>
        <v>0.10865231473068734</v>
      </c>
      <c r="U423" s="2" t="str">
        <f>IF(SalesData[[#This Row],[Unit_Margin]]&lt;0, "Negative margin", "Positive margin")</f>
        <v>Positive margin</v>
      </c>
      <c r="V423" s="2" t="str">
        <f>IF(SalesData[[#This Row],[Profit]]&lt;0, "Loss", "Profit")</f>
        <v>Profit</v>
      </c>
      <c r="W423" s="2">
        <f>SalesData[[#This Row],[Unit_Price]]*(1-SalesData[[#This Row],[Discount]])</f>
        <v>3629.8563999999997</v>
      </c>
      <c r="X423" s="2">
        <f>SalesData[[#This Row],[Effective_Unit_Price]]-SalesData[[#This Row],[Unit_Cost]]</f>
        <v>294.32639999999947</v>
      </c>
      <c r="Y423" s="2" t="str">
        <f>IF(SalesData[[#This Row],[Effective_Unit_Margin]]&lt;0,"Loss per Unit","Positive per Unit")</f>
        <v>Positive per Unit</v>
      </c>
    </row>
    <row r="424" spans="1:25" x14ac:dyDescent="0.3">
      <c r="A424">
        <v>1045</v>
      </c>
      <c r="B424" s="1">
        <v>45013</v>
      </c>
      <c r="C424" t="s">
        <v>37</v>
      </c>
      <c r="D424" t="s">
        <v>20</v>
      </c>
      <c r="E424">
        <v>14</v>
      </c>
      <c r="F424" t="s">
        <v>28</v>
      </c>
      <c r="G424">
        <v>635.28</v>
      </c>
      <c r="H424">
        <v>831.13</v>
      </c>
      <c r="I424" t="s">
        <v>16</v>
      </c>
      <c r="J424" s="2">
        <v>0.17</v>
      </c>
      <c r="K424" t="s">
        <v>26</v>
      </c>
      <c r="L424" t="s">
        <v>21</v>
      </c>
      <c r="M424" t="s">
        <v>40</v>
      </c>
      <c r="N424">
        <f>SalesData[[#This Row],[Quantity_Sold]]*SalesData[[#This Row],[Unit_Cost]]</f>
        <v>8893.92</v>
      </c>
      <c r="O424">
        <f>SalesData[[#This Row],[Quantity_Sold]]*SalesData[[#This Row],[Unit_Price]]</f>
        <v>11635.82</v>
      </c>
      <c r="P424">
        <f>SalesData[[#This Row],[Gross_sales]]*(1-SalesData[[#This Row],[Discount]])</f>
        <v>9657.730599999999</v>
      </c>
      <c r="Q424" s="2">
        <f>SalesData[[#This Row],[Sales_amount]]-SalesData[[#This Row],[Total_Cost]]</f>
        <v>763.81059999999889</v>
      </c>
      <c r="R424" s="2">
        <f>SalesData[[#This Row],[Profit]]/SalesData[[#This Row],[Sales_amount]]</f>
        <v>7.9088000238896602E-2</v>
      </c>
      <c r="S424" s="2">
        <f>SalesData[[#This Row],[Unit_Price]]-SalesData[[#This Row],[Unit_Cost]]</f>
        <v>195.85000000000002</v>
      </c>
      <c r="T424" s="10">
        <f>SalesData[[#This Row],[Unit_Margin]]/SalesData[[#This Row],[Unit_Price]]</f>
        <v>0.2356430401982843</v>
      </c>
      <c r="U424" s="2" t="str">
        <f>IF(SalesData[[#This Row],[Unit_Margin]]&lt;0, "Negative margin", "Positive margin")</f>
        <v>Positive margin</v>
      </c>
      <c r="V424" s="2" t="str">
        <f>IF(SalesData[[#This Row],[Profit]]&lt;0, "Loss", "Profit")</f>
        <v>Profit</v>
      </c>
      <c r="W424" s="2">
        <f>SalesData[[#This Row],[Unit_Price]]*(1-SalesData[[#This Row],[Discount]])</f>
        <v>689.83789999999999</v>
      </c>
      <c r="X424" s="2">
        <f>SalesData[[#This Row],[Effective_Unit_Price]]-SalesData[[#This Row],[Unit_Cost]]</f>
        <v>54.557900000000018</v>
      </c>
      <c r="Y424" s="2" t="str">
        <f>IF(SalesData[[#This Row],[Effective_Unit_Margin]]&lt;0,"Loss per Unit","Positive per Unit")</f>
        <v>Positive per Unit</v>
      </c>
    </row>
    <row r="425" spans="1:25" x14ac:dyDescent="0.3">
      <c r="A425">
        <v>1020</v>
      </c>
      <c r="B425" s="1">
        <v>45043</v>
      </c>
      <c r="C425" t="s">
        <v>41</v>
      </c>
      <c r="D425" t="s">
        <v>24</v>
      </c>
      <c r="E425">
        <v>33</v>
      </c>
      <c r="F425" t="s">
        <v>15</v>
      </c>
      <c r="G425">
        <v>4772.03</v>
      </c>
      <c r="H425">
        <v>4805.17</v>
      </c>
      <c r="I425" t="s">
        <v>16</v>
      </c>
      <c r="J425" s="2">
        <v>0.28000000000000003</v>
      </c>
      <c r="K425" t="s">
        <v>26</v>
      </c>
      <c r="L425" t="s">
        <v>18</v>
      </c>
      <c r="M425" t="s">
        <v>42</v>
      </c>
      <c r="N425">
        <f>SalesData[[#This Row],[Quantity_Sold]]*SalesData[[#This Row],[Unit_Cost]]</f>
        <v>157476.99</v>
      </c>
      <c r="O425">
        <f>SalesData[[#This Row],[Quantity_Sold]]*SalesData[[#This Row],[Unit_Price]]</f>
        <v>158570.61000000002</v>
      </c>
      <c r="P425">
        <f>SalesData[[#This Row],[Gross_sales]]*(1-SalesData[[#This Row],[Discount]])</f>
        <v>114170.8392</v>
      </c>
      <c r="Q425" s="2">
        <f>SalesData[[#This Row],[Sales_amount]]-SalesData[[#This Row],[Total_Cost]]</f>
        <v>-43306.150799999989</v>
      </c>
      <c r="R425" s="2">
        <f>SalesData[[#This Row],[Profit]]/SalesData[[#This Row],[Sales_amount]]</f>
        <v>-0.37931008568779956</v>
      </c>
      <c r="S425" s="2">
        <f>SalesData[[#This Row],[Unit_Price]]-SalesData[[#This Row],[Unit_Cost]]</f>
        <v>33.140000000000327</v>
      </c>
      <c r="T425" s="10">
        <f>SalesData[[#This Row],[Unit_Margin]]/SalesData[[#This Row],[Unit_Price]]</f>
        <v>6.8967383047842902E-3</v>
      </c>
      <c r="U425" s="2" t="str">
        <f>IF(SalesData[[#This Row],[Unit_Margin]]&lt;0, "Negative margin", "Positive margin")</f>
        <v>Positive margin</v>
      </c>
      <c r="V425" s="2" t="str">
        <f>IF(SalesData[[#This Row],[Profit]]&lt;0, "Loss", "Profit")</f>
        <v>Loss</v>
      </c>
      <c r="W425" s="2">
        <f>SalesData[[#This Row],[Unit_Price]]*(1-SalesData[[#This Row],[Discount]])</f>
        <v>3459.7224000000001</v>
      </c>
      <c r="X425" s="2">
        <f>SalesData[[#This Row],[Effective_Unit_Price]]-SalesData[[#This Row],[Unit_Cost]]</f>
        <v>-1312.3075999999996</v>
      </c>
      <c r="Y425" s="2" t="str">
        <f>IF(SalesData[[#This Row],[Effective_Unit_Margin]]&lt;0,"Loss per Unit","Positive per Unit")</f>
        <v>Loss per Unit</v>
      </c>
    </row>
    <row r="426" spans="1:25" x14ac:dyDescent="0.3">
      <c r="A426">
        <v>1065</v>
      </c>
      <c r="B426" s="1">
        <v>45288</v>
      </c>
      <c r="C426" t="s">
        <v>23</v>
      </c>
      <c r="D426" t="s">
        <v>20</v>
      </c>
      <c r="E426">
        <v>18</v>
      </c>
      <c r="F426" t="s">
        <v>25</v>
      </c>
      <c r="G426">
        <v>4334.58</v>
      </c>
      <c r="H426">
        <v>4431.04</v>
      </c>
      <c r="I426" t="s">
        <v>29</v>
      </c>
      <c r="J426" s="2">
        <v>0.02</v>
      </c>
      <c r="K426" t="s">
        <v>26</v>
      </c>
      <c r="L426" t="s">
        <v>21</v>
      </c>
      <c r="M426" t="s">
        <v>46</v>
      </c>
      <c r="N426">
        <f>SalesData[[#This Row],[Quantity_Sold]]*SalesData[[#This Row],[Unit_Cost]]</f>
        <v>78022.44</v>
      </c>
      <c r="O426">
        <f>SalesData[[#This Row],[Quantity_Sold]]*SalesData[[#This Row],[Unit_Price]]</f>
        <v>79758.720000000001</v>
      </c>
      <c r="P426">
        <f>SalesData[[#This Row],[Gross_sales]]*(1-SalesData[[#This Row],[Discount]])</f>
        <v>78163.545599999998</v>
      </c>
      <c r="Q426" s="2">
        <f>SalesData[[#This Row],[Sales_amount]]-SalesData[[#This Row],[Total_Cost]]</f>
        <v>141.10559999999532</v>
      </c>
      <c r="R426" s="2">
        <f>SalesData[[#This Row],[Profit]]/SalesData[[#This Row],[Sales_amount]]</f>
        <v>1.8052609936875142E-3</v>
      </c>
      <c r="S426" s="2">
        <f>SalesData[[#This Row],[Unit_Price]]-SalesData[[#This Row],[Unit_Cost]]</f>
        <v>96.460000000000036</v>
      </c>
      <c r="T426" s="10">
        <f>SalesData[[#This Row],[Unit_Margin]]/SalesData[[#This Row],[Unit_Price]]</f>
        <v>2.1769155773813831E-2</v>
      </c>
      <c r="U426" s="2" t="str">
        <f>IF(SalesData[[#This Row],[Unit_Margin]]&lt;0, "Negative margin", "Positive margin")</f>
        <v>Positive margin</v>
      </c>
      <c r="V426" s="2" t="str">
        <f>IF(SalesData[[#This Row],[Profit]]&lt;0, "Loss", "Profit")</f>
        <v>Profit</v>
      </c>
      <c r="W426" s="2">
        <f>SalesData[[#This Row],[Unit_Price]]*(1-SalesData[[#This Row],[Discount]])</f>
        <v>4342.4192000000003</v>
      </c>
      <c r="X426" s="2">
        <f>SalesData[[#This Row],[Effective_Unit_Price]]-SalesData[[#This Row],[Unit_Cost]]</f>
        <v>7.8392000000003463</v>
      </c>
      <c r="Y426" s="2" t="str">
        <f>IF(SalesData[[#This Row],[Effective_Unit_Margin]]&lt;0,"Loss per Unit","Positive per Unit")</f>
        <v>Positive per Unit</v>
      </c>
    </row>
    <row r="427" spans="1:25" x14ac:dyDescent="0.3">
      <c r="A427">
        <v>1008</v>
      </c>
      <c r="B427" s="1">
        <v>45268</v>
      </c>
      <c r="C427" t="s">
        <v>41</v>
      </c>
      <c r="D427" t="s">
        <v>24</v>
      </c>
      <c r="E427">
        <v>49</v>
      </c>
      <c r="F427" t="s">
        <v>34</v>
      </c>
      <c r="G427">
        <v>2907.22</v>
      </c>
      <c r="H427">
        <v>3385.6099999999901</v>
      </c>
      <c r="I427" t="s">
        <v>29</v>
      </c>
      <c r="J427" s="2">
        <v>0.13</v>
      </c>
      <c r="K427" t="s">
        <v>17</v>
      </c>
      <c r="L427" t="s">
        <v>18</v>
      </c>
      <c r="M427" t="s">
        <v>42</v>
      </c>
      <c r="N427">
        <f>SalesData[[#This Row],[Quantity_Sold]]*SalesData[[#This Row],[Unit_Cost]]</f>
        <v>142453.78</v>
      </c>
      <c r="O427">
        <f>SalesData[[#This Row],[Quantity_Sold]]*SalesData[[#This Row],[Unit_Price]]</f>
        <v>165894.88999999952</v>
      </c>
      <c r="P427">
        <f>SalesData[[#This Row],[Gross_sales]]*(1-SalesData[[#This Row],[Discount]])</f>
        <v>144328.55429999958</v>
      </c>
      <c r="Q427" s="2">
        <f>SalesData[[#This Row],[Sales_amount]]-SalesData[[#This Row],[Total_Cost]]</f>
        <v>1874.7742999995826</v>
      </c>
      <c r="R427" s="2">
        <f>SalesData[[#This Row],[Profit]]/SalesData[[#This Row],[Sales_amount]]</f>
        <v>1.2989628484067674E-2</v>
      </c>
      <c r="S427" s="2">
        <f>SalesData[[#This Row],[Unit_Price]]-SalesData[[#This Row],[Unit_Cost]]</f>
        <v>478.38999999999032</v>
      </c>
      <c r="T427" s="10">
        <f>SalesData[[#This Row],[Unit_Margin]]/SalesData[[#This Row],[Unit_Price]]</f>
        <v>0.14130097678113893</v>
      </c>
      <c r="U427" s="2" t="str">
        <f>IF(SalesData[[#This Row],[Unit_Margin]]&lt;0, "Negative margin", "Positive margin")</f>
        <v>Positive margin</v>
      </c>
      <c r="V427" s="2" t="str">
        <f>IF(SalesData[[#This Row],[Profit]]&lt;0, "Loss", "Profit")</f>
        <v>Profit</v>
      </c>
      <c r="W427" s="2">
        <f>SalesData[[#This Row],[Unit_Price]]*(1-SalesData[[#This Row],[Discount]])</f>
        <v>2945.4806999999914</v>
      </c>
      <c r="X427" s="2">
        <f>SalesData[[#This Row],[Effective_Unit_Price]]-SalesData[[#This Row],[Unit_Cost]]</f>
        <v>38.26069999999163</v>
      </c>
      <c r="Y427" s="2" t="str">
        <f>IF(SalesData[[#This Row],[Effective_Unit_Margin]]&lt;0,"Loss per Unit","Positive per Unit")</f>
        <v>Positive per Unit</v>
      </c>
    </row>
    <row r="428" spans="1:25" x14ac:dyDescent="0.3">
      <c r="A428">
        <v>1016</v>
      </c>
      <c r="B428" s="1">
        <v>44953</v>
      </c>
      <c r="C428" t="s">
        <v>37</v>
      </c>
      <c r="D428" t="s">
        <v>14</v>
      </c>
      <c r="E428">
        <v>41</v>
      </c>
      <c r="F428" t="s">
        <v>25</v>
      </c>
      <c r="G428">
        <v>3386.49</v>
      </c>
      <c r="H428">
        <v>3430.99</v>
      </c>
      <c r="I428" t="s">
        <v>29</v>
      </c>
      <c r="J428" s="2">
        <v>0.21</v>
      </c>
      <c r="K428" t="s">
        <v>26</v>
      </c>
      <c r="L428" t="s">
        <v>21</v>
      </c>
      <c r="M428" t="s">
        <v>39</v>
      </c>
      <c r="N428">
        <f>SalesData[[#This Row],[Quantity_Sold]]*SalesData[[#This Row],[Unit_Cost]]</f>
        <v>138846.09</v>
      </c>
      <c r="O428">
        <f>SalesData[[#This Row],[Quantity_Sold]]*SalesData[[#This Row],[Unit_Price]]</f>
        <v>140670.59</v>
      </c>
      <c r="P428">
        <f>SalesData[[#This Row],[Gross_sales]]*(1-SalesData[[#This Row],[Discount]])</f>
        <v>111129.76610000001</v>
      </c>
      <c r="Q428" s="2">
        <f>SalesData[[#This Row],[Sales_amount]]-SalesData[[#This Row],[Total_Cost]]</f>
        <v>-27716.323899999988</v>
      </c>
      <c r="R428" s="2">
        <f>SalesData[[#This Row],[Profit]]/SalesData[[#This Row],[Sales_amount]]</f>
        <v>-0.24940504126553711</v>
      </c>
      <c r="S428" s="2">
        <f>SalesData[[#This Row],[Unit_Price]]-SalesData[[#This Row],[Unit_Cost]]</f>
        <v>44.5</v>
      </c>
      <c r="T428" s="10">
        <f>SalesData[[#This Row],[Unit_Margin]]/SalesData[[#This Row],[Unit_Price]]</f>
        <v>1.2970017400225591E-2</v>
      </c>
      <c r="U428" s="2" t="str">
        <f>IF(SalesData[[#This Row],[Unit_Margin]]&lt;0, "Negative margin", "Positive margin")</f>
        <v>Positive margin</v>
      </c>
      <c r="V428" s="2" t="str">
        <f>IF(SalesData[[#This Row],[Profit]]&lt;0, "Loss", "Profit")</f>
        <v>Loss</v>
      </c>
      <c r="W428" s="2">
        <f>SalesData[[#This Row],[Unit_Price]]*(1-SalesData[[#This Row],[Discount]])</f>
        <v>2710.4821000000002</v>
      </c>
      <c r="X428" s="2">
        <f>SalesData[[#This Row],[Effective_Unit_Price]]-SalesData[[#This Row],[Unit_Cost]]</f>
        <v>-676.00789999999961</v>
      </c>
      <c r="Y428" s="2" t="str">
        <f>IF(SalesData[[#This Row],[Effective_Unit_Margin]]&lt;0,"Loss per Unit","Positive per Unit")</f>
        <v>Loss per Unit</v>
      </c>
    </row>
    <row r="429" spans="1:25" x14ac:dyDescent="0.3">
      <c r="A429">
        <v>1014</v>
      </c>
      <c r="B429" s="1">
        <v>45239</v>
      </c>
      <c r="C429" t="s">
        <v>23</v>
      </c>
      <c r="D429" t="s">
        <v>14</v>
      </c>
      <c r="E429">
        <v>9</v>
      </c>
      <c r="F429" t="s">
        <v>34</v>
      </c>
      <c r="G429">
        <v>132.47</v>
      </c>
      <c r="H429">
        <v>316.39</v>
      </c>
      <c r="I429" t="s">
        <v>29</v>
      </c>
      <c r="J429" s="2">
        <v>0.14000000000000001</v>
      </c>
      <c r="K429" t="s">
        <v>30</v>
      </c>
      <c r="L429" t="s">
        <v>18</v>
      </c>
      <c r="M429" t="s">
        <v>44</v>
      </c>
      <c r="N429">
        <f>SalesData[[#This Row],[Quantity_Sold]]*SalesData[[#This Row],[Unit_Cost]]</f>
        <v>1192.23</v>
      </c>
      <c r="O429">
        <f>SalesData[[#This Row],[Quantity_Sold]]*SalesData[[#This Row],[Unit_Price]]</f>
        <v>2847.5099999999998</v>
      </c>
      <c r="P429">
        <f>SalesData[[#This Row],[Gross_sales]]*(1-SalesData[[#This Row],[Discount]])</f>
        <v>2448.8585999999996</v>
      </c>
      <c r="Q429" s="2">
        <f>SalesData[[#This Row],[Sales_amount]]-SalesData[[#This Row],[Total_Cost]]</f>
        <v>1256.6285999999996</v>
      </c>
      <c r="R429" s="2">
        <f>SalesData[[#This Row],[Profit]]/SalesData[[#This Row],[Sales_amount]]</f>
        <v>0.51314869711138067</v>
      </c>
      <c r="S429" s="2">
        <f>SalesData[[#This Row],[Unit_Price]]-SalesData[[#This Row],[Unit_Cost]]</f>
        <v>183.92</v>
      </c>
      <c r="T429" s="10">
        <f>SalesData[[#This Row],[Unit_Margin]]/SalesData[[#This Row],[Unit_Price]]</f>
        <v>0.58130787951578744</v>
      </c>
      <c r="U429" s="2" t="str">
        <f>IF(SalesData[[#This Row],[Unit_Margin]]&lt;0, "Negative margin", "Positive margin")</f>
        <v>Positive margin</v>
      </c>
      <c r="V429" s="2" t="str">
        <f>IF(SalesData[[#This Row],[Profit]]&lt;0, "Loss", "Profit")</f>
        <v>Profit</v>
      </c>
      <c r="W429" s="2">
        <f>SalesData[[#This Row],[Unit_Price]]*(1-SalesData[[#This Row],[Discount]])</f>
        <v>272.09539999999998</v>
      </c>
      <c r="X429" s="2">
        <f>SalesData[[#This Row],[Effective_Unit_Price]]-SalesData[[#This Row],[Unit_Cost]]</f>
        <v>139.62539999999998</v>
      </c>
      <c r="Y429" s="2" t="str">
        <f>IF(SalesData[[#This Row],[Effective_Unit_Margin]]&lt;0,"Loss per Unit","Positive per Unit")</f>
        <v>Positive per Unit</v>
      </c>
    </row>
    <row r="430" spans="1:25" x14ac:dyDescent="0.3">
      <c r="A430">
        <v>1076</v>
      </c>
      <c r="B430" s="1">
        <v>45213</v>
      </c>
      <c r="C430" t="s">
        <v>32</v>
      </c>
      <c r="D430" t="s">
        <v>24</v>
      </c>
      <c r="E430">
        <v>23</v>
      </c>
      <c r="F430" t="s">
        <v>25</v>
      </c>
      <c r="G430">
        <v>1727.78</v>
      </c>
      <c r="H430">
        <v>1984.34</v>
      </c>
      <c r="I430" t="s">
        <v>16</v>
      </c>
      <c r="J430" s="2">
        <v>0.24</v>
      </c>
      <c r="K430" t="s">
        <v>26</v>
      </c>
      <c r="L430" t="s">
        <v>18</v>
      </c>
      <c r="M430" t="s">
        <v>43</v>
      </c>
      <c r="N430">
        <f>SalesData[[#This Row],[Quantity_Sold]]*SalesData[[#This Row],[Unit_Cost]]</f>
        <v>39738.94</v>
      </c>
      <c r="O430">
        <f>SalesData[[#This Row],[Quantity_Sold]]*SalesData[[#This Row],[Unit_Price]]</f>
        <v>45639.82</v>
      </c>
      <c r="P430">
        <f>SalesData[[#This Row],[Gross_sales]]*(1-SalesData[[#This Row],[Discount]])</f>
        <v>34686.263200000001</v>
      </c>
      <c r="Q430" s="2">
        <f>SalesData[[#This Row],[Sales_amount]]-SalesData[[#This Row],[Total_Cost]]</f>
        <v>-5052.6768000000011</v>
      </c>
      <c r="R430" s="2">
        <f>SalesData[[#This Row],[Profit]]/SalesData[[#This Row],[Sales_amount]]</f>
        <v>-0.14566794845747469</v>
      </c>
      <c r="S430" s="2">
        <f>SalesData[[#This Row],[Unit_Price]]-SalesData[[#This Row],[Unit_Cost]]</f>
        <v>256.55999999999995</v>
      </c>
      <c r="T430" s="10">
        <f>SalesData[[#This Row],[Unit_Margin]]/SalesData[[#This Row],[Unit_Price]]</f>
        <v>0.12929235917231924</v>
      </c>
      <c r="U430" s="2" t="str">
        <f>IF(SalesData[[#This Row],[Unit_Margin]]&lt;0, "Negative margin", "Positive margin")</f>
        <v>Positive margin</v>
      </c>
      <c r="V430" s="2" t="str">
        <f>IF(SalesData[[#This Row],[Profit]]&lt;0, "Loss", "Profit")</f>
        <v>Loss</v>
      </c>
      <c r="W430" s="2">
        <f>SalesData[[#This Row],[Unit_Price]]*(1-SalesData[[#This Row],[Discount]])</f>
        <v>1508.0983999999999</v>
      </c>
      <c r="X430" s="2">
        <f>SalesData[[#This Row],[Effective_Unit_Price]]-SalesData[[#This Row],[Unit_Cost]]</f>
        <v>-219.68160000000012</v>
      </c>
      <c r="Y430" s="2" t="str">
        <f>IF(SalesData[[#This Row],[Effective_Unit_Margin]]&lt;0,"Loss per Unit","Positive per Unit")</f>
        <v>Loss per Unit</v>
      </c>
    </row>
    <row r="431" spans="1:25" x14ac:dyDescent="0.3">
      <c r="A431">
        <v>1087</v>
      </c>
      <c r="B431" s="1">
        <v>45060</v>
      </c>
      <c r="C431" t="s">
        <v>32</v>
      </c>
      <c r="D431" t="s">
        <v>20</v>
      </c>
      <c r="E431">
        <v>10</v>
      </c>
      <c r="F431" t="s">
        <v>34</v>
      </c>
      <c r="G431">
        <v>3988.52</v>
      </c>
      <c r="H431">
        <v>4240.2299999999996</v>
      </c>
      <c r="I431" t="s">
        <v>29</v>
      </c>
      <c r="J431" s="2">
        <v>0.05</v>
      </c>
      <c r="K431" t="s">
        <v>30</v>
      </c>
      <c r="L431" t="s">
        <v>18</v>
      </c>
      <c r="M431" t="s">
        <v>36</v>
      </c>
      <c r="N431">
        <f>SalesData[[#This Row],[Quantity_Sold]]*SalesData[[#This Row],[Unit_Cost]]</f>
        <v>39885.199999999997</v>
      </c>
      <c r="O431">
        <f>SalesData[[#This Row],[Quantity_Sold]]*SalesData[[#This Row],[Unit_Price]]</f>
        <v>42402.299999999996</v>
      </c>
      <c r="P431">
        <f>SalesData[[#This Row],[Gross_sales]]*(1-SalesData[[#This Row],[Discount]])</f>
        <v>40282.18499999999</v>
      </c>
      <c r="Q431" s="2">
        <f>SalesData[[#This Row],[Sales_amount]]-SalesData[[#This Row],[Total_Cost]]</f>
        <v>396.98499999999331</v>
      </c>
      <c r="R431" s="2">
        <f>SalesData[[#This Row],[Profit]]/SalesData[[#This Row],[Sales_amount]]</f>
        <v>9.8551009584011747E-3</v>
      </c>
      <c r="S431" s="2">
        <f>SalesData[[#This Row],[Unit_Price]]-SalesData[[#This Row],[Unit_Cost]]</f>
        <v>251.70999999999958</v>
      </c>
      <c r="T431" s="10">
        <f>SalesData[[#This Row],[Unit_Margin]]/SalesData[[#This Row],[Unit_Price]]</f>
        <v>5.936234591048118E-2</v>
      </c>
      <c r="U431" s="2" t="str">
        <f>IF(SalesData[[#This Row],[Unit_Margin]]&lt;0, "Negative margin", "Positive margin")</f>
        <v>Positive margin</v>
      </c>
      <c r="V431" s="2" t="str">
        <f>IF(SalesData[[#This Row],[Profit]]&lt;0, "Loss", "Profit")</f>
        <v>Profit</v>
      </c>
      <c r="W431" s="2">
        <f>SalesData[[#This Row],[Unit_Price]]*(1-SalesData[[#This Row],[Discount]])</f>
        <v>4028.2184999999995</v>
      </c>
      <c r="X431" s="2">
        <f>SalesData[[#This Row],[Effective_Unit_Price]]-SalesData[[#This Row],[Unit_Cost]]</f>
        <v>39.698499999999513</v>
      </c>
      <c r="Y431" s="2" t="str">
        <f>IF(SalesData[[#This Row],[Effective_Unit_Margin]]&lt;0,"Loss per Unit","Positive per Unit")</f>
        <v>Positive per Unit</v>
      </c>
    </row>
    <row r="432" spans="1:25" x14ac:dyDescent="0.3">
      <c r="A432">
        <v>1015</v>
      </c>
      <c r="B432" s="1">
        <v>45145</v>
      </c>
      <c r="C432" t="s">
        <v>41</v>
      </c>
      <c r="D432" t="s">
        <v>33</v>
      </c>
      <c r="E432">
        <v>19</v>
      </c>
      <c r="F432" t="s">
        <v>28</v>
      </c>
      <c r="G432">
        <v>433.54</v>
      </c>
      <c r="H432">
        <v>445.48</v>
      </c>
      <c r="I432" t="s">
        <v>29</v>
      </c>
      <c r="J432" s="2">
        <v>0.28999999999999998</v>
      </c>
      <c r="K432" t="s">
        <v>26</v>
      </c>
      <c r="L432" t="s">
        <v>21</v>
      </c>
      <c r="M432" t="s">
        <v>51</v>
      </c>
      <c r="N432">
        <f>SalesData[[#This Row],[Quantity_Sold]]*SalesData[[#This Row],[Unit_Cost]]</f>
        <v>8237.26</v>
      </c>
      <c r="O432">
        <f>SalesData[[#This Row],[Quantity_Sold]]*SalesData[[#This Row],[Unit_Price]]</f>
        <v>8464.1200000000008</v>
      </c>
      <c r="P432">
        <f>SalesData[[#This Row],[Gross_sales]]*(1-SalesData[[#This Row],[Discount]])</f>
        <v>6009.5252</v>
      </c>
      <c r="Q432" s="2">
        <f>SalesData[[#This Row],[Sales_amount]]-SalesData[[#This Row],[Total_Cost]]</f>
        <v>-2227.7348000000002</v>
      </c>
      <c r="R432" s="2">
        <f>SalesData[[#This Row],[Profit]]/SalesData[[#This Row],[Sales_amount]]</f>
        <v>-0.37070063372061407</v>
      </c>
      <c r="S432" s="2">
        <f>SalesData[[#This Row],[Unit_Price]]-SalesData[[#This Row],[Unit_Cost]]</f>
        <v>11.939999999999998</v>
      </c>
      <c r="T432" s="10">
        <f>SalesData[[#This Row],[Unit_Margin]]/SalesData[[#This Row],[Unit_Price]]</f>
        <v>2.6802550058364006E-2</v>
      </c>
      <c r="U432" s="2" t="str">
        <f>IF(SalesData[[#This Row],[Unit_Margin]]&lt;0, "Negative margin", "Positive margin")</f>
        <v>Positive margin</v>
      </c>
      <c r="V432" s="2" t="str">
        <f>IF(SalesData[[#This Row],[Profit]]&lt;0, "Loss", "Profit")</f>
        <v>Loss</v>
      </c>
      <c r="W432" s="2">
        <f>SalesData[[#This Row],[Unit_Price]]*(1-SalesData[[#This Row],[Discount]])</f>
        <v>316.29079999999999</v>
      </c>
      <c r="X432" s="2">
        <f>SalesData[[#This Row],[Effective_Unit_Price]]-SalesData[[#This Row],[Unit_Cost]]</f>
        <v>-117.24920000000003</v>
      </c>
      <c r="Y432" s="2" t="str">
        <f>IF(SalesData[[#This Row],[Effective_Unit_Margin]]&lt;0,"Loss per Unit","Positive per Unit")</f>
        <v>Loss per Unit</v>
      </c>
    </row>
    <row r="433" spans="1:25" x14ac:dyDescent="0.3">
      <c r="A433">
        <v>1092</v>
      </c>
      <c r="B433" s="1">
        <v>45094</v>
      </c>
      <c r="C433" t="s">
        <v>41</v>
      </c>
      <c r="D433" t="s">
        <v>33</v>
      </c>
      <c r="E433">
        <v>47</v>
      </c>
      <c r="F433" t="s">
        <v>15</v>
      </c>
      <c r="G433">
        <v>1447.45</v>
      </c>
      <c r="H433">
        <v>1703.02</v>
      </c>
      <c r="I433" t="s">
        <v>16</v>
      </c>
      <c r="J433" s="2">
        <v>0.12</v>
      </c>
      <c r="K433" t="s">
        <v>26</v>
      </c>
      <c r="L433" t="s">
        <v>21</v>
      </c>
      <c r="M433" t="s">
        <v>51</v>
      </c>
      <c r="N433">
        <f>SalesData[[#This Row],[Quantity_Sold]]*SalesData[[#This Row],[Unit_Cost]]</f>
        <v>68030.150000000009</v>
      </c>
      <c r="O433">
        <f>SalesData[[#This Row],[Quantity_Sold]]*SalesData[[#This Row],[Unit_Price]]</f>
        <v>80041.94</v>
      </c>
      <c r="P433">
        <f>SalesData[[#This Row],[Gross_sales]]*(1-SalesData[[#This Row],[Discount]])</f>
        <v>70436.907200000001</v>
      </c>
      <c r="Q433" s="2">
        <f>SalesData[[#This Row],[Sales_amount]]-SalesData[[#This Row],[Total_Cost]]</f>
        <v>2406.7571999999927</v>
      </c>
      <c r="R433" s="2">
        <f>SalesData[[#This Row],[Profit]]/SalesData[[#This Row],[Sales_amount]]</f>
        <v>3.4168978958235584E-2</v>
      </c>
      <c r="S433" s="2">
        <f>SalesData[[#This Row],[Unit_Price]]-SalesData[[#This Row],[Unit_Cost]]</f>
        <v>255.56999999999994</v>
      </c>
      <c r="T433" s="10">
        <f>SalesData[[#This Row],[Unit_Margin]]/SalesData[[#This Row],[Unit_Price]]</f>
        <v>0.15006870148324739</v>
      </c>
      <c r="U433" s="2" t="str">
        <f>IF(SalesData[[#This Row],[Unit_Margin]]&lt;0, "Negative margin", "Positive margin")</f>
        <v>Positive margin</v>
      </c>
      <c r="V433" s="2" t="str">
        <f>IF(SalesData[[#This Row],[Profit]]&lt;0, "Loss", "Profit")</f>
        <v>Profit</v>
      </c>
      <c r="W433" s="2">
        <f>SalesData[[#This Row],[Unit_Price]]*(1-SalesData[[#This Row],[Discount]])</f>
        <v>1498.6576</v>
      </c>
      <c r="X433" s="2">
        <f>SalesData[[#This Row],[Effective_Unit_Price]]-SalesData[[#This Row],[Unit_Cost]]</f>
        <v>51.207599999999957</v>
      </c>
      <c r="Y433" s="2" t="str">
        <f>IF(SalesData[[#This Row],[Effective_Unit_Margin]]&lt;0,"Loss per Unit","Positive per Unit")</f>
        <v>Positive per Unit</v>
      </c>
    </row>
    <row r="434" spans="1:25" x14ac:dyDescent="0.3">
      <c r="A434">
        <v>1098</v>
      </c>
      <c r="B434" s="1">
        <v>45024</v>
      </c>
      <c r="C434" t="s">
        <v>37</v>
      </c>
      <c r="D434" t="s">
        <v>14</v>
      </c>
      <c r="E434">
        <v>5</v>
      </c>
      <c r="F434" t="s">
        <v>34</v>
      </c>
      <c r="G434">
        <v>2947.22</v>
      </c>
      <c r="H434">
        <v>3145.27</v>
      </c>
      <c r="I434" t="s">
        <v>29</v>
      </c>
      <c r="J434" s="2">
        <v>0.1</v>
      </c>
      <c r="K434" t="s">
        <v>30</v>
      </c>
      <c r="L434" t="s">
        <v>21</v>
      </c>
      <c r="M434" t="s">
        <v>39</v>
      </c>
      <c r="N434">
        <f>SalesData[[#This Row],[Quantity_Sold]]*SalesData[[#This Row],[Unit_Cost]]</f>
        <v>14736.099999999999</v>
      </c>
      <c r="O434">
        <f>SalesData[[#This Row],[Quantity_Sold]]*SalesData[[#This Row],[Unit_Price]]</f>
        <v>15726.35</v>
      </c>
      <c r="P434">
        <f>SalesData[[#This Row],[Gross_sales]]*(1-SalesData[[#This Row],[Discount]])</f>
        <v>14153.715</v>
      </c>
      <c r="Q434" s="2">
        <f>SalesData[[#This Row],[Sales_amount]]-SalesData[[#This Row],[Total_Cost]]</f>
        <v>-582.3849999999984</v>
      </c>
      <c r="R434" s="2">
        <f>SalesData[[#This Row],[Profit]]/SalesData[[#This Row],[Sales_amount]]</f>
        <v>-4.1147147586340291E-2</v>
      </c>
      <c r="S434" s="2">
        <f>SalesData[[#This Row],[Unit_Price]]-SalesData[[#This Row],[Unit_Cost]]</f>
        <v>198.05000000000018</v>
      </c>
      <c r="T434" s="10">
        <f>SalesData[[#This Row],[Unit_Margin]]/SalesData[[#This Row],[Unit_Price]]</f>
        <v>6.2967567172293695E-2</v>
      </c>
      <c r="U434" s="2" t="str">
        <f>IF(SalesData[[#This Row],[Unit_Margin]]&lt;0, "Negative margin", "Positive margin")</f>
        <v>Positive margin</v>
      </c>
      <c r="V434" s="2" t="str">
        <f>IF(SalesData[[#This Row],[Profit]]&lt;0, "Loss", "Profit")</f>
        <v>Loss</v>
      </c>
      <c r="W434" s="2">
        <f>SalesData[[#This Row],[Unit_Price]]*(1-SalesData[[#This Row],[Discount]])</f>
        <v>2830.7429999999999</v>
      </c>
      <c r="X434" s="2">
        <f>SalesData[[#This Row],[Effective_Unit_Price]]-SalesData[[#This Row],[Unit_Cost]]</f>
        <v>-116.47699999999986</v>
      </c>
      <c r="Y434" s="2" t="str">
        <f>IF(SalesData[[#This Row],[Effective_Unit_Margin]]&lt;0,"Loss per Unit","Positive per Unit")</f>
        <v>Loss per Unit</v>
      </c>
    </row>
    <row r="435" spans="1:25" x14ac:dyDescent="0.3">
      <c r="A435">
        <v>1066</v>
      </c>
      <c r="B435" s="1">
        <v>45194</v>
      </c>
      <c r="C435" t="s">
        <v>37</v>
      </c>
      <c r="D435" t="s">
        <v>33</v>
      </c>
      <c r="E435">
        <v>47</v>
      </c>
      <c r="F435" t="s">
        <v>25</v>
      </c>
      <c r="G435">
        <v>1319.24</v>
      </c>
      <c r="H435">
        <v>1805.56</v>
      </c>
      <c r="I435" t="s">
        <v>29</v>
      </c>
      <c r="J435" s="2">
        <v>0.26</v>
      </c>
      <c r="K435" t="s">
        <v>30</v>
      </c>
      <c r="L435" t="s">
        <v>21</v>
      </c>
      <c r="M435" t="s">
        <v>47</v>
      </c>
      <c r="N435">
        <f>SalesData[[#This Row],[Quantity_Sold]]*SalesData[[#This Row],[Unit_Cost]]</f>
        <v>62004.28</v>
      </c>
      <c r="O435">
        <f>SalesData[[#This Row],[Quantity_Sold]]*SalesData[[#This Row],[Unit_Price]]</f>
        <v>84861.319999999992</v>
      </c>
      <c r="P435">
        <f>SalesData[[#This Row],[Gross_sales]]*(1-SalesData[[#This Row],[Discount]])</f>
        <v>62797.376799999991</v>
      </c>
      <c r="Q435" s="2">
        <f>SalesData[[#This Row],[Sales_amount]]-SalesData[[#This Row],[Total_Cost]]</f>
        <v>793.09679999999207</v>
      </c>
      <c r="R435" s="2">
        <f>SalesData[[#This Row],[Profit]]/SalesData[[#This Row],[Sales_amount]]</f>
        <v>1.2629457477593111E-2</v>
      </c>
      <c r="S435" s="2">
        <f>SalesData[[#This Row],[Unit_Price]]-SalesData[[#This Row],[Unit_Cost]]</f>
        <v>486.31999999999994</v>
      </c>
      <c r="T435" s="10">
        <f>SalesData[[#This Row],[Unit_Margin]]/SalesData[[#This Row],[Unit_Price]]</f>
        <v>0.26934579853341895</v>
      </c>
      <c r="U435" s="2" t="str">
        <f>IF(SalesData[[#This Row],[Unit_Margin]]&lt;0, "Negative margin", "Positive margin")</f>
        <v>Positive margin</v>
      </c>
      <c r="V435" s="2" t="str">
        <f>IF(SalesData[[#This Row],[Profit]]&lt;0, "Loss", "Profit")</f>
        <v>Profit</v>
      </c>
      <c r="W435" s="2">
        <f>SalesData[[#This Row],[Unit_Price]]*(1-SalesData[[#This Row],[Discount]])</f>
        <v>1336.1143999999999</v>
      </c>
      <c r="X435" s="2">
        <f>SalesData[[#This Row],[Effective_Unit_Price]]-SalesData[[#This Row],[Unit_Cost]]</f>
        <v>16.874399999999923</v>
      </c>
      <c r="Y435" s="2" t="str">
        <f>IF(SalesData[[#This Row],[Effective_Unit_Margin]]&lt;0,"Loss per Unit","Positive per Unit")</f>
        <v>Positive per Unit</v>
      </c>
    </row>
    <row r="436" spans="1:25" x14ac:dyDescent="0.3">
      <c r="A436">
        <v>1032</v>
      </c>
      <c r="B436" s="1">
        <v>45163</v>
      </c>
      <c r="C436" t="s">
        <v>13</v>
      </c>
      <c r="D436" t="s">
        <v>14</v>
      </c>
      <c r="E436">
        <v>23</v>
      </c>
      <c r="F436" t="s">
        <v>34</v>
      </c>
      <c r="G436">
        <v>4673.1899999999996</v>
      </c>
      <c r="H436">
        <v>4761.1799999999903</v>
      </c>
      <c r="I436" t="s">
        <v>16</v>
      </c>
      <c r="J436" s="2">
        <v>0.17</v>
      </c>
      <c r="K436" t="s">
        <v>30</v>
      </c>
      <c r="L436" t="s">
        <v>21</v>
      </c>
      <c r="M436" t="s">
        <v>19</v>
      </c>
      <c r="N436">
        <f>SalesData[[#This Row],[Quantity_Sold]]*SalesData[[#This Row],[Unit_Cost]]</f>
        <v>107483.37</v>
      </c>
      <c r="O436">
        <f>SalesData[[#This Row],[Quantity_Sold]]*SalesData[[#This Row],[Unit_Price]]</f>
        <v>109507.13999999978</v>
      </c>
      <c r="P436">
        <f>SalesData[[#This Row],[Gross_sales]]*(1-SalesData[[#This Row],[Discount]])</f>
        <v>90890.926199999813</v>
      </c>
      <c r="Q436" s="2">
        <f>SalesData[[#This Row],[Sales_amount]]-SalesData[[#This Row],[Total_Cost]]</f>
        <v>-16592.443800000183</v>
      </c>
      <c r="R436" s="2">
        <f>SalesData[[#This Row],[Profit]]/SalesData[[#This Row],[Sales_amount]]</f>
        <v>-0.18255335811508341</v>
      </c>
      <c r="S436" s="2">
        <f>SalesData[[#This Row],[Unit_Price]]-SalesData[[#This Row],[Unit_Cost]]</f>
        <v>87.989999999990687</v>
      </c>
      <c r="T436" s="10">
        <f>SalesData[[#This Row],[Unit_Margin]]/SalesData[[#This Row],[Unit_Price]]</f>
        <v>1.8480712764480836E-2</v>
      </c>
      <c r="U436" s="2" t="str">
        <f>IF(SalesData[[#This Row],[Unit_Margin]]&lt;0, "Negative margin", "Positive margin")</f>
        <v>Positive margin</v>
      </c>
      <c r="V436" s="2" t="str">
        <f>IF(SalesData[[#This Row],[Profit]]&lt;0, "Loss", "Profit")</f>
        <v>Loss</v>
      </c>
      <c r="W436" s="2">
        <f>SalesData[[#This Row],[Unit_Price]]*(1-SalesData[[#This Row],[Discount]])</f>
        <v>3951.7793999999917</v>
      </c>
      <c r="X436" s="2">
        <f>SalesData[[#This Row],[Effective_Unit_Price]]-SalesData[[#This Row],[Unit_Cost]]</f>
        <v>-721.41060000000789</v>
      </c>
      <c r="Y436" s="2" t="str">
        <f>IF(SalesData[[#This Row],[Effective_Unit_Margin]]&lt;0,"Loss per Unit","Positive per Unit")</f>
        <v>Loss per Unit</v>
      </c>
    </row>
    <row r="437" spans="1:25" x14ac:dyDescent="0.3">
      <c r="A437">
        <v>1087</v>
      </c>
      <c r="B437" s="1">
        <v>45235</v>
      </c>
      <c r="C437" t="s">
        <v>37</v>
      </c>
      <c r="D437" t="s">
        <v>33</v>
      </c>
      <c r="E437">
        <v>30</v>
      </c>
      <c r="F437" t="s">
        <v>34</v>
      </c>
      <c r="G437">
        <v>698.74</v>
      </c>
      <c r="H437">
        <v>882.28</v>
      </c>
      <c r="I437" t="s">
        <v>16</v>
      </c>
      <c r="J437" s="2">
        <v>0.15</v>
      </c>
      <c r="K437" t="s">
        <v>30</v>
      </c>
      <c r="L437" t="s">
        <v>18</v>
      </c>
      <c r="M437" t="s">
        <v>47</v>
      </c>
      <c r="N437">
        <f>SalesData[[#This Row],[Quantity_Sold]]*SalesData[[#This Row],[Unit_Cost]]</f>
        <v>20962.2</v>
      </c>
      <c r="O437">
        <f>SalesData[[#This Row],[Quantity_Sold]]*SalesData[[#This Row],[Unit_Price]]</f>
        <v>26468.399999999998</v>
      </c>
      <c r="P437">
        <f>SalesData[[#This Row],[Gross_sales]]*(1-SalesData[[#This Row],[Discount]])</f>
        <v>22498.139999999996</v>
      </c>
      <c r="Q437" s="2">
        <f>SalesData[[#This Row],[Sales_amount]]-SalesData[[#This Row],[Total_Cost]]</f>
        <v>1535.9399999999951</v>
      </c>
      <c r="R437" s="2">
        <f>SalesData[[#This Row],[Profit]]/SalesData[[#This Row],[Sales_amount]]</f>
        <v>6.8269643623872694E-2</v>
      </c>
      <c r="S437" s="2">
        <f>SalesData[[#This Row],[Unit_Price]]-SalesData[[#This Row],[Unit_Cost]]</f>
        <v>183.53999999999996</v>
      </c>
      <c r="T437" s="10">
        <f>SalesData[[#This Row],[Unit_Margin]]/SalesData[[#This Row],[Unit_Price]]</f>
        <v>0.20802919708029194</v>
      </c>
      <c r="U437" s="2" t="str">
        <f>IF(SalesData[[#This Row],[Unit_Margin]]&lt;0, "Negative margin", "Positive margin")</f>
        <v>Positive margin</v>
      </c>
      <c r="V437" s="2" t="str">
        <f>IF(SalesData[[#This Row],[Profit]]&lt;0, "Loss", "Profit")</f>
        <v>Profit</v>
      </c>
      <c r="W437" s="2">
        <f>SalesData[[#This Row],[Unit_Price]]*(1-SalesData[[#This Row],[Discount]])</f>
        <v>749.93799999999999</v>
      </c>
      <c r="X437" s="2">
        <f>SalesData[[#This Row],[Effective_Unit_Price]]-SalesData[[#This Row],[Unit_Cost]]</f>
        <v>51.197999999999979</v>
      </c>
      <c r="Y437" s="2" t="str">
        <f>IF(SalesData[[#This Row],[Effective_Unit_Margin]]&lt;0,"Loss per Unit","Positive per Unit")</f>
        <v>Positive per Unit</v>
      </c>
    </row>
    <row r="438" spans="1:25" x14ac:dyDescent="0.3">
      <c r="A438">
        <v>1063</v>
      </c>
      <c r="B438" s="1">
        <v>45099</v>
      </c>
      <c r="C438" t="s">
        <v>13</v>
      </c>
      <c r="D438" t="s">
        <v>24</v>
      </c>
      <c r="E438">
        <v>25</v>
      </c>
      <c r="F438" t="s">
        <v>34</v>
      </c>
      <c r="G438">
        <v>3997.1</v>
      </c>
      <c r="H438">
        <v>4212.6499999999996</v>
      </c>
      <c r="I438" t="s">
        <v>29</v>
      </c>
      <c r="J438" s="2">
        <v>0.22</v>
      </c>
      <c r="K438" t="s">
        <v>17</v>
      </c>
      <c r="L438" t="s">
        <v>18</v>
      </c>
      <c r="M438" t="s">
        <v>31</v>
      </c>
      <c r="N438">
        <f>SalesData[[#This Row],[Quantity_Sold]]*SalesData[[#This Row],[Unit_Cost]]</f>
        <v>99927.5</v>
      </c>
      <c r="O438">
        <f>SalesData[[#This Row],[Quantity_Sold]]*SalesData[[#This Row],[Unit_Price]]</f>
        <v>105316.24999999999</v>
      </c>
      <c r="P438">
        <f>SalesData[[#This Row],[Gross_sales]]*(1-SalesData[[#This Row],[Discount]])</f>
        <v>82146.674999999988</v>
      </c>
      <c r="Q438" s="2">
        <f>SalesData[[#This Row],[Sales_amount]]-SalesData[[#This Row],[Total_Cost]]</f>
        <v>-17780.825000000012</v>
      </c>
      <c r="R438" s="2">
        <f>SalesData[[#This Row],[Profit]]/SalesData[[#This Row],[Sales_amount]]</f>
        <v>-0.21645215707148238</v>
      </c>
      <c r="S438" s="2">
        <f>SalesData[[#This Row],[Unit_Price]]-SalesData[[#This Row],[Unit_Cost]]</f>
        <v>215.54999999999973</v>
      </c>
      <c r="T438" s="10">
        <f>SalesData[[#This Row],[Unit_Margin]]/SalesData[[#This Row],[Unit_Price]]</f>
        <v>5.1167317484243822E-2</v>
      </c>
      <c r="U438" s="2" t="str">
        <f>IF(SalesData[[#This Row],[Unit_Margin]]&lt;0, "Negative margin", "Positive margin")</f>
        <v>Positive margin</v>
      </c>
      <c r="V438" s="2" t="str">
        <f>IF(SalesData[[#This Row],[Profit]]&lt;0, "Loss", "Profit")</f>
        <v>Loss</v>
      </c>
      <c r="W438" s="2">
        <f>SalesData[[#This Row],[Unit_Price]]*(1-SalesData[[#This Row],[Discount]])</f>
        <v>3285.8669999999997</v>
      </c>
      <c r="X438" s="2">
        <f>SalesData[[#This Row],[Effective_Unit_Price]]-SalesData[[#This Row],[Unit_Cost]]</f>
        <v>-711.23300000000017</v>
      </c>
      <c r="Y438" s="2" t="str">
        <f>IF(SalesData[[#This Row],[Effective_Unit_Margin]]&lt;0,"Loss per Unit","Positive per Unit")</f>
        <v>Loss per Unit</v>
      </c>
    </row>
    <row r="439" spans="1:25" x14ac:dyDescent="0.3">
      <c r="A439">
        <v>1086</v>
      </c>
      <c r="B439" s="1">
        <v>45116</v>
      </c>
      <c r="C439" t="s">
        <v>23</v>
      </c>
      <c r="D439" t="s">
        <v>14</v>
      </c>
      <c r="E439">
        <v>28</v>
      </c>
      <c r="F439" t="s">
        <v>25</v>
      </c>
      <c r="G439">
        <v>2564.35</v>
      </c>
      <c r="H439">
        <v>2765.79</v>
      </c>
      <c r="I439" t="s">
        <v>16</v>
      </c>
      <c r="J439" s="2">
        <v>0.17</v>
      </c>
      <c r="K439" t="s">
        <v>30</v>
      </c>
      <c r="L439" t="s">
        <v>18</v>
      </c>
      <c r="M439" t="s">
        <v>44</v>
      </c>
      <c r="N439">
        <f>SalesData[[#This Row],[Quantity_Sold]]*SalesData[[#This Row],[Unit_Cost]]</f>
        <v>71801.8</v>
      </c>
      <c r="O439">
        <f>SalesData[[#This Row],[Quantity_Sold]]*SalesData[[#This Row],[Unit_Price]]</f>
        <v>77442.12</v>
      </c>
      <c r="P439">
        <f>SalesData[[#This Row],[Gross_sales]]*(1-SalesData[[#This Row],[Discount]])</f>
        <v>64276.959599999995</v>
      </c>
      <c r="Q439" s="2">
        <f>SalesData[[#This Row],[Sales_amount]]-SalesData[[#This Row],[Total_Cost]]</f>
        <v>-7524.8404000000082</v>
      </c>
      <c r="R439" s="2">
        <f>SalesData[[#This Row],[Profit]]/SalesData[[#This Row],[Sales_amount]]</f>
        <v>-0.11706901581573888</v>
      </c>
      <c r="S439" s="2">
        <f>SalesData[[#This Row],[Unit_Price]]-SalesData[[#This Row],[Unit_Cost]]</f>
        <v>201.44000000000005</v>
      </c>
      <c r="T439" s="10">
        <f>SalesData[[#This Row],[Unit_Margin]]/SalesData[[#This Row],[Unit_Price]]</f>
        <v>7.2832716872936867E-2</v>
      </c>
      <c r="U439" s="2" t="str">
        <f>IF(SalesData[[#This Row],[Unit_Margin]]&lt;0, "Negative margin", "Positive margin")</f>
        <v>Positive margin</v>
      </c>
      <c r="V439" s="2" t="str">
        <f>IF(SalesData[[#This Row],[Profit]]&lt;0, "Loss", "Profit")</f>
        <v>Loss</v>
      </c>
      <c r="W439" s="2">
        <f>SalesData[[#This Row],[Unit_Price]]*(1-SalesData[[#This Row],[Discount]])</f>
        <v>2295.6057000000001</v>
      </c>
      <c r="X439" s="2">
        <f>SalesData[[#This Row],[Effective_Unit_Price]]-SalesData[[#This Row],[Unit_Cost]]</f>
        <v>-268.74429999999984</v>
      </c>
      <c r="Y439" s="2" t="str">
        <f>IF(SalesData[[#This Row],[Effective_Unit_Margin]]&lt;0,"Loss per Unit","Positive per Unit")</f>
        <v>Loss per Unit</v>
      </c>
    </row>
    <row r="440" spans="1:25" x14ac:dyDescent="0.3">
      <c r="A440">
        <v>1051</v>
      </c>
      <c r="B440" s="1">
        <v>45048</v>
      </c>
      <c r="C440" t="s">
        <v>41</v>
      </c>
      <c r="D440" t="s">
        <v>14</v>
      </c>
      <c r="E440">
        <v>34</v>
      </c>
      <c r="F440" t="s">
        <v>15</v>
      </c>
      <c r="G440">
        <v>3764.14</v>
      </c>
      <c r="H440">
        <v>4100.3999999999996</v>
      </c>
      <c r="I440" t="s">
        <v>16</v>
      </c>
      <c r="J440" s="2">
        <v>0.05</v>
      </c>
      <c r="K440" t="s">
        <v>26</v>
      </c>
      <c r="L440" t="s">
        <v>21</v>
      </c>
      <c r="M440" t="s">
        <v>48</v>
      </c>
      <c r="N440">
        <f>SalesData[[#This Row],[Quantity_Sold]]*SalesData[[#This Row],[Unit_Cost]]</f>
        <v>127980.76</v>
      </c>
      <c r="O440">
        <f>SalesData[[#This Row],[Quantity_Sold]]*SalesData[[#This Row],[Unit_Price]]</f>
        <v>139413.59999999998</v>
      </c>
      <c r="P440">
        <f>SalesData[[#This Row],[Gross_sales]]*(1-SalesData[[#This Row],[Discount]])</f>
        <v>132442.91999999998</v>
      </c>
      <c r="Q440" s="2">
        <f>SalesData[[#This Row],[Sales_amount]]-SalesData[[#This Row],[Total_Cost]]</f>
        <v>4462.1599999999889</v>
      </c>
      <c r="R440" s="2">
        <f>SalesData[[#This Row],[Profit]]/SalesData[[#This Row],[Sales_amount]]</f>
        <v>3.3691193157021827E-2</v>
      </c>
      <c r="S440" s="2">
        <f>SalesData[[#This Row],[Unit_Price]]-SalesData[[#This Row],[Unit_Cost]]</f>
        <v>336.25999999999976</v>
      </c>
      <c r="T440" s="10">
        <f>SalesData[[#This Row],[Unit_Margin]]/SalesData[[#This Row],[Unit_Price]]</f>
        <v>8.2006633499170756E-2</v>
      </c>
      <c r="U440" s="2" t="str">
        <f>IF(SalesData[[#This Row],[Unit_Margin]]&lt;0, "Negative margin", "Positive margin")</f>
        <v>Positive margin</v>
      </c>
      <c r="V440" s="2" t="str">
        <f>IF(SalesData[[#This Row],[Profit]]&lt;0, "Loss", "Profit")</f>
        <v>Profit</v>
      </c>
      <c r="W440" s="2">
        <f>SalesData[[#This Row],[Unit_Price]]*(1-SalesData[[#This Row],[Discount]])</f>
        <v>3895.3799999999997</v>
      </c>
      <c r="X440" s="2">
        <f>SalesData[[#This Row],[Effective_Unit_Price]]-SalesData[[#This Row],[Unit_Cost]]</f>
        <v>131.23999999999978</v>
      </c>
      <c r="Y440" s="2" t="str">
        <f>IF(SalesData[[#This Row],[Effective_Unit_Margin]]&lt;0,"Loss per Unit","Positive per Unit")</f>
        <v>Positive per Unit</v>
      </c>
    </row>
    <row r="441" spans="1:25" x14ac:dyDescent="0.3">
      <c r="A441">
        <v>1025</v>
      </c>
      <c r="B441" s="1">
        <v>44972</v>
      </c>
      <c r="C441" t="s">
        <v>23</v>
      </c>
      <c r="D441" t="s">
        <v>24</v>
      </c>
      <c r="E441">
        <v>45</v>
      </c>
      <c r="F441" t="s">
        <v>28</v>
      </c>
      <c r="G441">
        <v>1588.04</v>
      </c>
      <c r="H441">
        <v>1703.6399999999901</v>
      </c>
      <c r="I441" t="s">
        <v>29</v>
      </c>
      <c r="J441" s="2">
        <v>0.2</v>
      </c>
      <c r="K441" t="s">
        <v>26</v>
      </c>
      <c r="L441" t="s">
        <v>21</v>
      </c>
      <c r="M441" t="s">
        <v>27</v>
      </c>
      <c r="N441">
        <f>SalesData[[#This Row],[Quantity_Sold]]*SalesData[[#This Row],[Unit_Cost]]</f>
        <v>71461.8</v>
      </c>
      <c r="O441">
        <f>SalesData[[#This Row],[Quantity_Sold]]*SalesData[[#This Row],[Unit_Price]]</f>
        <v>76663.799999999552</v>
      </c>
      <c r="P441">
        <f>SalesData[[#This Row],[Gross_sales]]*(1-SalesData[[#This Row],[Discount]])</f>
        <v>61331.039999999644</v>
      </c>
      <c r="Q441" s="2">
        <f>SalesData[[#This Row],[Sales_amount]]-SalesData[[#This Row],[Total_Cost]]</f>
        <v>-10130.760000000359</v>
      </c>
      <c r="R441" s="2">
        <f>SalesData[[#This Row],[Profit]]/SalesData[[#This Row],[Sales_amount]]</f>
        <v>-0.16518161113851024</v>
      </c>
      <c r="S441" s="2">
        <f>SalesData[[#This Row],[Unit_Price]]-SalesData[[#This Row],[Unit_Cost]]</f>
        <v>115.59999999999013</v>
      </c>
      <c r="T441" s="10">
        <f>SalesData[[#This Row],[Unit_Margin]]/SalesData[[#This Row],[Unit_Price]]</f>
        <v>6.7854711089191846E-2</v>
      </c>
      <c r="U441" s="2" t="str">
        <f>IF(SalesData[[#This Row],[Unit_Margin]]&lt;0, "Negative margin", "Positive margin")</f>
        <v>Positive margin</v>
      </c>
      <c r="V441" s="2" t="str">
        <f>IF(SalesData[[#This Row],[Profit]]&lt;0, "Loss", "Profit")</f>
        <v>Loss</v>
      </c>
      <c r="W441" s="2">
        <f>SalesData[[#This Row],[Unit_Price]]*(1-SalesData[[#This Row],[Discount]])</f>
        <v>1362.9119999999921</v>
      </c>
      <c r="X441" s="2">
        <f>SalesData[[#This Row],[Effective_Unit_Price]]-SalesData[[#This Row],[Unit_Cost]]</f>
        <v>-225.12800000000789</v>
      </c>
      <c r="Y441" s="2" t="str">
        <f>IF(SalesData[[#This Row],[Effective_Unit_Margin]]&lt;0,"Loss per Unit","Positive per Unit")</f>
        <v>Loss per Unit</v>
      </c>
    </row>
    <row r="442" spans="1:25" x14ac:dyDescent="0.3">
      <c r="A442">
        <v>1058</v>
      </c>
      <c r="B442" s="1">
        <v>44990</v>
      </c>
      <c r="C442" t="s">
        <v>37</v>
      </c>
      <c r="D442" t="s">
        <v>14</v>
      </c>
      <c r="E442">
        <v>48</v>
      </c>
      <c r="F442" t="s">
        <v>15</v>
      </c>
      <c r="G442">
        <v>2596.7199999999998</v>
      </c>
      <c r="H442">
        <v>2715.0499999999902</v>
      </c>
      <c r="I442" t="s">
        <v>16</v>
      </c>
      <c r="J442" s="2">
        <v>0.04</v>
      </c>
      <c r="K442" t="s">
        <v>17</v>
      </c>
      <c r="L442" t="s">
        <v>18</v>
      </c>
      <c r="M442" t="s">
        <v>39</v>
      </c>
      <c r="N442">
        <f>SalesData[[#This Row],[Quantity_Sold]]*SalesData[[#This Row],[Unit_Cost]]</f>
        <v>124642.56</v>
      </c>
      <c r="O442">
        <f>SalesData[[#This Row],[Quantity_Sold]]*SalesData[[#This Row],[Unit_Price]]</f>
        <v>130322.39999999953</v>
      </c>
      <c r="P442">
        <f>SalesData[[#This Row],[Gross_sales]]*(1-SalesData[[#This Row],[Discount]])</f>
        <v>125109.50399999955</v>
      </c>
      <c r="Q442" s="2">
        <f>SalesData[[#This Row],[Sales_amount]]-SalesData[[#This Row],[Total_Cost]]</f>
        <v>466.94399999955203</v>
      </c>
      <c r="R442" s="2">
        <f>SalesData[[#This Row],[Profit]]/SalesData[[#This Row],[Sales_amount]]</f>
        <v>3.7322824011799594E-3</v>
      </c>
      <c r="S442" s="2">
        <f>SalesData[[#This Row],[Unit_Price]]-SalesData[[#This Row],[Unit_Cost]]</f>
        <v>118.32999999999038</v>
      </c>
      <c r="T442" s="10">
        <f>SalesData[[#This Row],[Unit_Margin]]/SalesData[[#This Row],[Unit_Price]]</f>
        <v>4.35829911051328E-2</v>
      </c>
      <c r="U442" s="2" t="str">
        <f>IF(SalesData[[#This Row],[Unit_Margin]]&lt;0, "Negative margin", "Positive margin")</f>
        <v>Positive margin</v>
      </c>
      <c r="V442" s="2" t="str">
        <f>IF(SalesData[[#This Row],[Profit]]&lt;0, "Loss", "Profit")</f>
        <v>Profit</v>
      </c>
      <c r="W442" s="2">
        <f>SalesData[[#This Row],[Unit_Price]]*(1-SalesData[[#This Row],[Discount]])</f>
        <v>2606.4479999999903</v>
      </c>
      <c r="X442" s="2">
        <f>SalesData[[#This Row],[Effective_Unit_Price]]-SalesData[[#This Row],[Unit_Cost]]</f>
        <v>9.7279999999905158</v>
      </c>
      <c r="Y442" s="2" t="str">
        <f>IF(SalesData[[#This Row],[Effective_Unit_Margin]]&lt;0,"Loss per Unit","Positive per Unit")</f>
        <v>Positive per Unit</v>
      </c>
    </row>
    <row r="443" spans="1:25" x14ac:dyDescent="0.3">
      <c r="A443">
        <v>1063</v>
      </c>
      <c r="B443" s="1">
        <v>45056</v>
      </c>
      <c r="C443" t="s">
        <v>23</v>
      </c>
      <c r="D443" t="s">
        <v>33</v>
      </c>
      <c r="E443">
        <v>47</v>
      </c>
      <c r="F443" t="s">
        <v>34</v>
      </c>
      <c r="G443">
        <v>4291.33</v>
      </c>
      <c r="H443">
        <v>4658.6400000000003</v>
      </c>
      <c r="I443" t="s">
        <v>29</v>
      </c>
      <c r="J443" s="2">
        <v>0.24</v>
      </c>
      <c r="K443" t="s">
        <v>30</v>
      </c>
      <c r="L443" t="s">
        <v>21</v>
      </c>
      <c r="M443" t="s">
        <v>49</v>
      </c>
      <c r="N443">
        <f>SalesData[[#This Row],[Quantity_Sold]]*SalesData[[#This Row],[Unit_Cost]]</f>
        <v>201692.51</v>
      </c>
      <c r="O443">
        <f>SalesData[[#This Row],[Quantity_Sold]]*SalesData[[#This Row],[Unit_Price]]</f>
        <v>218956.08000000002</v>
      </c>
      <c r="P443">
        <f>SalesData[[#This Row],[Gross_sales]]*(1-SalesData[[#This Row],[Discount]])</f>
        <v>166406.6208</v>
      </c>
      <c r="Q443" s="2">
        <f>SalesData[[#This Row],[Sales_amount]]-SalesData[[#This Row],[Total_Cost]]</f>
        <v>-35285.889200000005</v>
      </c>
      <c r="R443" s="2">
        <f>SalesData[[#This Row],[Profit]]/SalesData[[#This Row],[Sales_amount]]</f>
        <v>-0.21204618560465358</v>
      </c>
      <c r="S443" s="2">
        <f>SalesData[[#This Row],[Unit_Price]]-SalesData[[#This Row],[Unit_Cost]]</f>
        <v>367.3100000000004</v>
      </c>
      <c r="T443" s="10">
        <f>SalesData[[#This Row],[Unit_Margin]]/SalesData[[#This Row],[Unit_Price]]</f>
        <v>7.8844898940463398E-2</v>
      </c>
      <c r="U443" s="2" t="str">
        <f>IF(SalesData[[#This Row],[Unit_Margin]]&lt;0, "Negative margin", "Positive margin")</f>
        <v>Positive margin</v>
      </c>
      <c r="V443" s="2" t="str">
        <f>IF(SalesData[[#This Row],[Profit]]&lt;0, "Loss", "Profit")</f>
        <v>Loss</v>
      </c>
      <c r="W443" s="2">
        <f>SalesData[[#This Row],[Unit_Price]]*(1-SalesData[[#This Row],[Discount]])</f>
        <v>3540.5664000000002</v>
      </c>
      <c r="X443" s="2">
        <f>SalesData[[#This Row],[Effective_Unit_Price]]-SalesData[[#This Row],[Unit_Cost]]</f>
        <v>-750.76359999999977</v>
      </c>
      <c r="Y443" s="2" t="str">
        <f>IF(SalesData[[#This Row],[Effective_Unit_Margin]]&lt;0,"Loss per Unit","Positive per Unit")</f>
        <v>Loss per Unit</v>
      </c>
    </row>
    <row r="444" spans="1:25" x14ac:dyDescent="0.3">
      <c r="A444">
        <v>1062</v>
      </c>
      <c r="B444" s="1">
        <v>45236</v>
      </c>
      <c r="C444" t="s">
        <v>23</v>
      </c>
      <c r="D444" t="s">
        <v>33</v>
      </c>
      <c r="E444">
        <v>25</v>
      </c>
      <c r="F444" t="s">
        <v>25</v>
      </c>
      <c r="G444">
        <v>2361.0500000000002</v>
      </c>
      <c r="H444">
        <v>2616.19</v>
      </c>
      <c r="I444" t="s">
        <v>29</v>
      </c>
      <c r="J444" s="2">
        <v>0.3</v>
      </c>
      <c r="K444" t="s">
        <v>26</v>
      </c>
      <c r="L444" t="s">
        <v>21</v>
      </c>
      <c r="M444" t="s">
        <v>49</v>
      </c>
      <c r="N444">
        <f>SalesData[[#This Row],[Quantity_Sold]]*SalesData[[#This Row],[Unit_Cost]]</f>
        <v>59026.250000000007</v>
      </c>
      <c r="O444">
        <f>SalesData[[#This Row],[Quantity_Sold]]*SalesData[[#This Row],[Unit_Price]]</f>
        <v>65404.75</v>
      </c>
      <c r="P444">
        <f>SalesData[[#This Row],[Gross_sales]]*(1-SalesData[[#This Row],[Discount]])</f>
        <v>45783.324999999997</v>
      </c>
      <c r="Q444" s="2">
        <f>SalesData[[#This Row],[Sales_amount]]-SalesData[[#This Row],[Total_Cost]]</f>
        <v>-13242.92500000001</v>
      </c>
      <c r="R444" s="2">
        <f>SalesData[[#This Row],[Profit]]/SalesData[[#This Row],[Sales_amount]]</f>
        <v>-0.28925214584130821</v>
      </c>
      <c r="S444" s="2">
        <f>SalesData[[#This Row],[Unit_Price]]-SalesData[[#This Row],[Unit_Cost]]</f>
        <v>255.13999999999987</v>
      </c>
      <c r="T444" s="10">
        <f>SalesData[[#This Row],[Unit_Margin]]/SalesData[[#This Row],[Unit_Price]]</f>
        <v>9.7523497911084389E-2</v>
      </c>
      <c r="U444" s="2" t="str">
        <f>IF(SalesData[[#This Row],[Unit_Margin]]&lt;0, "Negative margin", "Positive margin")</f>
        <v>Positive margin</v>
      </c>
      <c r="V444" s="2" t="str">
        <f>IF(SalesData[[#This Row],[Profit]]&lt;0, "Loss", "Profit")</f>
        <v>Loss</v>
      </c>
      <c r="W444" s="2">
        <f>SalesData[[#This Row],[Unit_Price]]*(1-SalesData[[#This Row],[Discount]])</f>
        <v>1831.3329999999999</v>
      </c>
      <c r="X444" s="2">
        <f>SalesData[[#This Row],[Effective_Unit_Price]]-SalesData[[#This Row],[Unit_Cost]]</f>
        <v>-529.71700000000033</v>
      </c>
      <c r="Y444" s="2" t="str">
        <f>IF(SalesData[[#This Row],[Effective_Unit_Margin]]&lt;0,"Loss per Unit","Positive per Unit")</f>
        <v>Loss per Unit</v>
      </c>
    </row>
    <row r="445" spans="1:25" x14ac:dyDescent="0.3">
      <c r="A445">
        <v>1022</v>
      </c>
      <c r="B445" s="1">
        <v>45289</v>
      </c>
      <c r="C445" t="s">
        <v>23</v>
      </c>
      <c r="D445" t="s">
        <v>14</v>
      </c>
      <c r="E445">
        <v>10</v>
      </c>
      <c r="F445" t="s">
        <v>15</v>
      </c>
      <c r="G445">
        <v>1830.61</v>
      </c>
      <c r="H445">
        <v>2044.04</v>
      </c>
      <c r="I445" t="s">
        <v>29</v>
      </c>
      <c r="J445" s="2">
        <v>0.11</v>
      </c>
      <c r="K445" t="s">
        <v>17</v>
      </c>
      <c r="L445" t="s">
        <v>18</v>
      </c>
      <c r="M445" t="s">
        <v>44</v>
      </c>
      <c r="N445">
        <f>SalesData[[#This Row],[Quantity_Sold]]*SalesData[[#This Row],[Unit_Cost]]</f>
        <v>18306.099999999999</v>
      </c>
      <c r="O445">
        <f>SalesData[[#This Row],[Quantity_Sold]]*SalesData[[#This Row],[Unit_Price]]</f>
        <v>20440.400000000001</v>
      </c>
      <c r="P445">
        <f>SalesData[[#This Row],[Gross_sales]]*(1-SalesData[[#This Row],[Discount]])</f>
        <v>18191.956000000002</v>
      </c>
      <c r="Q445" s="2">
        <f>SalesData[[#This Row],[Sales_amount]]-SalesData[[#This Row],[Total_Cost]]</f>
        <v>-114.14399999999659</v>
      </c>
      <c r="R445" s="2">
        <f>SalesData[[#This Row],[Profit]]/SalesData[[#This Row],[Sales_amount]]</f>
        <v>-6.2744215080553509E-3</v>
      </c>
      <c r="S445" s="2">
        <f>SalesData[[#This Row],[Unit_Price]]-SalesData[[#This Row],[Unit_Cost]]</f>
        <v>213.43000000000006</v>
      </c>
      <c r="T445" s="10">
        <f>SalesData[[#This Row],[Unit_Margin]]/SalesData[[#This Row],[Unit_Price]]</f>
        <v>0.10441576485783061</v>
      </c>
      <c r="U445" s="2" t="str">
        <f>IF(SalesData[[#This Row],[Unit_Margin]]&lt;0, "Negative margin", "Positive margin")</f>
        <v>Positive margin</v>
      </c>
      <c r="V445" s="2" t="str">
        <f>IF(SalesData[[#This Row],[Profit]]&lt;0, "Loss", "Profit")</f>
        <v>Loss</v>
      </c>
      <c r="W445" s="2">
        <f>SalesData[[#This Row],[Unit_Price]]*(1-SalesData[[#This Row],[Discount]])</f>
        <v>1819.1956</v>
      </c>
      <c r="X445" s="2">
        <f>SalesData[[#This Row],[Effective_Unit_Price]]-SalesData[[#This Row],[Unit_Cost]]</f>
        <v>-11.414399999999887</v>
      </c>
      <c r="Y445" s="2" t="str">
        <f>IF(SalesData[[#This Row],[Effective_Unit_Margin]]&lt;0,"Loss per Unit","Positive per Unit")</f>
        <v>Loss per Unit</v>
      </c>
    </row>
    <row r="446" spans="1:25" x14ac:dyDescent="0.3">
      <c r="A446">
        <v>1058</v>
      </c>
      <c r="B446" s="1">
        <v>45119</v>
      </c>
      <c r="C446" t="s">
        <v>37</v>
      </c>
      <c r="D446" t="s">
        <v>33</v>
      </c>
      <c r="E446">
        <v>14</v>
      </c>
      <c r="F446" t="s">
        <v>34</v>
      </c>
      <c r="G446">
        <v>2703.97</v>
      </c>
      <c r="H446">
        <v>2796.8799999999901</v>
      </c>
      <c r="I446" t="s">
        <v>29</v>
      </c>
      <c r="J446" s="2">
        <v>0.13</v>
      </c>
      <c r="K446" t="s">
        <v>26</v>
      </c>
      <c r="L446" t="s">
        <v>18</v>
      </c>
      <c r="M446" t="s">
        <v>47</v>
      </c>
      <c r="N446">
        <f>SalesData[[#This Row],[Quantity_Sold]]*SalesData[[#This Row],[Unit_Cost]]</f>
        <v>37855.579999999994</v>
      </c>
      <c r="O446">
        <f>SalesData[[#This Row],[Quantity_Sold]]*SalesData[[#This Row],[Unit_Price]]</f>
        <v>39156.319999999861</v>
      </c>
      <c r="P446">
        <f>SalesData[[#This Row],[Gross_sales]]*(1-SalesData[[#This Row],[Discount]])</f>
        <v>34065.99839999988</v>
      </c>
      <c r="Q446" s="2">
        <f>SalesData[[#This Row],[Sales_amount]]-SalesData[[#This Row],[Total_Cost]]</f>
        <v>-3789.5816000001141</v>
      </c>
      <c r="R446" s="2">
        <f>SalesData[[#This Row],[Profit]]/SalesData[[#This Row],[Sales_amount]]</f>
        <v>-0.11124234656219932</v>
      </c>
      <c r="S446" s="2">
        <f>SalesData[[#This Row],[Unit_Price]]-SalesData[[#This Row],[Unit_Cost]]</f>
        <v>92.909999999990305</v>
      </c>
      <c r="T446" s="10">
        <f>SalesData[[#This Row],[Unit_Margin]]/SalesData[[#This Row],[Unit_Price]]</f>
        <v>3.3219158490886497E-2</v>
      </c>
      <c r="U446" s="2" t="str">
        <f>IF(SalesData[[#This Row],[Unit_Margin]]&lt;0, "Negative margin", "Positive margin")</f>
        <v>Positive margin</v>
      </c>
      <c r="V446" s="2" t="str">
        <f>IF(SalesData[[#This Row],[Profit]]&lt;0, "Loss", "Profit")</f>
        <v>Loss</v>
      </c>
      <c r="W446" s="2">
        <f>SalesData[[#This Row],[Unit_Price]]*(1-SalesData[[#This Row],[Discount]])</f>
        <v>2433.2855999999915</v>
      </c>
      <c r="X446" s="2">
        <f>SalesData[[#This Row],[Effective_Unit_Price]]-SalesData[[#This Row],[Unit_Cost]]</f>
        <v>-270.68440000000828</v>
      </c>
      <c r="Y446" s="2" t="str">
        <f>IF(SalesData[[#This Row],[Effective_Unit_Margin]]&lt;0,"Loss per Unit","Positive per Unit")</f>
        <v>Loss per Unit</v>
      </c>
    </row>
    <row r="447" spans="1:25" x14ac:dyDescent="0.3">
      <c r="A447">
        <v>1058</v>
      </c>
      <c r="B447" s="1">
        <v>45233</v>
      </c>
      <c r="C447" t="s">
        <v>23</v>
      </c>
      <c r="D447" t="s">
        <v>20</v>
      </c>
      <c r="E447">
        <v>42</v>
      </c>
      <c r="F447" t="s">
        <v>28</v>
      </c>
      <c r="G447">
        <v>3600.95</v>
      </c>
      <c r="H447">
        <v>3702.8399999999901</v>
      </c>
      <c r="I447" t="s">
        <v>16</v>
      </c>
      <c r="J447" s="2">
        <v>0.01</v>
      </c>
      <c r="K447" t="s">
        <v>17</v>
      </c>
      <c r="L447" t="s">
        <v>21</v>
      </c>
      <c r="M447" t="s">
        <v>46</v>
      </c>
      <c r="N447">
        <f>SalesData[[#This Row],[Quantity_Sold]]*SalesData[[#This Row],[Unit_Cost]]</f>
        <v>151239.9</v>
      </c>
      <c r="O447">
        <f>SalesData[[#This Row],[Quantity_Sold]]*SalesData[[#This Row],[Unit_Price]]</f>
        <v>155519.27999999959</v>
      </c>
      <c r="P447">
        <f>SalesData[[#This Row],[Gross_sales]]*(1-SalesData[[#This Row],[Discount]])</f>
        <v>153964.0871999996</v>
      </c>
      <c r="Q447" s="2">
        <f>SalesData[[#This Row],[Sales_amount]]-SalesData[[#This Row],[Total_Cost]]</f>
        <v>2724.1871999996074</v>
      </c>
      <c r="R447" s="2">
        <f>SalesData[[#This Row],[Profit]]/SalesData[[#This Row],[Sales_amount]]</f>
        <v>1.7693653432705275E-2</v>
      </c>
      <c r="S447" s="2">
        <f>SalesData[[#This Row],[Unit_Price]]-SalesData[[#This Row],[Unit_Cost]]</f>
        <v>101.88999999999032</v>
      </c>
      <c r="T447" s="10">
        <f>SalesData[[#This Row],[Unit_Margin]]/SalesData[[#This Row],[Unit_Price]]</f>
        <v>2.7516716898378164E-2</v>
      </c>
      <c r="U447" s="2" t="str">
        <f>IF(SalesData[[#This Row],[Unit_Margin]]&lt;0, "Negative margin", "Positive margin")</f>
        <v>Positive margin</v>
      </c>
      <c r="V447" s="2" t="str">
        <f>IF(SalesData[[#This Row],[Profit]]&lt;0, "Loss", "Profit")</f>
        <v>Profit</v>
      </c>
      <c r="W447" s="2">
        <f>SalesData[[#This Row],[Unit_Price]]*(1-SalesData[[#This Row],[Discount]])</f>
        <v>3665.81159999999</v>
      </c>
      <c r="X447" s="2">
        <f>SalesData[[#This Row],[Effective_Unit_Price]]-SalesData[[#This Row],[Unit_Cost]]</f>
        <v>64.861599999990176</v>
      </c>
      <c r="Y447" s="2" t="str">
        <f>IF(SalesData[[#This Row],[Effective_Unit_Margin]]&lt;0,"Loss per Unit","Positive per Unit")</f>
        <v>Positive per Unit</v>
      </c>
    </row>
    <row r="448" spans="1:25" x14ac:dyDescent="0.3">
      <c r="A448">
        <v>1086</v>
      </c>
      <c r="B448" s="1">
        <v>45107</v>
      </c>
      <c r="C448" t="s">
        <v>13</v>
      </c>
      <c r="D448" t="s">
        <v>14</v>
      </c>
      <c r="E448">
        <v>46</v>
      </c>
      <c r="F448" t="s">
        <v>28</v>
      </c>
      <c r="G448">
        <v>2245.64</v>
      </c>
      <c r="H448">
        <v>2260.81</v>
      </c>
      <c r="I448" t="s">
        <v>29</v>
      </c>
      <c r="J448" s="2">
        <v>0</v>
      </c>
      <c r="K448" t="s">
        <v>17</v>
      </c>
      <c r="L448" t="s">
        <v>21</v>
      </c>
      <c r="M448" t="s">
        <v>19</v>
      </c>
      <c r="N448">
        <f>SalesData[[#This Row],[Quantity_Sold]]*SalesData[[#This Row],[Unit_Cost]]</f>
        <v>103299.43999999999</v>
      </c>
      <c r="O448">
        <f>SalesData[[#This Row],[Quantity_Sold]]*SalesData[[#This Row],[Unit_Price]]</f>
        <v>103997.26</v>
      </c>
      <c r="P448">
        <f>SalesData[[#This Row],[Gross_sales]]*(1-SalesData[[#This Row],[Discount]])</f>
        <v>103997.26</v>
      </c>
      <c r="Q448" s="2">
        <f>SalesData[[#This Row],[Sales_amount]]-SalesData[[#This Row],[Total_Cost]]</f>
        <v>697.82000000000698</v>
      </c>
      <c r="R448" s="2">
        <f>SalesData[[#This Row],[Profit]]/SalesData[[#This Row],[Sales_amount]]</f>
        <v>6.7099844745910327E-3</v>
      </c>
      <c r="S448" s="2">
        <f>SalesData[[#This Row],[Unit_Price]]-SalesData[[#This Row],[Unit_Cost]]</f>
        <v>15.170000000000073</v>
      </c>
      <c r="T448" s="10">
        <f>SalesData[[#This Row],[Unit_Margin]]/SalesData[[#This Row],[Unit_Price]]</f>
        <v>6.7099844745909971E-3</v>
      </c>
      <c r="U448" s="2" t="str">
        <f>IF(SalesData[[#This Row],[Unit_Margin]]&lt;0, "Negative margin", "Positive margin")</f>
        <v>Positive margin</v>
      </c>
      <c r="V448" s="2" t="str">
        <f>IF(SalesData[[#This Row],[Profit]]&lt;0, "Loss", "Profit")</f>
        <v>Profit</v>
      </c>
      <c r="W448" s="2">
        <f>SalesData[[#This Row],[Unit_Price]]*(1-SalesData[[#This Row],[Discount]])</f>
        <v>2260.81</v>
      </c>
      <c r="X448" s="2">
        <f>SalesData[[#This Row],[Effective_Unit_Price]]-SalesData[[#This Row],[Unit_Cost]]</f>
        <v>15.170000000000073</v>
      </c>
      <c r="Y448" s="2" t="str">
        <f>IF(SalesData[[#This Row],[Effective_Unit_Margin]]&lt;0,"Loss per Unit","Positive per Unit")</f>
        <v>Positive per Unit</v>
      </c>
    </row>
    <row r="449" spans="1:25" x14ac:dyDescent="0.3">
      <c r="A449">
        <v>1049</v>
      </c>
      <c r="B449" s="1">
        <v>45218</v>
      </c>
      <c r="C449" t="s">
        <v>37</v>
      </c>
      <c r="D449" t="s">
        <v>24</v>
      </c>
      <c r="E449">
        <v>30</v>
      </c>
      <c r="F449" t="s">
        <v>28</v>
      </c>
      <c r="G449">
        <v>4697.4399999999996</v>
      </c>
      <c r="H449">
        <v>4752.24</v>
      </c>
      <c r="I449" t="s">
        <v>29</v>
      </c>
      <c r="J449" s="2">
        <v>0.28000000000000003</v>
      </c>
      <c r="K449" t="s">
        <v>30</v>
      </c>
      <c r="L449" t="s">
        <v>18</v>
      </c>
      <c r="M449" t="s">
        <v>38</v>
      </c>
      <c r="N449">
        <f>SalesData[[#This Row],[Quantity_Sold]]*SalesData[[#This Row],[Unit_Cost]]</f>
        <v>140923.19999999998</v>
      </c>
      <c r="O449">
        <f>SalesData[[#This Row],[Quantity_Sold]]*SalesData[[#This Row],[Unit_Price]]</f>
        <v>142567.19999999998</v>
      </c>
      <c r="P449">
        <f>SalesData[[#This Row],[Gross_sales]]*(1-SalesData[[#This Row],[Discount]])</f>
        <v>102648.38399999998</v>
      </c>
      <c r="Q449" s="2">
        <f>SalesData[[#This Row],[Sales_amount]]-SalesData[[#This Row],[Total_Cost]]</f>
        <v>-38274.816000000006</v>
      </c>
      <c r="R449" s="2">
        <f>SalesData[[#This Row],[Profit]]/SalesData[[#This Row],[Sales_amount]]</f>
        <v>-0.37287304980855829</v>
      </c>
      <c r="S449" s="2">
        <f>SalesData[[#This Row],[Unit_Price]]-SalesData[[#This Row],[Unit_Cost]]</f>
        <v>54.800000000000182</v>
      </c>
      <c r="T449" s="10">
        <f>SalesData[[#This Row],[Unit_Margin]]/SalesData[[#This Row],[Unit_Price]]</f>
        <v>1.1531404137838194E-2</v>
      </c>
      <c r="U449" s="2" t="str">
        <f>IF(SalesData[[#This Row],[Unit_Margin]]&lt;0, "Negative margin", "Positive margin")</f>
        <v>Positive margin</v>
      </c>
      <c r="V449" s="2" t="str">
        <f>IF(SalesData[[#This Row],[Profit]]&lt;0, "Loss", "Profit")</f>
        <v>Loss</v>
      </c>
      <c r="W449" s="2">
        <f>SalesData[[#This Row],[Unit_Price]]*(1-SalesData[[#This Row],[Discount]])</f>
        <v>3421.6127999999999</v>
      </c>
      <c r="X449" s="2">
        <f>SalesData[[#This Row],[Effective_Unit_Price]]-SalesData[[#This Row],[Unit_Cost]]</f>
        <v>-1275.8271999999997</v>
      </c>
      <c r="Y449" s="2" t="str">
        <f>IF(SalesData[[#This Row],[Effective_Unit_Margin]]&lt;0,"Loss per Unit","Positive per Unit")</f>
        <v>Loss per Unit</v>
      </c>
    </row>
    <row r="450" spans="1:25" x14ac:dyDescent="0.3">
      <c r="A450">
        <v>1052</v>
      </c>
      <c r="B450" s="1">
        <v>45208</v>
      </c>
      <c r="C450" t="s">
        <v>23</v>
      </c>
      <c r="D450" t="s">
        <v>20</v>
      </c>
      <c r="E450">
        <v>41</v>
      </c>
      <c r="F450" t="s">
        <v>34</v>
      </c>
      <c r="G450">
        <v>1509.98</v>
      </c>
      <c r="H450">
        <v>1792.83</v>
      </c>
      <c r="I450" t="s">
        <v>29</v>
      </c>
      <c r="J450" s="2">
        <v>0.04</v>
      </c>
      <c r="K450" t="s">
        <v>17</v>
      </c>
      <c r="L450" t="s">
        <v>21</v>
      </c>
      <c r="M450" t="s">
        <v>46</v>
      </c>
      <c r="N450">
        <f>SalesData[[#This Row],[Quantity_Sold]]*SalesData[[#This Row],[Unit_Cost]]</f>
        <v>61909.18</v>
      </c>
      <c r="O450">
        <f>SalesData[[#This Row],[Quantity_Sold]]*SalesData[[#This Row],[Unit_Price]]</f>
        <v>73506.03</v>
      </c>
      <c r="P450">
        <f>SalesData[[#This Row],[Gross_sales]]*(1-SalesData[[#This Row],[Discount]])</f>
        <v>70565.788799999995</v>
      </c>
      <c r="Q450" s="2">
        <f>SalesData[[#This Row],[Sales_amount]]-SalesData[[#This Row],[Total_Cost]]</f>
        <v>8656.6087999999945</v>
      </c>
      <c r="R450" s="2">
        <f>SalesData[[#This Row],[Profit]]/SalesData[[#This Row],[Sales_amount]]</f>
        <v>0.12267430077958677</v>
      </c>
      <c r="S450" s="2">
        <f>SalesData[[#This Row],[Unit_Price]]-SalesData[[#This Row],[Unit_Cost]]</f>
        <v>282.84999999999991</v>
      </c>
      <c r="T450" s="10">
        <f>SalesData[[#This Row],[Unit_Margin]]/SalesData[[#This Row],[Unit_Price]]</f>
        <v>0.15776732874840332</v>
      </c>
      <c r="U450" s="2" t="str">
        <f>IF(SalesData[[#This Row],[Unit_Margin]]&lt;0, "Negative margin", "Positive margin")</f>
        <v>Positive margin</v>
      </c>
      <c r="V450" s="2" t="str">
        <f>IF(SalesData[[#This Row],[Profit]]&lt;0, "Loss", "Profit")</f>
        <v>Profit</v>
      </c>
      <c r="W450" s="2">
        <f>SalesData[[#This Row],[Unit_Price]]*(1-SalesData[[#This Row],[Discount]])</f>
        <v>1721.1167999999998</v>
      </c>
      <c r="X450" s="2">
        <f>SalesData[[#This Row],[Effective_Unit_Price]]-SalesData[[#This Row],[Unit_Cost]]</f>
        <v>211.13679999999977</v>
      </c>
      <c r="Y450" s="2" t="str">
        <f>IF(SalesData[[#This Row],[Effective_Unit_Margin]]&lt;0,"Loss per Unit","Positive per Unit")</f>
        <v>Positive per Unit</v>
      </c>
    </row>
    <row r="451" spans="1:25" x14ac:dyDescent="0.3">
      <c r="A451">
        <v>1042</v>
      </c>
      <c r="B451" s="1">
        <v>44955</v>
      </c>
      <c r="C451" t="s">
        <v>37</v>
      </c>
      <c r="D451" t="s">
        <v>14</v>
      </c>
      <c r="E451">
        <v>25</v>
      </c>
      <c r="F451" t="s">
        <v>25</v>
      </c>
      <c r="G451">
        <v>2403.54</v>
      </c>
      <c r="H451">
        <v>2850.56</v>
      </c>
      <c r="I451" t="s">
        <v>29</v>
      </c>
      <c r="J451" s="2">
        <v>0.13</v>
      </c>
      <c r="K451" t="s">
        <v>26</v>
      </c>
      <c r="L451" t="s">
        <v>18</v>
      </c>
      <c r="M451" t="s">
        <v>39</v>
      </c>
      <c r="N451">
        <f>SalesData[[#This Row],[Quantity_Sold]]*SalesData[[#This Row],[Unit_Cost]]</f>
        <v>60088.5</v>
      </c>
      <c r="O451">
        <f>SalesData[[#This Row],[Quantity_Sold]]*SalesData[[#This Row],[Unit_Price]]</f>
        <v>71264</v>
      </c>
      <c r="P451">
        <f>SalesData[[#This Row],[Gross_sales]]*(1-SalesData[[#This Row],[Discount]])</f>
        <v>61999.68</v>
      </c>
      <c r="Q451" s="2">
        <f>SalesData[[#This Row],[Sales_amount]]-SalesData[[#This Row],[Total_Cost]]</f>
        <v>1911.1800000000003</v>
      </c>
      <c r="R451" s="2">
        <f>SalesData[[#This Row],[Profit]]/SalesData[[#This Row],[Sales_amount]]</f>
        <v>3.08256429710605E-2</v>
      </c>
      <c r="S451" s="2">
        <f>SalesData[[#This Row],[Unit_Price]]-SalesData[[#This Row],[Unit_Cost]]</f>
        <v>447.02</v>
      </c>
      <c r="T451" s="10">
        <f>SalesData[[#This Row],[Unit_Margin]]/SalesData[[#This Row],[Unit_Price]]</f>
        <v>0.15681830938482264</v>
      </c>
      <c r="U451" s="2" t="str">
        <f>IF(SalesData[[#This Row],[Unit_Margin]]&lt;0, "Negative margin", "Positive margin")</f>
        <v>Positive margin</v>
      </c>
      <c r="V451" s="2" t="str">
        <f>IF(SalesData[[#This Row],[Profit]]&lt;0, "Loss", "Profit")</f>
        <v>Profit</v>
      </c>
      <c r="W451" s="2">
        <f>SalesData[[#This Row],[Unit_Price]]*(1-SalesData[[#This Row],[Discount]])</f>
        <v>2479.9872</v>
      </c>
      <c r="X451" s="2">
        <f>SalesData[[#This Row],[Effective_Unit_Price]]-SalesData[[#This Row],[Unit_Cost]]</f>
        <v>76.447200000000066</v>
      </c>
      <c r="Y451" s="2" t="str">
        <f>IF(SalesData[[#This Row],[Effective_Unit_Margin]]&lt;0,"Loss per Unit","Positive per Unit")</f>
        <v>Positive per Unit</v>
      </c>
    </row>
    <row r="452" spans="1:25" x14ac:dyDescent="0.3">
      <c r="A452">
        <v>1070</v>
      </c>
      <c r="B452" s="1">
        <v>45075</v>
      </c>
      <c r="C452" t="s">
        <v>32</v>
      </c>
      <c r="D452" t="s">
        <v>24</v>
      </c>
      <c r="E452">
        <v>14</v>
      </c>
      <c r="F452" t="s">
        <v>15</v>
      </c>
      <c r="G452">
        <v>3796.79</v>
      </c>
      <c r="H452">
        <v>3947.5</v>
      </c>
      <c r="I452" t="s">
        <v>16</v>
      </c>
      <c r="J452" s="2">
        <v>0.24</v>
      </c>
      <c r="K452" t="s">
        <v>26</v>
      </c>
      <c r="L452" t="s">
        <v>18</v>
      </c>
      <c r="M452" t="s">
        <v>43</v>
      </c>
      <c r="N452">
        <f>SalesData[[#This Row],[Quantity_Sold]]*SalesData[[#This Row],[Unit_Cost]]</f>
        <v>53155.06</v>
      </c>
      <c r="O452">
        <f>SalesData[[#This Row],[Quantity_Sold]]*SalesData[[#This Row],[Unit_Price]]</f>
        <v>55265</v>
      </c>
      <c r="P452">
        <f>SalesData[[#This Row],[Gross_sales]]*(1-SalesData[[#This Row],[Discount]])</f>
        <v>42001.4</v>
      </c>
      <c r="Q452" s="2">
        <f>SalesData[[#This Row],[Sales_amount]]-SalesData[[#This Row],[Total_Cost]]</f>
        <v>-11153.659999999996</v>
      </c>
      <c r="R452" s="2">
        <f>SalesData[[#This Row],[Profit]]/SalesData[[#This Row],[Sales_amount]]</f>
        <v>-0.26555448151728267</v>
      </c>
      <c r="S452" s="2">
        <f>SalesData[[#This Row],[Unit_Price]]-SalesData[[#This Row],[Unit_Cost]]</f>
        <v>150.71000000000004</v>
      </c>
      <c r="T452" s="10">
        <f>SalesData[[#This Row],[Unit_Margin]]/SalesData[[#This Row],[Unit_Price]]</f>
        <v>3.8178594046865112E-2</v>
      </c>
      <c r="U452" s="2" t="str">
        <f>IF(SalesData[[#This Row],[Unit_Margin]]&lt;0, "Negative margin", "Positive margin")</f>
        <v>Positive margin</v>
      </c>
      <c r="V452" s="2" t="str">
        <f>IF(SalesData[[#This Row],[Profit]]&lt;0, "Loss", "Profit")</f>
        <v>Loss</v>
      </c>
      <c r="W452" s="2">
        <f>SalesData[[#This Row],[Unit_Price]]*(1-SalesData[[#This Row],[Discount]])</f>
        <v>3000.1</v>
      </c>
      <c r="X452" s="2">
        <f>SalesData[[#This Row],[Effective_Unit_Price]]-SalesData[[#This Row],[Unit_Cost]]</f>
        <v>-796.69</v>
      </c>
      <c r="Y452" s="2" t="str">
        <f>IF(SalesData[[#This Row],[Effective_Unit_Margin]]&lt;0,"Loss per Unit","Positive per Unit")</f>
        <v>Loss per Unit</v>
      </c>
    </row>
    <row r="453" spans="1:25" x14ac:dyDescent="0.3">
      <c r="A453">
        <v>1015</v>
      </c>
      <c r="B453" s="1">
        <v>45193</v>
      </c>
      <c r="C453" t="s">
        <v>13</v>
      </c>
      <c r="D453" t="s">
        <v>33</v>
      </c>
      <c r="E453">
        <v>35</v>
      </c>
      <c r="F453" t="s">
        <v>28</v>
      </c>
      <c r="G453">
        <v>3461.15</v>
      </c>
      <c r="H453">
        <v>3631.75</v>
      </c>
      <c r="I453" t="s">
        <v>16</v>
      </c>
      <c r="J453" s="2">
        <v>0.27</v>
      </c>
      <c r="K453" t="s">
        <v>30</v>
      </c>
      <c r="L453" t="s">
        <v>18</v>
      </c>
      <c r="M453" t="s">
        <v>45</v>
      </c>
      <c r="N453">
        <f>SalesData[[#This Row],[Quantity_Sold]]*SalesData[[#This Row],[Unit_Cost]]</f>
        <v>121140.25</v>
      </c>
      <c r="O453">
        <f>SalesData[[#This Row],[Quantity_Sold]]*SalesData[[#This Row],[Unit_Price]]</f>
        <v>127111.25</v>
      </c>
      <c r="P453">
        <f>SalesData[[#This Row],[Gross_sales]]*(1-SalesData[[#This Row],[Discount]])</f>
        <v>92791.212499999994</v>
      </c>
      <c r="Q453" s="2">
        <f>SalesData[[#This Row],[Sales_amount]]-SalesData[[#This Row],[Total_Cost]]</f>
        <v>-28349.037500000006</v>
      </c>
      <c r="R453" s="2">
        <f>SalesData[[#This Row],[Profit]]/SalesData[[#This Row],[Sales_amount]]</f>
        <v>-0.30551424791437021</v>
      </c>
      <c r="S453" s="2">
        <f>SalesData[[#This Row],[Unit_Price]]-SalesData[[#This Row],[Unit_Cost]]</f>
        <v>170.59999999999991</v>
      </c>
      <c r="T453" s="10">
        <f>SalesData[[#This Row],[Unit_Margin]]/SalesData[[#This Row],[Unit_Price]]</f>
        <v>4.6974599022509785E-2</v>
      </c>
      <c r="U453" s="2" t="str">
        <f>IF(SalesData[[#This Row],[Unit_Margin]]&lt;0, "Negative margin", "Positive margin")</f>
        <v>Positive margin</v>
      </c>
      <c r="V453" s="2" t="str">
        <f>IF(SalesData[[#This Row],[Profit]]&lt;0, "Loss", "Profit")</f>
        <v>Loss</v>
      </c>
      <c r="W453" s="2">
        <f>SalesData[[#This Row],[Unit_Price]]*(1-SalesData[[#This Row],[Discount]])</f>
        <v>2651.1774999999998</v>
      </c>
      <c r="X453" s="2">
        <f>SalesData[[#This Row],[Effective_Unit_Price]]-SalesData[[#This Row],[Unit_Cost]]</f>
        <v>-809.97250000000031</v>
      </c>
      <c r="Y453" s="2" t="str">
        <f>IF(SalesData[[#This Row],[Effective_Unit_Margin]]&lt;0,"Loss per Unit","Positive per Unit")</f>
        <v>Loss per Unit</v>
      </c>
    </row>
    <row r="454" spans="1:25" x14ac:dyDescent="0.3">
      <c r="A454">
        <v>1054</v>
      </c>
      <c r="B454" s="1">
        <v>45222</v>
      </c>
      <c r="C454" t="s">
        <v>23</v>
      </c>
      <c r="D454" t="s">
        <v>24</v>
      </c>
      <c r="E454">
        <v>48</v>
      </c>
      <c r="F454" t="s">
        <v>34</v>
      </c>
      <c r="G454">
        <v>4325.0200000000004</v>
      </c>
      <c r="H454">
        <v>4391.67</v>
      </c>
      <c r="I454" t="s">
        <v>16</v>
      </c>
      <c r="J454" s="2">
        <v>0.16</v>
      </c>
      <c r="K454" t="s">
        <v>30</v>
      </c>
      <c r="L454" t="s">
        <v>21</v>
      </c>
      <c r="M454" t="s">
        <v>27</v>
      </c>
      <c r="N454">
        <f>SalesData[[#This Row],[Quantity_Sold]]*SalesData[[#This Row],[Unit_Cost]]</f>
        <v>207600.96000000002</v>
      </c>
      <c r="O454">
        <f>SalesData[[#This Row],[Quantity_Sold]]*SalesData[[#This Row],[Unit_Price]]</f>
        <v>210800.16</v>
      </c>
      <c r="P454">
        <f>SalesData[[#This Row],[Gross_sales]]*(1-SalesData[[#This Row],[Discount]])</f>
        <v>177072.13440000001</v>
      </c>
      <c r="Q454" s="2">
        <f>SalesData[[#This Row],[Sales_amount]]-SalesData[[#This Row],[Total_Cost]]</f>
        <v>-30528.825600000011</v>
      </c>
      <c r="R454" s="2">
        <f>SalesData[[#This Row],[Profit]]/SalesData[[#This Row],[Sales_amount]]</f>
        <v>-0.17240897729868901</v>
      </c>
      <c r="S454" s="2">
        <f>SalesData[[#This Row],[Unit_Price]]-SalesData[[#This Row],[Unit_Cost]]</f>
        <v>66.649999999999636</v>
      </c>
      <c r="T454" s="10">
        <f>SalesData[[#This Row],[Unit_Margin]]/SalesData[[#This Row],[Unit_Price]]</f>
        <v>1.5176459069101193E-2</v>
      </c>
      <c r="U454" s="2" t="str">
        <f>IF(SalesData[[#This Row],[Unit_Margin]]&lt;0, "Negative margin", "Positive margin")</f>
        <v>Positive margin</v>
      </c>
      <c r="V454" s="2" t="str">
        <f>IF(SalesData[[#This Row],[Profit]]&lt;0, "Loss", "Profit")</f>
        <v>Loss</v>
      </c>
      <c r="W454" s="2">
        <f>SalesData[[#This Row],[Unit_Price]]*(1-SalesData[[#This Row],[Discount]])</f>
        <v>3689.0027999999998</v>
      </c>
      <c r="X454" s="2">
        <f>SalesData[[#This Row],[Effective_Unit_Price]]-SalesData[[#This Row],[Unit_Cost]]</f>
        <v>-636.01720000000068</v>
      </c>
      <c r="Y454" s="2" t="str">
        <f>IF(SalesData[[#This Row],[Effective_Unit_Margin]]&lt;0,"Loss per Unit","Positive per Unit")</f>
        <v>Loss per Unit</v>
      </c>
    </row>
    <row r="455" spans="1:25" x14ac:dyDescent="0.3">
      <c r="A455">
        <v>1060</v>
      </c>
      <c r="B455" s="1">
        <v>44937</v>
      </c>
      <c r="C455" t="s">
        <v>32</v>
      </c>
      <c r="D455" t="s">
        <v>20</v>
      </c>
      <c r="E455">
        <v>34</v>
      </c>
      <c r="F455" t="s">
        <v>34</v>
      </c>
      <c r="G455">
        <v>4984.21</v>
      </c>
      <c r="H455">
        <v>5184.6400000000003</v>
      </c>
      <c r="I455" t="s">
        <v>29</v>
      </c>
      <c r="J455" s="2">
        <v>0.17</v>
      </c>
      <c r="K455" t="s">
        <v>17</v>
      </c>
      <c r="L455" t="s">
        <v>18</v>
      </c>
      <c r="M455" t="s">
        <v>36</v>
      </c>
      <c r="N455">
        <f>SalesData[[#This Row],[Quantity_Sold]]*SalesData[[#This Row],[Unit_Cost]]</f>
        <v>169463.14</v>
      </c>
      <c r="O455">
        <f>SalesData[[#This Row],[Quantity_Sold]]*SalesData[[#This Row],[Unit_Price]]</f>
        <v>176277.76000000001</v>
      </c>
      <c r="P455">
        <f>SalesData[[#This Row],[Gross_sales]]*(1-SalesData[[#This Row],[Discount]])</f>
        <v>146310.54079999999</v>
      </c>
      <c r="Q455" s="2">
        <f>SalesData[[#This Row],[Sales_amount]]-SalesData[[#This Row],[Total_Cost]]</f>
        <v>-23152.599200000026</v>
      </c>
      <c r="R455" s="2">
        <f>SalesData[[#This Row],[Profit]]/SalesData[[#This Row],[Sales_amount]]</f>
        <v>-0.15824286530147272</v>
      </c>
      <c r="S455" s="2">
        <f>SalesData[[#This Row],[Unit_Price]]-SalesData[[#This Row],[Unit_Cost]]</f>
        <v>200.43000000000029</v>
      </c>
      <c r="T455" s="10">
        <f>SalesData[[#This Row],[Unit_Margin]]/SalesData[[#This Row],[Unit_Price]]</f>
        <v>3.865842179977786E-2</v>
      </c>
      <c r="U455" s="2" t="str">
        <f>IF(SalesData[[#This Row],[Unit_Margin]]&lt;0, "Negative margin", "Positive margin")</f>
        <v>Positive margin</v>
      </c>
      <c r="V455" s="2" t="str">
        <f>IF(SalesData[[#This Row],[Profit]]&lt;0, "Loss", "Profit")</f>
        <v>Loss</v>
      </c>
      <c r="W455" s="2">
        <f>SalesData[[#This Row],[Unit_Price]]*(1-SalesData[[#This Row],[Discount]])</f>
        <v>4303.2511999999997</v>
      </c>
      <c r="X455" s="2">
        <f>SalesData[[#This Row],[Effective_Unit_Price]]-SalesData[[#This Row],[Unit_Cost]]</f>
        <v>-680.95880000000034</v>
      </c>
      <c r="Y455" s="2" t="str">
        <f>IF(SalesData[[#This Row],[Effective_Unit_Margin]]&lt;0,"Loss per Unit","Positive per Unit")</f>
        <v>Loss per Unit</v>
      </c>
    </row>
    <row r="456" spans="1:25" x14ac:dyDescent="0.3">
      <c r="A456">
        <v>1097</v>
      </c>
      <c r="B456" s="1">
        <v>45090</v>
      </c>
      <c r="C456" t="s">
        <v>32</v>
      </c>
      <c r="D456" t="s">
        <v>33</v>
      </c>
      <c r="E456">
        <v>10</v>
      </c>
      <c r="F456" t="s">
        <v>15</v>
      </c>
      <c r="G456">
        <v>2162.9499999999998</v>
      </c>
      <c r="H456">
        <v>2191.1899999999901</v>
      </c>
      <c r="I456" t="s">
        <v>16</v>
      </c>
      <c r="J456" s="2">
        <v>0.2</v>
      </c>
      <c r="K456" t="s">
        <v>30</v>
      </c>
      <c r="L456" t="s">
        <v>18</v>
      </c>
      <c r="M456" t="s">
        <v>35</v>
      </c>
      <c r="N456">
        <f>SalesData[[#This Row],[Quantity_Sold]]*SalesData[[#This Row],[Unit_Cost]]</f>
        <v>21629.5</v>
      </c>
      <c r="O456">
        <f>SalesData[[#This Row],[Quantity_Sold]]*SalesData[[#This Row],[Unit_Price]]</f>
        <v>21911.8999999999</v>
      </c>
      <c r="P456">
        <f>SalesData[[#This Row],[Gross_sales]]*(1-SalesData[[#This Row],[Discount]])</f>
        <v>17529.51999999992</v>
      </c>
      <c r="Q456" s="2">
        <f>SalesData[[#This Row],[Sales_amount]]-SalesData[[#This Row],[Total_Cost]]</f>
        <v>-4099.9800000000796</v>
      </c>
      <c r="R456" s="2">
        <f>SalesData[[#This Row],[Profit]]/SalesData[[#This Row],[Sales_amount]]</f>
        <v>-0.2338900323568528</v>
      </c>
      <c r="S456" s="2">
        <f>SalesData[[#This Row],[Unit_Price]]-SalesData[[#This Row],[Unit_Cost]]</f>
        <v>28.239999999990232</v>
      </c>
      <c r="T456" s="10">
        <f>SalesData[[#This Row],[Unit_Margin]]/SalesData[[#This Row],[Unit_Price]]</f>
        <v>1.2887974114517847E-2</v>
      </c>
      <c r="U456" s="2" t="str">
        <f>IF(SalesData[[#This Row],[Unit_Margin]]&lt;0, "Negative margin", "Positive margin")</f>
        <v>Positive margin</v>
      </c>
      <c r="V456" s="2" t="str">
        <f>IF(SalesData[[#This Row],[Profit]]&lt;0, "Loss", "Profit")</f>
        <v>Loss</v>
      </c>
      <c r="W456" s="2">
        <f>SalesData[[#This Row],[Unit_Price]]*(1-SalesData[[#This Row],[Discount]])</f>
        <v>1752.951999999992</v>
      </c>
      <c r="X456" s="2">
        <f>SalesData[[#This Row],[Effective_Unit_Price]]-SalesData[[#This Row],[Unit_Cost]]</f>
        <v>-409.99800000000778</v>
      </c>
      <c r="Y456" s="2" t="str">
        <f>IF(SalesData[[#This Row],[Effective_Unit_Margin]]&lt;0,"Loss per Unit","Positive per Unit")</f>
        <v>Loss per Unit</v>
      </c>
    </row>
    <row r="457" spans="1:25" x14ac:dyDescent="0.3">
      <c r="A457">
        <v>1008</v>
      </c>
      <c r="B457" s="1">
        <v>45039</v>
      </c>
      <c r="C457" t="s">
        <v>37</v>
      </c>
      <c r="D457" t="s">
        <v>14</v>
      </c>
      <c r="E457">
        <v>35</v>
      </c>
      <c r="F457" t="s">
        <v>28</v>
      </c>
      <c r="G457">
        <v>600.20000000000005</v>
      </c>
      <c r="H457">
        <v>1059.82</v>
      </c>
      <c r="I457" t="s">
        <v>16</v>
      </c>
      <c r="J457" s="2">
        <v>0.28999999999999998</v>
      </c>
      <c r="K457" t="s">
        <v>26</v>
      </c>
      <c r="L457" t="s">
        <v>21</v>
      </c>
      <c r="M457" t="s">
        <v>39</v>
      </c>
      <c r="N457">
        <f>SalesData[[#This Row],[Quantity_Sold]]*SalesData[[#This Row],[Unit_Cost]]</f>
        <v>21007</v>
      </c>
      <c r="O457">
        <f>SalesData[[#This Row],[Quantity_Sold]]*SalesData[[#This Row],[Unit_Price]]</f>
        <v>37093.699999999997</v>
      </c>
      <c r="P457">
        <f>SalesData[[#This Row],[Gross_sales]]*(1-SalesData[[#This Row],[Discount]])</f>
        <v>26336.526999999998</v>
      </c>
      <c r="Q457" s="2">
        <f>SalesData[[#This Row],[Sales_amount]]-SalesData[[#This Row],[Total_Cost]]</f>
        <v>5329.5269999999982</v>
      </c>
      <c r="R457" s="2">
        <f>SalesData[[#This Row],[Profit]]/SalesData[[#This Row],[Sales_amount]]</f>
        <v>0.20236255904204828</v>
      </c>
      <c r="S457" s="2">
        <f>SalesData[[#This Row],[Unit_Price]]-SalesData[[#This Row],[Unit_Cost]]</f>
        <v>459.61999999999989</v>
      </c>
      <c r="T457" s="10">
        <f>SalesData[[#This Row],[Unit_Margin]]/SalesData[[#This Row],[Unit_Price]]</f>
        <v>0.43367741691985423</v>
      </c>
      <c r="U457" s="2" t="str">
        <f>IF(SalesData[[#This Row],[Unit_Margin]]&lt;0, "Negative margin", "Positive margin")</f>
        <v>Positive margin</v>
      </c>
      <c r="V457" s="2" t="str">
        <f>IF(SalesData[[#This Row],[Profit]]&lt;0, "Loss", "Profit")</f>
        <v>Profit</v>
      </c>
      <c r="W457" s="2">
        <f>SalesData[[#This Row],[Unit_Price]]*(1-SalesData[[#This Row],[Discount]])</f>
        <v>752.47219999999993</v>
      </c>
      <c r="X457" s="2">
        <f>SalesData[[#This Row],[Effective_Unit_Price]]-SalesData[[#This Row],[Unit_Cost]]</f>
        <v>152.27219999999988</v>
      </c>
      <c r="Y457" s="2" t="str">
        <f>IF(SalesData[[#This Row],[Effective_Unit_Margin]]&lt;0,"Loss per Unit","Positive per Unit")</f>
        <v>Positive per Unit</v>
      </c>
    </row>
    <row r="458" spans="1:25" x14ac:dyDescent="0.3">
      <c r="A458">
        <v>1053</v>
      </c>
      <c r="B458" s="1">
        <v>45113</v>
      </c>
      <c r="C458" t="s">
        <v>32</v>
      </c>
      <c r="D458" t="s">
        <v>33</v>
      </c>
      <c r="E458">
        <v>11</v>
      </c>
      <c r="F458" t="s">
        <v>34</v>
      </c>
      <c r="G458">
        <v>200.56</v>
      </c>
      <c r="H458">
        <v>540.38</v>
      </c>
      <c r="I458" t="s">
        <v>29</v>
      </c>
      <c r="J458" s="2">
        <v>0.18</v>
      </c>
      <c r="K458" t="s">
        <v>26</v>
      </c>
      <c r="L458" t="s">
        <v>18</v>
      </c>
      <c r="M458" t="s">
        <v>35</v>
      </c>
      <c r="N458">
        <f>SalesData[[#This Row],[Quantity_Sold]]*SalesData[[#This Row],[Unit_Cost]]</f>
        <v>2206.16</v>
      </c>
      <c r="O458">
        <f>SalesData[[#This Row],[Quantity_Sold]]*SalesData[[#This Row],[Unit_Price]]</f>
        <v>5944.18</v>
      </c>
      <c r="P458">
        <f>SalesData[[#This Row],[Gross_sales]]*(1-SalesData[[#This Row],[Discount]])</f>
        <v>4874.2276000000002</v>
      </c>
      <c r="Q458" s="2">
        <f>SalesData[[#This Row],[Sales_amount]]-SalesData[[#This Row],[Total_Cost]]</f>
        <v>2668.0676000000003</v>
      </c>
      <c r="R458" s="2">
        <f>SalesData[[#This Row],[Profit]]/SalesData[[#This Row],[Sales_amount]]</f>
        <v>0.54738264581653928</v>
      </c>
      <c r="S458" s="2">
        <f>SalesData[[#This Row],[Unit_Price]]-SalesData[[#This Row],[Unit_Cost]]</f>
        <v>339.82</v>
      </c>
      <c r="T458" s="10">
        <f>SalesData[[#This Row],[Unit_Margin]]/SalesData[[#This Row],[Unit_Price]]</f>
        <v>0.62885376956956218</v>
      </c>
      <c r="U458" s="2" t="str">
        <f>IF(SalesData[[#This Row],[Unit_Margin]]&lt;0, "Negative margin", "Positive margin")</f>
        <v>Positive margin</v>
      </c>
      <c r="V458" s="2" t="str">
        <f>IF(SalesData[[#This Row],[Profit]]&lt;0, "Loss", "Profit")</f>
        <v>Profit</v>
      </c>
      <c r="W458" s="2">
        <f>SalesData[[#This Row],[Unit_Price]]*(1-SalesData[[#This Row],[Discount]])</f>
        <v>443.11160000000001</v>
      </c>
      <c r="X458" s="2">
        <f>SalesData[[#This Row],[Effective_Unit_Price]]-SalesData[[#This Row],[Unit_Cost]]</f>
        <v>242.55160000000001</v>
      </c>
      <c r="Y458" s="2" t="str">
        <f>IF(SalesData[[#This Row],[Effective_Unit_Margin]]&lt;0,"Loss per Unit","Positive per Unit")</f>
        <v>Positive per Unit</v>
      </c>
    </row>
    <row r="459" spans="1:25" x14ac:dyDescent="0.3">
      <c r="A459">
        <v>1060</v>
      </c>
      <c r="B459" s="1">
        <v>45221</v>
      </c>
      <c r="C459" t="s">
        <v>13</v>
      </c>
      <c r="D459" t="s">
        <v>14</v>
      </c>
      <c r="E459">
        <v>11</v>
      </c>
      <c r="F459" t="s">
        <v>15</v>
      </c>
      <c r="G459">
        <v>3648.04</v>
      </c>
      <c r="H459">
        <v>4143.51</v>
      </c>
      <c r="I459" t="s">
        <v>16</v>
      </c>
      <c r="J459" s="2">
        <v>0.17</v>
      </c>
      <c r="K459" t="s">
        <v>30</v>
      </c>
      <c r="L459" t="s">
        <v>21</v>
      </c>
      <c r="M459" t="s">
        <v>19</v>
      </c>
      <c r="N459">
        <f>SalesData[[#This Row],[Quantity_Sold]]*SalesData[[#This Row],[Unit_Cost]]</f>
        <v>40128.44</v>
      </c>
      <c r="O459">
        <f>SalesData[[#This Row],[Quantity_Sold]]*SalesData[[#This Row],[Unit_Price]]</f>
        <v>45578.61</v>
      </c>
      <c r="P459">
        <f>SalesData[[#This Row],[Gross_sales]]*(1-SalesData[[#This Row],[Discount]])</f>
        <v>37830.246299999999</v>
      </c>
      <c r="Q459" s="2">
        <f>SalesData[[#This Row],[Sales_amount]]-SalesData[[#This Row],[Total_Cost]]</f>
        <v>-2298.1937000000034</v>
      </c>
      <c r="R459" s="2">
        <f>SalesData[[#This Row],[Profit]]/SalesData[[#This Row],[Sales_amount]]</f>
        <v>-6.075016487534747E-2</v>
      </c>
      <c r="S459" s="2">
        <f>SalesData[[#This Row],[Unit_Price]]-SalesData[[#This Row],[Unit_Cost]]</f>
        <v>495.47000000000025</v>
      </c>
      <c r="T459" s="10">
        <f>SalesData[[#This Row],[Unit_Margin]]/SalesData[[#This Row],[Unit_Price]]</f>
        <v>0.11957736315346174</v>
      </c>
      <c r="U459" s="2" t="str">
        <f>IF(SalesData[[#This Row],[Unit_Margin]]&lt;0, "Negative margin", "Positive margin")</f>
        <v>Positive margin</v>
      </c>
      <c r="V459" s="2" t="str">
        <f>IF(SalesData[[#This Row],[Profit]]&lt;0, "Loss", "Profit")</f>
        <v>Loss</v>
      </c>
      <c r="W459" s="2">
        <f>SalesData[[#This Row],[Unit_Price]]*(1-SalesData[[#This Row],[Discount]])</f>
        <v>3439.1133</v>
      </c>
      <c r="X459" s="2">
        <f>SalesData[[#This Row],[Effective_Unit_Price]]-SalesData[[#This Row],[Unit_Cost]]</f>
        <v>-208.92669999999998</v>
      </c>
      <c r="Y459" s="2" t="str">
        <f>IF(SalesData[[#This Row],[Effective_Unit_Margin]]&lt;0,"Loss per Unit","Positive per Unit")</f>
        <v>Loss per Unit</v>
      </c>
    </row>
    <row r="460" spans="1:25" x14ac:dyDescent="0.3">
      <c r="A460">
        <v>1005</v>
      </c>
      <c r="B460" s="1">
        <v>45158</v>
      </c>
      <c r="C460" t="s">
        <v>13</v>
      </c>
      <c r="D460" t="s">
        <v>14</v>
      </c>
      <c r="E460">
        <v>21</v>
      </c>
      <c r="F460" t="s">
        <v>25</v>
      </c>
      <c r="G460">
        <v>4376.37</v>
      </c>
      <c r="H460">
        <v>4818.95</v>
      </c>
      <c r="I460" t="s">
        <v>29</v>
      </c>
      <c r="J460" s="2">
        <v>0</v>
      </c>
      <c r="K460" t="s">
        <v>30</v>
      </c>
      <c r="L460" t="s">
        <v>21</v>
      </c>
      <c r="M460" t="s">
        <v>19</v>
      </c>
      <c r="N460">
        <f>SalesData[[#This Row],[Quantity_Sold]]*SalesData[[#This Row],[Unit_Cost]]</f>
        <v>91903.77</v>
      </c>
      <c r="O460">
        <f>SalesData[[#This Row],[Quantity_Sold]]*SalesData[[#This Row],[Unit_Price]]</f>
        <v>101197.95</v>
      </c>
      <c r="P460">
        <f>SalesData[[#This Row],[Gross_sales]]*(1-SalesData[[#This Row],[Discount]])</f>
        <v>101197.95</v>
      </c>
      <c r="Q460" s="2">
        <f>SalesData[[#This Row],[Sales_amount]]-SalesData[[#This Row],[Total_Cost]]</f>
        <v>9294.179999999993</v>
      </c>
      <c r="R460" s="2">
        <f>SalesData[[#This Row],[Profit]]/SalesData[[#This Row],[Sales_amount]]</f>
        <v>9.1841583747496791E-2</v>
      </c>
      <c r="S460" s="2">
        <f>SalesData[[#This Row],[Unit_Price]]-SalesData[[#This Row],[Unit_Cost]]</f>
        <v>442.57999999999993</v>
      </c>
      <c r="T460" s="10">
        <f>SalesData[[#This Row],[Unit_Margin]]/SalesData[[#This Row],[Unit_Price]]</f>
        <v>9.1841583747496847E-2</v>
      </c>
      <c r="U460" s="2" t="str">
        <f>IF(SalesData[[#This Row],[Unit_Margin]]&lt;0, "Negative margin", "Positive margin")</f>
        <v>Positive margin</v>
      </c>
      <c r="V460" s="2" t="str">
        <f>IF(SalesData[[#This Row],[Profit]]&lt;0, "Loss", "Profit")</f>
        <v>Profit</v>
      </c>
      <c r="W460" s="2">
        <f>SalesData[[#This Row],[Unit_Price]]*(1-SalesData[[#This Row],[Discount]])</f>
        <v>4818.95</v>
      </c>
      <c r="X460" s="2">
        <f>SalesData[[#This Row],[Effective_Unit_Price]]-SalesData[[#This Row],[Unit_Cost]]</f>
        <v>442.57999999999993</v>
      </c>
      <c r="Y460" s="2" t="str">
        <f>IF(SalesData[[#This Row],[Effective_Unit_Margin]]&lt;0,"Loss per Unit","Positive per Unit")</f>
        <v>Positive per Unit</v>
      </c>
    </row>
    <row r="461" spans="1:25" x14ac:dyDescent="0.3">
      <c r="A461">
        <v>1068</v>
      </c>
      <c r="B461" s="1">
        <v>45153</v>
      </c>
      <c r="C461" t="s">
        <v>41</v>
      </c>
      <c r="D461" t="s">
        <v>24</v>
      </c>
      <c r="E461">
        <v>21</v>
      </c>
      <c r="F461" t="s">
        <v>25</v>
      </c>
      <c r="G461">
        <v>1142.53</v>
      </c>
      <c r="H461">
        <v>1384.3</v>
      </c>
      <c r="I461" t="s">
        <v>16</v>
      </c>
      <c r="J461" s="2">
        <v>0.02</v>
      </c>
      <c r="K461" t="s">
        <v>30</v>
      </c>
      <c r="L461" t="s">
        <v>21</v>
      </c>
      <c r="M461" t="s">
        <v>42</v>
      </c>
      <c r="N461">
        <f>SalesData[[#This Row],[Quantity_Sold]]*SalesData[[#This Row],[Unit_Cost]]</f>
        <v>23993.13</v>
      </c>
      <c r="O461">
        <f>SalesData[[#This Row],[Quantity_Sold]]*SalesData[[#This Row],[Unit_Price]]</f>
        <v>29070.3</v>
      </c>
      <c r="P461">
        <f>SalesData[[#This Row],[Gross_sales]]*(1-SalesData[[#This Row],[Discount]])</f>
        <v>28488.894</v>
      </c>
      <c r="Q461" s="2">
        <f>SalesData[[#This Row],[Sales_amount]]-SalesData[[#This Row],[Total_Cost]]</f>
        <v>4495.7639999999992</v>
      </c>
      <c r="R461" s="2">
        <f>SalesData[[#This Row],[Profit]]/SalesData[[#This Row],[Sales_amount]]</f>
        <v>0.15780760039333219</v>
      </c>
      <c r="S461" s="2">
        <f>SalesData[[#This Row],[Unit_Price]]-SalesData[[#This Row],[Unit_Cost]]</f>
        <v>241.76999999999998</v>
      </c>
      <c r="T461" s="10">
        <f>SalesData[[#This Row],[Unit_Margin]]/SalesData[[#This Row],[Unit_Price]]</f>
        <v>0.17465144838546556</v>
      </c>
      <c r="U461" s="2" t="str">
        <f>IF(SalesData[[#This Row],[Unit_Margin]]&lt;0, "Negative margin", "Positive margin")</f>
        <v>Positive margin</v>
      </c>
      <c r="V461" s="2" t="str">
        <f>IF(SalesData[[#This Row],[Profit]]&lt;0, "Loss", "Profit")</f>
        <v>Profit</v>
      </c>
      <c r="W461" s="2">
        <f>SalesData[[#This Row],[Unit_Price]]*(1-SalesData[[#This Row],[Discount]])</f>
        <v>1356.614</v>
      </c>
      <c r="X461" s="2">
        <f>SalesData[[#This Row],[Effective_Unit_Price]]-SalesData[[#This Row],[Unit_Cost]]</f>
        <v>214.08400000000006</v>
      </c>
      <c r="Y461" s="2" t="str">
        <f>IF(SalesData[[#This Row],[Effective_Unit_Margin]]&lt;0,"Loss per Unit","Positive per Unit")</f>
        <v>Positive per Unit</v>
      </c>
    </row>
    <row r="462" spans="1:25" x14ac:dyDescent="0.3">
      <c r="A462">
        <v>1006</v>
      </c>
      <c r="B462" s="1">
        <v>45236</v>
      </c>
      <c r="C462" t="s">
        <v>13</v>
      </c>
      <c r="D462" t="s">
        <v>24</v>
      </c>
      <c r="E462">
        <v>22</v>
      </c>
      <c r="F462" t="s">
        <v>25</v>
      </c>
      <c r="G462">
        <v>834.32</v>
      </c>
      <c r="H462">
        <v>1098.97</v>
      </c>
      <c r="I462" t="s">
        <v>16</v>
      </c>
      <c r="J462" s="2">
        <v>0.17</v>
      </c>
      <c r="K462" t="s">
        <v>17</v>
      </c>
      <c r="L462" t="s">
        <v>18</v>
      </c>
      <c r="M462" t="s">
        <v>31</v>
      </c>
      <c r="N462">
        <f>SalesData[[#This Row],[Quantity_Sold]]*SalesData[[#This Row],[Unit_Cost]]</f>
        <v>18355.04</v>
      </c>
      <c r="O462">
        <f>SalesData[[#This Row],[Quantity_Sold]]*SalesData[[#This Row],[Unit_Price]]</f>
        <v>24177.34</v>
      </c>
      <c r="P462">
        <f>SalesData[[#This Row],[Gross_sales]]*(1-SalesData[[#This Row],[Discount]])</f>
        <v>20067.192199999998</v>
      </c>
      <c r="Q462" s="2">
        <f>SalesData[[#This Row],[Sales_amount]]-SalesData[[#This Row],[Total_Cost]]</f>
        <v>1712.1521999999968</v>
      </c>
      <c r="R462" s="2">
        <f>SalesData[[#This Row],[Profit]]/SalesData[[#This Row],[Sales_amount]]</f>
        <v>8.5320964833336121E-2</v>
      </c>
      <c r="S462" s="2">
        <f>SalesData[[#This Row],[Unit_Price]]-SalesData[[#This Row],[Unit_Cost]]</f>
        <v>264.64999999999998</v>
      </c>
      <c r="T462" s="10">
        <f>SalesData[[#This Row],[Unit_Margin]]/SalesData[[#This Row],[Unit_Price]]</f>
        <v>0.24081640081166908</v>
      </c>
      <c r="U462" s="2" t="str">
        <f>IF(SalesData[[#This Row],[Unit_Margin]]&lt;0, "Negative margin", "Positive margin")</f>
        <v>Positive margin</v>
      </c>
      <c r="V462" s="2" t="str">
        <f>IF(SalesData[[#This Row],[Profit]]&lt;0, "Loss", "Profit")</f>
        <v>Profit</v>
      </c>
      <c r="W462" s="2">
        <f>SalesData[[#This Row],[Unit_Price]]*(1-SalesData[[#This Row],[Discount]])</f>
        <v>912.14509999999996</v>
      </c>
      <c r="X462" s="2">
        <f>SalesData[[#This Row],[Effective_Unit_Price]]-SalesData[[#This Row],[Unit_Cost]]</f>
        <v>77.825099999999907</v>
      </c>
      <c r="Y462" s="2" t="str">
        <f>IF(SalesData[[#This Row],[Effective_Unit_Margin]]&lt;0,"Loss per Unit","Positive per Unit")</f>
        <v>Positive per Unit</v>
      </c>
    </row>
    <row r="463" spans="1:25" x14ac:dyDescent="0.3">
      <c r="A463">
        <v>1096</v>
      </c>
      <c r="B463" s="1">
        <v>45024</v>
      </c>
      <c r="C463" t="s">
        <v>32</v>
      </c>
      <c r="D463" t="s">
        <v>24</v>
      </c>
      <c r="E463">
        <v>45</v>
      </c>
      <c r="F463" t="s">
        <v>28</v>
      </c>
      <c r="G463">
        <v>357.92</v>
      </c>
      <c r="H463">
        <v>461.3</v>
      </c>
      <c r="I463" t="s">
        <v>16</v>
      </c>
      <c r="J463" s="2">
        <v>0.28000000000000003</v>
      </c>
      <c r="K463" t="s">
        <v>17</v>
      </c>
      <c r="L463" t="s">
        <v>18</v>
      </c>
      <c r="M463" t="s">
        <v>43</v>
      </c>
      <c r="N463">
        <f>SalesData[[#This Row],[Quantity_Sold]]*SalesData[[#This Row],[Unit_Cost]]</f>
        <v>16106.400000000001</v>
      </c>
      <c r="O463">
        <f>SalesData[[#This Row],[Quantity_Sold]]*SalesData[[#This Row],[Unit_Price]]</f>
        <v>20758.5</v>
      </c>
      <c r="P463">
        <f>SalesData[[#This Row],[Gross_sales]]*(1-SalesData[[#This Row],[Discount]])</f>
        <v>14946.119999999999</v>
      </c>
      <c r="Q463" s="2">
        <f>SalesData[[#This Row],[Sales_amount]]-SalesData[[#This Row],[Total_Cost]]</f>
        <v>-1160.2800000000025</v>
      </c>
      <c r="R463" s="2">
        <f>SalesData[[#This Row],[Profit]]/SalesData[[#This Row],[Sales_amount]]</f>
        <v>-7.7630850013247751E-2</v>
      </c>
      <c r="S463" s="2">
        <f>SalesData[[#This Row],[Unit_Price]]-SalesData[[#This Row],[Unit_Cost]]</f>
        <v>103.38</v>
      </c>
      <c r="T463" s="10">
        <f>SalesData[[#This Row],[Unit_Margin]]/SalesData[[#This Row],[Unit_Price]]</f>
        <v>0.22410578799046171</v>
      </c>
      <c r="U463" s="2" t="str">
        <f>IF(SalesData[[#This Row],[Unit_Margin]]&lt;0, "Negative margin", "Positive margin")</f>
        <v>Positive margin</v>
      </c>
      <c r="V463" s="2" t="str">
        <f>IF(SalesData[[#This Row],[Profit]]&lt;0, "Loss", "Profit")</f>
        <v>Loss</v>
      </c>
      <c r="W463" s="2">
        <f>SalesData[[#This Row],[Unit_Price]]*(1-SalesData[[#This Row],[Discount]])</f>
        <v>332.13600000000002</v>
      </c>
      <c r="X463" s="2">
        <f>SalesData[[#This Row],[Effective_Unit_Price]]-SalesData[[#This Row],[Unit_Cost]]</f>
        <v>-25.783999999999992</v>
      </c>
      <c r="Y463" s="2" t="str">
        <f>IF(SalesData[[#This Row],[Effective_Unit_Margin]]&lt;0,"Loss per Unit","Positive per Unit")</f>
        <v>Loss per Unit</v>
      </c>
    </row>
    <row r="464" spans="1:25" x14ac:dyDescent="0.3">
      <c r="A464">
        <v>1094</v>
      </c>
      <c r="B464" s="1">
        <v>44981</v>
      </c>
      <c r="C464" t="s">
        <v>13</v>
      </c>
      <c r="D464" t="s">
        <v>20</v>
      </c>
      <c r="E464">
        <v>7</v>
      </c>
      <c r="F464" t="s">
        <v>15</v>
      </c>
      <c r="G464">
        <v>4122.38</v>
      </c>
      <c r="H464">
        <v>4358.78</v>
      </c>
      <c r="I464" t="s">
        <v>16</v>
      </c>
      <c r="J464" s="2">
        <v>0.26</v>
      </c>
      <c r="K464" t="s">
        <v>26</v>
      </c>
      <c r="L464" t="s">
        <v>21</v>
      </c>
      <c r="M464" t="s">
        <v>22</v>
      </c>
      <c r="N464">
        <f>SalesData[[#This Row],[Quantity_Sold]]*SalesData[[#This Row],[Unit_Cost]]</f>
        <v>28856.66</v>
      </c>
      <c r="O464">
        <f>SalesData[[#This Row],[Quantity_Sold]]*SalesData[[#This Row],[Unit_Price]]</f>
        <v>30511.46</v>
      </c>
      <c r="P464">
        <f>SalesData[[#This Row],[Gross_sales]]*(1-SalesData[[#This Row],[Discount]])</f>
        <v>22578.4804</v>
      </c>
      <c r="Q464" s="2">
        <f>SalesData[[#This Row],[Sales_amount]]-SalesData[[#This Row],[Total_Cost]]</f>
        <v>-6278.1795999999995</v>
      </c>
      <c r="R464" s="2">
        <f>SalesData[[#This Row],[Profit]]/SalesData[[#This Row],[Sales_amount]]</f>
        <v>-0.27806032508724543</v>
      </c>
      <c r="S464" s="2">
        <f>SalesData[[#This Row],[Unit_Price]]-SalesData[[#This Row],[Unit_Cost]]</f>
        <v>236.39999999999964</v>
      </c>
      <c r="T464" s="10">
        <f>SalesData[[#This Row],[Unit_Margin]]/SalesData[[#This Row],[Unit_Price]]</f>
        <v>5.423535943543828E-2</v>
      </c>
      <c r="U464" s="2" t="str">
        <f>IF(SalesData[[#This Row],[Unit_Margin]]&lt;0, "Negative margin", "Positive margin")</f>
        <v>Positive margin</v>
      </c>
      <c r="V464" s="2" t="str">
        <f>IF(SalesData[[#This Row],[Profit]]&lt;0, "Loss", "Profit")</f>
        <v>Loss</v>
      </c>
      <c r="W464" s="2">
        <f>SalesData[[#This Row],[Unit_Price]]*(1-SalesData[[#This Row],[Discount]])</f>
        <v>3225.4971999999998</v>
      </c>
      <c r="X464" s="2">
        <f>SalesData[[#This Row],[Effective_Unit_Price]]-SalesData[[#This Row],[Unit_Cost]]</f>
        <v>-896.88280000000032</v>
      </c>
      <c r="Y464" s="2" t="str">
        <f>IF(SalesData[[#This Row],[Effective_Unit_Margin]]&lt;0,"Loss per Unit","Positive per Unit")</f>
        <v>Loss per Unit</v>
      </c>
    </row>
    <row r="465" spans="1:25" x14ac:dyDescent="0.3">
      <c r="A465">
        <v>1047</v>
      </c>
      <c r="B465" s="1">
        <v>45037</v>
      </c>
      <c r="C465" t="s">
        <v>37</v>
      </c>
      <c r="D465" t="s">
        <v>20</v>
      </c>
      <c r="E465">
        <v>17</v>
      </c>
      <c r="F465" t="s">
        <v>15</v>
      </c>
      <c r="G465">
        <v>1591.34</v>
      </c>
      <c r="H465">
        <v>2043.82</v>
      </c>
      <c r="I465" t="s">
        <v>29</v>
      </c>
      <c r="J465" s="2">
        <v>0.28999999999999998</v>
      </c>
      <c r="K465" t="s">
        <v>17</v>
      </c>
      <c r="L465" t="s">
        <v>21</v>
      </c>
      <c r="M465" t="s">
        <v>40</v>
      </c>
      <c r="N465">
        <f>SalesData[[#This Row],[Quantity_Sold]]*SalesData[[#This Row],[Unit_Cost]]</f>
        <v>27052.78</v>
      </c>
      <c r="O465">
        <f>SalesData[[#This Row],[Quantity_Sold]]*SalesData[[#This Row],[Unit_Price]]</f>
        <v>34744.94</v>
      </c>
      <c r="P465">
        <f>SalesData[[#This Row],[Gross_sales]]*(1-SalesData[[#This Row],[Discount]])</f>
        <v>24668.9074</v>
      </c>
      <c r="Q465" s="2">
        <f>SalesData[[#This Row],[Sales_amount]]-SalesData[[#This Row],[Total_Cost]]</f>
        <v>-2383.8725999999988</v>
      </c>
      <c r="R465" s="2">
        <f>SalesData[[#This Row],[Profit]]/SalesData[[#This Row],[Sales_amount]]</f>
        <v>-9.6634705434907056E-2</v>
      </c>
      <c r="S465" s="2">
        <f>SalesData[[#This Row],[Unit_Price]]-SalesData[[#This Row],[Unit_Cost]]</f>
        <v>452.48</v>
      </c>
      <c r="T465" s="10">
        <f>SalesData[[#This Row],[Unit_Margin]]/SalesData[[#This Row],[Unit_Price]]</f>
        <v>0.22138935914121596</v>
      </c>
      <c r="U465" s="2" t="str">
        <f>IF(SalesData[[#This Row],[Unit_Margin]]&lt;0, "Negative margin", "Positive margin")</f>
        <v>Positive margin</v>
      </c>
      <c r="V465" s="2" t="str">
        <f>IF(SalesData[[#This Row],[Profit]]&lt;0, "Loss", "Profit")</f>
        <v>Loss</v>
      </c>
      <c r="W465" s="2">
        <f>SalesData[[#This Row],[Unit_Price]]*(1-SalesData[[#This Row],[Discount]])</f>
        <v>1451.1121999999998</v>
      </c>
      <c r="X465" s="2">
        <f>SalesData[[#This Row],[Effective_Unit_Price]]-SalesData[[#This Row],[Unit_Cost]]</f>
        <v>-140.22780000000012</v>
      </c>
      <c r="Y465" s="2" t="str">
        <f>IF(SalesData[[#This Row],[Effective_Unit_Margin]]&lt;0,"Loss per Unit","Positive per Unit")</f>
        <v>Loss per Unit</v>
      </c>
    </row>
    <row r="466" spans="1:25" x14ac:dyDescent="0.3">
      <c r="A466">
        <v>1099</v>
      </c>
      <c r="B466" s="1">
        <v>45078</v>
      </c>
      <c r="C466" t="s">
        <v>41</v>
      </c>
      <c r="D466" t="s">
        <v>24</v>
      </c>
      <c r="E466">
        <v>2</v>
      </c>
      <c r="F466" t="s">
        <v>34</v>
      </c>
      <c r="G466">
        <v>2038.4</v>
      </c>
      <c r="H466">
        <v>2073.3200000000002</v>
      </c>
      <c r="I466" t="s">
        <v>29</v>
      </c>
      <c r="J466" s="2">
        <v>0.16</v>
      </c>
      <c r="K466" t="s">
        <v>17</v>
      </c>
      <c r="L466" t="s">
        <v>21</v>
      </c>
      <c r="M466" t="s">
        <v>42</v>
      </c>
      <c r="N466">
        <f>SalesData[[#This Row],[Quantity_Sold]]*SalesData[[#This Row],[Unit_Cost]]</f>
        <v>4076.8</v>
      </c>
      <c r="O466">
        <f>SalesData[[#This Row],[Quantity_Sold]]*SalesData[[#This Row],[Unit_Price]]</f>
        <v>4146.6400000000003</v>
      </c>
      <c r="P466">
        <f>SalesData[[#This Row],[Gross_sales]]*(1-SalesData[[#This Row],[Discount]])</f>
        <v>3483.1776</v>
      </c>
      <c r="Q466" s="2">
        <f>SalesData[[#This Row],[Sales_amount]]-SalesData[[#This Row],[Total_Cost]]</f>
        <v>-593.6224000000002</v>
      </c>
      <c r="R466" s="2">
        <f>SalesData[[#This Row],[Profit]]/SalesData[[#This Row],[Sales_amount]]</f>
        <v>-0.17042553328317231</v>
      </c>
      <c r="S466" s="2">
        <f>SalesData[[#This Row],[Unit_Price]]-SalesData[[#This Row],[Unit_Cost]]</f>
        <v>34.920000000000073</v>
      </c>
      <c r="T466" s="10">
        <f>SalesData[[#This Row],[Unit_Margin]]/SalesData[[#This Row],[Unit_Price]]</f>
        <v>1.6842552042135354E-2</v>
      </c>
      <c r="U466" s="2" t="str">
        <f>IF(SalesData[[#This Row],[Unit_Margin]]&lt;0, "Negative margin", "Positive margin")</f>
        <v>Positive margin</v>
      </c>
      <c r="V466" s="2" t="str">
        <f>IF(SalesData[[#This Row],[Profit]]&lt;0, "Loss", "Profit")</f>
        <v>Loss</v>
      </c>
      <c r="W466" s="2">
        <f>SalesData[[#This Row],[Unit_Price]]*(1-SalesData[[#This Row],[Discount]])</f>
        <v>1741.5888</v>
      </c>
      <c r="X466" s="2">
        <f>SalesData[[#This Row],[Effective_Unit_Price]]-SalesData[[#This Row],[Unit_Cost]]</f>
        <v>-296.8112000000001</v>
      </c>
      <c r="Y466" s="2" t="str">
        <f>IF(SalesData[[#This Row],[Effective_Unit_Margin]]&lt;0,"Loss per Unit","Positive per Unit")</f>
        <v>Loss per Unit</v>
      </c>
    </row>
    <row r="467" spans="1:25" x14ac:dyDescent="0.3">
      <c r="A467">
        <v>1055</v>
      </c>
      <c r="B467" s="1">
        <v>45172</v>
      </c>
      <c r="C467" t="s">
        <v>32</v>
      </c>
      <c r="D467" t="s">
        <v>20</v>
      </c>
      <c r="E467">
        <v>12</v>
      </c>
      <c r="F467" t="s">
        <v>34</v>
      </c>
      <c r="G467">
        <v>2538.61</v>
      </c>
      <c r="H467">
        <v>2971.75</v>
      </c>
      <c r="I467" t="s">
        <v>16</v>
      </c>
      <c r="J467" s="2">
        <v>0.24</v>
      </c>
      <c r="K467" t="s">
        <v>17</v>
      </c>
      <c r="L467" t="s">
        <v>18</v>
      </c>
      <c r="M467" t="s">
        <v>36</v>
      </c>
      <c r="N467">
        <f>SalesData[[#This Row],[Quantity_Sold]]*SalesData[[#This Row],[Unit_Cost]]</f>
        <v>30463.32</v>
      </c>
      <c r="O467">
        <f>SalesData[[#This Row],[Quantity_Sold]]*SalesData[[#This Row],[Unit_Price]]</f>
        <v>35661</v>
      </c>
      <c r="P467">
        <f>SalesData[[#This Row],[Gross_sales]]*(1-SalesData[[#This Row],[Discount]])</f>
        <v>27102.36</v>
      </c>
      <c r="Q467" s="2">
        <f>SalesData[[#This Row],[Sales_amount]]-SalesData[[#This Row],[Total_Cost]]</f>
        <v>-3360.9599999999991</v>
      </c>
      <c r="R467" s="2">
        <f>SalesData[[#This Row],[Profit]]/SalesData[[#This Row],[Sales_amount]]</f>
        <v>-0.12400986482357991</v>
      </c>
      <c r="S467" s="2">
        <f>SalesData[[#This Row],[Unit_Price]]-SalesData[[#This Row],[Unit_Cost]]</f>
        <v>433.13999999999987</v>
      </c>
      <c r="T467" s="10">
        <f>SalesData[[#This Row],[Unit_Margin]]/SalesData[[#This Row],[Unit_Price]]</f>
        <v>0.14575250273407919</v>
      </c>
      <c r="U467" s="2" t="str">
        <f>IF(SalesData[[#This Row],[Unit_Margin]]&lt;0, "Negative margin", "Positive margin")</f>
        <v>Positive margin</v>
      </c>
      <c r="V467" s="2" t="str">
        <f>IF(SalesData[[#This Row],[Profit]]&lt;0, "Loss", "Profit")</f>
        <v>Loss</v>
      </c>
      <c r="W467" s="2">
        <f>SalesData[[#This Row],[Unit_Price]]*(1-SalesData[[#This Row],[Discount]])</f>
        <v>2258.5300000000002</v>
      </c>
      <c r="X467" s="2">
        <f>SalesData[[#This Row],[Effective_Unit_Price]]-SalesData[[#This Row],[Unit_Cost]]</f>
        <v>-280.07999999999993</v>
      </c>
      <c r="Y467" s="2" t="str">
        <f>IF(SalesData[[#This Row],[Effective_Unit_Margin]]&lt;0,"Loss per Unit","Positive per Unit")</f>
        <v>Loss per Unit</v>
      </c>
    </row>
    <row r="468" spans="1:25" x14ac:dyDescent="0.3">
      <c r="A468">
        <v>1040</v>
      </c>
      <c r="B468" s="1">
        <v>44995</v>
      </c>
      <c r="C468" t="s">
        <v>41</v>
      </c>
      <c r="D468" t="s">
        <v>33</v>
      </c>
      <c r="E468">
        <v>42</v>
      </c>
      <c r="F468" t="s">
        <v>34</v>
      </c>
      <c r="G468">
        <v>4205.29</v>
      </c>
      <c r="H468">
        <v>4382.3500000000004</v>
      </c>
      <c r="I468" t="s">
        <v>29</v>
      </c>
      <c r="J468" s="2">
        <v>0.25</v>
      </c>
      <c r="K468" t="s">
        <v>17</v>
      </c>
      <c r="L468" t="s">
        <v>21</v>
      </c>
      <c r="M468" t="s">
        <v>51</v>
      </c>
      <c r="N468">
        <f>SalesData[[#This Row],[Quantity_Sold]]*SalesData[[#This Row],[Unit_Cost]]</f>
        <v>176622.18</v>
      </c>
      <c r="O468">
        <f>SalesData[[#This Row],[Quantity_Sold]]*SalesData[[#This Row],[Unit_Price]]</f>
        <v>184058.7</v>
      </c>
      <c r="P468">
        <f>SalesData[[#This Row],[Gross_sales]]*(1-SalesData[[#This Row],[Discount]])</f>
        <v>138044.02500000002</v>
      </c>
      <c r="Q468" s="2">
        <f>SalesData[[#This Row],[Sales_amount]]-SalesData[[#This Row],[Total_Cost]]</f>
        <v>-38578.15499999997</v>
      </c>
      <c r="R468" s="2">
        <f>SalesData[[#This Row],[Profit]]/SalesData[[#This Row],[Sales_amount]]</f>
        <v>-0.27946269315169536</v>
      </c>
      <c r="S468" s="2">
        <f>SalesData[[#This Row],[Unit_Price]]-SalesData[[#This Row],[Unit_Cost]]</f>
        <v>177.0600000000004</v>
      </c>
      <c r="T468" s="10">
        <f>SalesData[[#This Row],[Unit_Margin]]/SalesData[[#This Row],[Unit_Price]]</f>
        <v>4.0402980136228367E-2</v>
      </c>
      <c r="U468" s="2" t="str">
        <f>IF(SalesData[[#This Row],[Unit_Margin]]&lt;0, "Negative margin", "Positive margin")</f>
        <v>Positive margin</v>
      </c>
      <c r="V468" s="2" t="str">
        <f>IF(SalesData[[#This Row],[Profit]]&lt;0, "Loss", "Profit")</f>
        <v>Loss</v>
      </c>
      <c r="W468" s="2">
        <f>SalesData[[#This Row],[Unit_Price]]*(1-SalesData[[#This Row],[Discount]])</f>
        <v>3286.7625000000003</v>
      </c>
      <c r="X468" s="2">
        <f>SalesData[[#This Row],[Effective_Unit_Price]]-SalesData[[#This Row],[Unit_Cost]]</f>
        <v>-918.52749999999969</v>
      </c>
      <c r="Y468" s="2" t="str">
        <f>IF(SalesData[[#This Row],[Effective_Unit_Margin]]&lt;0,"Loss per Unit","Positive per Unit")</f>
        <v>Loss per Unit</v>
      </c>
    </row>
    <row r="469" spans="1:25" x14ac:dyDescent="0.3">
      <c r="A469">
        <v>1052</v>
      </c>
      <c r="B469" s="1">
        <v>45238</v>
      </c>
      <c r="C469" t="s">
        <v>32</v>
      </c>
      <c r="D469" t="s">
        <v>33</v>
      </c>
      <c r="E469">
        <v>18</v>
      </c>
      <c r="F469" t="s">
        <v>15</v>
      </c>
      <c r="G469">
        <v>3271.62</v>
      </c>
      <c r="H469">
        <v>3722.38</v>
      </c>
      <c r="I469" t="s">
        <v>16</v>
      </c>
      <c r="J469" s="2">
        <v>0.19</v>
      </c>
      <c r="K469" t="s">
        <v>26</v>
      </c>
      <c r="L469" t="s">
        <v>21</v>
      </c>
      <c r="M469" t="s">
        <v>35</v>
      </c>
      <c r="N469">
        <f>SalesData[[#This Row],[Quantity_Sold]]*SalesData[[#This Row],[Unit_Cost]]</f>
        <v>58889.159999999996</v>
      </c>
      <c r="O469">
        <f>SalesData[[#This Row],[Quantity_Sold]]*SalesData[[#This Row],[Unit_Price]]</f>
        <v>67002.84</v>
      </c>
      <c r="P469">
        <f>SalesData[[#This Row],[Gross_sales]]*(1-SalesData[[#This Row],[Discount]])</f>
        <v>54272.3004</v>
      </c>
      <c r="Q469" s="2">
        <f>SalesData[[#This Row],[Sales_amount]]-SalesData[[#This Row],[Total_Cost]]</f>
        <v>-4616.8595999999961</v>
      </c>
      <c r="R469" s="2">
        <f>SalesData[[#This Row],[Profit]]/SalesData[[#This Row],[Sales_amount]]</f>
        <v>-8.5068433915139449E-2</v>
      </c>
      <c r="S469" s="2">
        <f>SalesData[[#This Row],[Unit_Price]]-SalesData[[#This Row],[Unit_Cost]]</f>
        <v>450.76000000000022</v>
      </c>
      <c r="T469" s="10">
        <f>SalesData[[#This Row],[Unit_Margin]]/SalesData[[#This Row],[Unit_Price]]</f>
        <v>0.12109456852873704</v>
      </c>
      <c r="U469" s="2" t="str">
        <f>IF(SalesData[[#This Row],[Unit_Margin]]&lt;0, "Negative margin", "Positive margin")</f>
        <v>Positive margin</v>
      </c>
      <c r="V469" s="2" t="str">
        <f>IF(SalesData[[#This Row],[Profit]]&lt;0, "Loss", "Profit")</f>
        <v>Loss</v>
      </c>
      <c r="W469" s="2">
        <f>SalesData[[#This Row],[Unit_Price]]*(1-SalesData[[#This Row],[Discount]])</f>
        <v>3015.1278000000002</v>
      </c>
      <c r="X469" s="2">
        <f>SalesData[[#This Row],[Effective_Unit_Price]]-SalesData[[#This Row],[Unit_Cost]]</f>
        <v>-256.49219999999968</v>
      </c>
      <c r="Y469" s="2" t="str">
        <f>IF(SalesData[[#This Row],[Effective_Unit_Margin]]&lt;0,"Loss per Unit","Positive per Unit")</f>
        <v>Loss per Unit</v>
      </c>
    </row>
    <row r="470" spans="1:25" x14ac:dyDescent="0.3">
      <c r="A470">
        <v>1016</v>
      </c>
      <c r="B470" s="1">
        <v>45215</v>
      </c>
      <c r="C470" t="s">
        <v>37</v>
      </c>
      <c r="D470" t="s">
        <v>20</v>
      </c>
      <c r="E470">
        <v>11</v>
      </c>
      <c r="F470" t="s">
        <v>34</v>
      </c>
      <c r="G470">
        <v>3094.57</v>
      </c>
      <c r="H470">
        <v>3565.6</v>
      </c>
      <c r="I470" t="s">
        <v>16</v>
      </c>
      <c r="J470" s="2">
        <v>0.1</v>
      </c>
      <c r="K470" t="s">
        <v>30</v>
      </c>
      <c r="L470" t="s">
        <v>21</v>
      </c>
      <c r="M470" t="s">
        <v>40</v>
      </c>
      <c r="N470">
        <f>SalesData[[#This Row],[Quantity_Sold]]*SalesData[[#This Row],[Unit_Cost]]</f>
        <v>34040.270000000004</v>
      </c>
      <c r="O470">
        <f>SalesData[[#This Row],[Quantity_Sold]]*SalesData[[#This Row],[Unit_Price]]</f>
        <v>39221.599999999999</v>
      </c>
      <c r="P470">
        <f>SalesData[[#This Row],[Gross_sales]]*(1-SalesData[[#This Row],[Discount]])</f>
        <v>35299.440000000002</v>
      </c>
      <c r="Q470" s="2">
        <f>SalesData[[#This Row],[Sales_amount]]-SalesData[[#This Row],[Total_Cost]]</f>
        <v>1259.1699999999983</v>
      </c>
      <c r="R470" s="2">
        <f>SalesData[[#This Row],[Profit]]/SalesData[[#This Row],[Sales_amount]]</f>
        <v>3.5671104130830356E-2</v>
      </c>
      <c r="S470" s="2">
        <f>SalesData[[#This Row],[Unit_Price]]-SalesData[[#This Row],[Unit_Cost]]</f>
        <v>471.02999999999975</v>
      </c>
      <c r="T470" s="10">
        <f>SalesData[[#This Row],[Unit_Margin]]/SalesData[[#This Row],[Unit_Price]]</f>
        <v>0.13210399371774731</v>
      </c>
      <c r="U470" s="2" t="str">
        <f>IF(SalesData[[#This Row],[Unit_Margin]]&lt;0, "Negative margin", "Positive margin")</f>
        <v>Positive margin</v>
      </c>
      <c r="V470" s="2" t="str">
        <f>IF(SalesData[[#This Row],[Profit]]&lt;0, "Loss", "Profit")</f>
        <v>Profit</v>
      </c>
      <c r="W470" s="2">
        <f>SalesData[[#This Row],[Unit_Price]]*(1-SalesData[[#This Row],[Discount]])</f>
        <v>3209.04</v>
      </c>
      <c r="X470" s="2">
        <f>SalesData[[#This Row],[Effective_Unit_Price]]-SalesData[[#This Row],[Unit_Cost]]</f>
        <v>114.4699999999998</v>
      </c>
      <c r="Y470" s="2" t="str">
        <f>IF(SalesData[[#This Row],[Effective_Unit_Margin]]&lt;0,"Loss per Unit","Positive per Unit")</f>
        <v>Positive per Unit</v>
      </c>
    </row>
    <row r="471" spans="1:25" x14ac:dyDescent="0.3">
      <c r="A471">
        <v>1013</v>
      </c>
      <c r="B471" s="1">
        <v>45176</v>
      </c>
      <c r="C471" t="s">
        <v>41</v>
      </c>
      <c r="D471" t="s">
        <v>20</v>
      </c>
      <c r="E471">
        <v>16</v>
      </c>
      <c r="F471" t="s">
        <v>15</v>
      </c>
      <c r="G471">
        <v>919.58</v>
      </c>
      <c r="H471">
        <v>1258.3</v>
      </c>
      <c r="I471" t="s">
        <v>16</v>
      </c>
      <c r="J471" s="2">
        <v>0.14000000000000001</v>
      </c>
      <c r="K471" t="s">
        <v>26</v>
      </c>
      <c r="L471" t="s">
        <v>18</v>
      </c>
      <c r="M471" t="s">
        <v>50</v>
      </c>
      <c r="N471">
        <f>SalesData[[#This Row],[Quantity_Sold]]*SalesData[[#This Row],[Unit_Cost]]</f>
        <v>14713.28</v>
      </c>
      <c r="O471">
        <f>SalesData[[#This Row],[Quantity_Sold]]*SalesData[[#This Row],[Unit_Price]]</f>
        <v>20132.8</v>
      </c>
      <c r="P471">
        <f>SalesData[[#This Row],[Gross_sales]]*(1-SalesData[[#This Row],[Discount]])</f>
        <v>17314.207999999999</v>
      </c>
      <c r="Q471" s="2">
        <f>SalesData[[#This Row],[Sales_amount]]-SalesData[[#This Row],[Total_Cost]]</f>
        <v>2600.9279999999981</v>
      </c>
      <c r="R471" s="2">
        <f>SalesData[[#This Row],[Profit]]/SalesData[[#This Row],[Sales_amount]]</f>
        <v>0.15021928811297625</v>
      </c>
      <c r="S471" s="2">
        <f>SalesData[[#This Row],[Unit_Price]]-SalesData[[#This Row],[Unit_Cost]]</f>
        <v>338.71999999999991</v>
      </c>
      <c r="T471" s="10">
        <f>SalesData[[#This Row],[Unit_Margin]]/SalesData[[#This Row],[Unit_Price]]</f>
        <v>0.26918858777715959</v>
      </c>
      <c r="U471" s="2" t="str">
        <f>IF(SalesData[[#This Row],[Unit_Margin]]&lt;0, "Negative margin", "Positive margin")</f>
        <v>Positive margin</v>
      </c>
      <c r="V471" s="2" t="str">
        <f>IF(SalesData[[#This Row],[Profit]]&lt;0, "Loss", "Profit")</f>
        <v>Profit</v>
      </c>
      <c r="W471" s="2">
        <f>SalesData[[#This Row],[Unit_Price]]*(1-SalesData[[#This Row],[Discount]])</f>
        <v>1082.1379999999999</v>
      </c>
      <c r="X471" s="2">
        <f>SalesData[[#This Row],[Effective_Unit_Price]]-SalesData[[#This Row],[Unit_Cost]]</f>
        <v>162.55799999999988</v>
      </c>
      <c r="Y471" s="2" t="str">
        <f>IF(SalesData[[#This Row],[Effective_Unit_Margin]]&lt;0,"Loss per Unit","Positive per Unit")</f>
        <v>Positive per Unit</v>
      </c>
    </row>
    <row r="472" spans="1:25" x14ac:dyDescent="0.3">
      <c r="A472">
        <v>1030</v>
      </c>
      <c r="B472" s="1">
        <v>44962</v>
      </c>
      <c r="C472" t="s">
        <v>23</v>
      </c>
      <c r="D472" t="s">
        <v>33</v>
      </c>
      <c r="E472">
        <v>49</v>
      </c>
      <c r="F472" t="s">
        <v>15</v>
      </c>
      <c r="G472">
        <v>2590.29</v>
      </c>
      <c r="H472">
        <v>2925.86</v>
      </c>
      <c r="I472" t="s">
        <v>16</v>
      </c>
      <c r="J472" s="2">
        <v>0.26</v>
      </c>
      <c r="K472" t="s">
        <v>17</v>
      </c>
      <c r="L472" t="s">
        <v>21</v>
      </c>
      <c r="M472" t="s">
        <v>49</v>
      </c>
      <c r="N472">
        <f>SalesData[[#This Row],[Quantity_Sold]]*SalesData[[#This Row],[Unit_Cost]]</f>
        <v>126924.20999999999</v>
      </c>
      <c r="O472">
        <f>SalesData[[#This Row],[Quantity_Sold]]*SalesData[[#This Row],[Unit_Price]]</f>
        <v>143367.14000000001</v>
      </c>
      <c r="P472">
        <f>SalesData[[#This Row],[Gross_sales]]*(1-SalesData[[#This Row],[Discount]])</f>
        <v>106091.6836</v>
      </c>
      <c r="Q472" s="2">
        <f>SalesData[[#This Row],[Sales_amount]]-SalesData[[#This Row],[Total_Cost]]</f>
        <v>-20832.526399999988</v>
      </c>
      <c r="R472" s="2">
        <f>SalesData[[#This Row],[Profit]]/SalesData[[#This Row],[Sales_amount]]</f>
        <v>-0.19636342541744703</v>
      </c>
      <c r="S472" s="2">
        <f>SalesData[[#This Row],[Unit_Price]]-SalesData[[#This Row],[Unit_Cost]]</f>
        <v>335.57000000000016</v>
      </c>
      <c r="T472" s="10">
        <f>SalesData[[#This Row],[Unit_Margin]]/SalesData[[#This Row],[Unit_Price]]</f>
        <v>0.11469106519108917</v>
      </c>
      <c r="U472" s="2" t="str">
        <f>IF(SalesData[[#This Row],[Unit_Margin]]&lt;0, "Negative margin", "Positive margin")</f>
        <v>Positive margin</v>
      </c>
      <c r="V472" s="2" t="str">
        <f>IF(SalesData[[#This Row],[Profit]]&lt;0, "Loss", "Profit")</f>
        <v>Loss</v>
      </c>
      <c r="W472" s="2">
        <f>SalesData[[#This Row],[Unit_Price]]*(1-SalesData[[#This Row],[Discount]])</f>
        <v>2165.1363999999999</v>
      </c>
      <c r="X472" s="2">
        <f>SalesData[[#This Row],[Effective_Unit_Price]]-SalesData[[#This Row],[Unit_Cost]]</f>
        <v>-425.1536000000001</v>
      </c>
      <c r="Y472" s="2" t="str">
        <f>IF(SalesData[[#This Row],[Effective_Unit_Margin]]&lt;0,"Loss per Unit","Positive per Unit")</f>
        <v>Loss per Unit</v>
      </c>
    </row>
    <row r="473" spans="1:25" x14ac:dyDescent="0.3">
      <c r="A473">
        <v>1019</v>
      </c>
      <c r="B473" s="1">
        <v>45165</v>
      </c>
      <c r="C473" t="s">
        <v>32</v>
      </c>
      <c r="D473" t="s">
        <v>14</v>
      </c>
      <c r="E473">
        <v>18</v>
      </c>
      <c r="F473" t="s">
        <v>25</v>
      </c>
      <c r="G473">
        <v>3591.14</v>
      </c>
      <c r="H473">
        <v>3822.99</v>
      </c>
      <c r="I473" t="s">
        <v>16</v>
      </c>
      <c r="J473" s="2">
        <v>0.09</v>
      </c>
      <c r="K473" t="s">
        <v>30</v>
      </c>
      <c r="L473" t="s">
        <v>18</v>
      </c>
      <c r="M473" t="s">
        <v>52</v>
      </c>
      <c r="N473">
        <f>SalesData[[#This Row],[Quantity_Sold]]*SalesData[[#This Row],[Unit_Cost]]</f>
        <v>64640.52</v>
      </c>
      <c r="O473">
        <f>SalesData[[#This Row],[Quantity_Sold]]*SalesData[[#This Row],[Unit_Price]]</f>
        <v>68813.819999999992</v>
      </c>
      <c r="P473">
        <f>SalesData[[#This Row],[Gross_sales]]*(1-SalesData[[#This Row],[Discount]])</f>
        <v>62620.576199999996</v>
      </c>
      <c r="Q473" s="2">
        <f>SalesData[[#This Row],[Sales_amount]]-SalesData[[#This Row],[Total_Cost]]</f>
        <v>-2019.9438000000009</v>
      </c>
      <c r="R473" s="2">
        <f>SalesData[[#This Row],[Profit]]/SalesData[[#This Row],[Sales_amount]]</f>
        <v>-3.2256870226626898E-2</v>
      </c>
      <c r="S473" s="2">
        <f>SalesData[[#This Row],[Unit_Price]]-SalesData[[#This Row],[Unit_Cost]]</f>
        <v>231.84999999999991</v>
      </c>
      <c r="T473" s="10">
        <f>SalesData[[#This Row],[Unit_Margin]]/SalesData[[#This Row],[Unit_Price]]</f>
        <v>6.0646248093769513E-2</v>
      </c>
      <c r="U473" s="2" t="str">
        <f>IF(SalesData[[#This Row],[Unit_Margin]]&lt;0, "Negative margin", "Positive margin")</f>
        <v>Positive margin</v>
      </c>
      <c r="V473" s="2" t="str">
        <f>IF(SalesData[[#This Row],[Profit]]&lt;0, "Loss", "Profit")</f>
        <v>Loss</v>
      </c>
      <c r="W473" s="2">
        <f>SalesData[[#This Row],[Unit_Price]]*(1-SalesData[[#This Row],[Discount]])</f>
        <v>3478.9209000000001</v>
      </c>
      <c r="X473" s="2">
        <f>SalesData[[#This Row],[Effective_Unit_Price]]-SalesData[[#This Row],[Unit_Cost]]</f>
        <v>-112.2190999999998</v>
      </c>
      <c r="Y473" s="2" t="str">
        <f>IF(SalesData[[#This Row],[Effective_Unit_Margin]]&lt;0,"Loss per Unit","Positive per Unit")</f>
        <v>Loss per Unit</v>
      </c>
    </row>
    <row r="474" spans="1:25" x14ac:dyDescent="0.3">
      <c r="A474">
        <v>1017</v>
      </c>
      <c r="B474" s="1">
        <v>45074</v>
      </c>
      <c r="C474" t="s">
        <v>23</v>
      </c>
      <c r="D474" t="s">
        <v>33</v>
      </c>
      <c r="E474">
        <v>35</v>
      </c>
      <c r="F474" t="s">
        <v>34</v>
      </c>
      <c r="G474">
        <v>4867.6400000000003</v>
      </c>
      <c r="H474">
        <v>5287.05</v>
      </c>
      <c r="I474" t="s">
        <v>16</v>
      </c>
      <c r="J474" s="2">
        <v>0.28000000000000003</v>
      </c>
      <c r="K474" t="s">
        <v>30</v>
      </c>
      <c r="L474" t="s">
        <v>18</v>
      </c>
      <c r="M474" t="s">
        <v>49</v>
      </c>
      <c r="N474">
        <f>SalesData[[#This Row],[Quantity_Sold]]*SalesData[[#This Row],[Unit_Cost]]</f>
        <v>170367.40000000002</v>
      </c>
      <c r="O474">
        <f>SalesData[[#This Row],[Quantity_Sold]]*SalesData[[#This Row],[Unit_Price]]</f>
        <v>185046.75</v>
      </c>
      <c r="P474">
        <f>SalesData[[#This Row],[Gross_sales]]*(1-SalesData[[#This Row],[Discount]])</f>
        <v>133233.66</v>
      </c>
      <c r="Q474" s="2">
        <f>SalesData[[#This Row],[Sales_amount]]-SalesData[[#This Row],[Total_Cost]]</f>
        <v>-37133.74000000002</v>
      </c>
      <c r="R474" s="2">
        <f>SalesData[[#This Row],[Profit]]/SalesData[[#This Row],[Sales_amount]]</f>
        <v>-0.27871140070759909</v>
      </c>
      <c r="S474" s="2">
        <f>SalesData[[#This Row],[Unit_Price]]-SalesData[[#This Row],[Unit_Cost]]</f>
        <v>419.40999999999985</v>
      </c>
      <c r="T474" s="10">
        <f>SalesData[[#This Row],[Unit_Margin]]/SalesData[[#This Row],[Unit_Price]]</f>
        <v>7.932779149052871E-2</v>
      </c>
      <c r="U474" s="2" t="str">
        <f>IF(SalesData[[#This Row],[Unit_Margin]]&lt;0, "Negative margin", "Positive margin")</f>
        <v>Positive margin</v>
      </c>
      <c r="V474" s="2" t="str">
        <f>IF(SalesData[[#This Row],[Profit]]&lt;0, "Loss", "Profit")</f>
        <v>Loss</v>
      </c>
      <c r="W474" s="2">
        <f>SalesData[[#This Row],[Unit_Price]]*(1-SalesData[[#This Row],[Discount]])</f>
        <v>3806.6759999999999</v>
      </c>
      <c r="X474" s="2">
        <f>SalesData[[#This Row],[Effective_Unit_Price]]-SalesData[[#This Row],[Unit_Cost]]</f>
        <v>-1060.9640000000004</v>
      </c>
      <c r="Y474" s="2" t="str">
        <f>IF(SalesData[[#This Row],[Effective_Unit_Margin]]&lt;0,"Loss per Unit","Positive per Unit")</f>
        <v>Loss per Unit</v>
      </c>
    </row>
    <row r="475" spans="1:25" x14ac:dyDescent="0.3">
      <c r="A475">
        <v>1063</v>
      </c>
      <c r="B475" s="1">
        <v>45153</v>
      </c>
      <c r="C475" t="s">
        <v>41</v>
      </c>
      <c r="D475" t="s">
        <v>33</v>
      </c>
      <c r="E475">
        <v>26</v>
      </c>
      <c r="F475" t="s">
        <v>25</v>
      </c>
      <c r="G475">
        <v>1046.96</v>
      </c>
      <c r="H475">
        <v>1528.15</v>
      </c>
      <c r="I475" t="s">
        <v>29</v>
      </c>
      <c r="J475" s="2">
        <v>7.0000000000000007E-2</v>
      </c>
      <c r="K475" t="s">
        <v>30</v>
      </c>
      <c r="L475" t="s">
        <v>21</v>
      </c>
      <c r="M475" t="s">
        <v>51</v>
      </c>
      <c r="N475">
        <f>SalesData[[#This Row],[Quantity_Sold]]*SalesData[[#This Row],[Unit_Cost]]</f>
        <v>27220.959999999999</v>
      </c>
      <c r="O475">
        <f>SalesData[[#This Row],[Quantity_Sold]]*SalesData[[#This Row],[Unit_Price]]</f>
        <v>39731.9</v>
      </c>
      <c r="P475">
        <f>SalesData[[#This Row],[Gross_sales]]*(1-SalesData[[#This Row],[Discount]])</f>
        <v>36950.667000000001</v>
      </c>
      <c r="Q475" s="2">
        <f>SalesData[[#This Row],[Sales_amount]]-SalesData[[#This Row],[Total_Cost]]</f>
        <v>9729.7070000000022</v>
      </c>
      <c r="R475" s="2">
        <f>SalesData[[#This Row],[Profit]]/SalesData[[#This Row],[Sales_amount]]</f>
        <v>0.26331613986832775</v>
      </c>
      <c r="S475" s="2">
        <f>SalesData[[#This Row],[Unit_Price]]-SalesData[[#This Row],[Unit_Cost]]</f>
        <v>481.19000000000005</v>
      </c>
      <c r="T475" s="10">
        <f>SalesData[[#This Row],[Unit_Margin]]/SalesData[[#This Row],[Unit_Price]]</f>
        <v>0.31488401007754474</v>
      </c>
      <c r="U475" s="2" t="str">
        <f>IF(SalesData[[#This Row],[Unit_Margin]]&lt;0, "Negative margin", "Positive margin")</f>
        <v>Positive margin</v>
      </c>
      <c r="V475" s="2" t="str">
        <f>IF(SalesData[[#This Row],[Profit]]&lt;0, "Loss", "Profit")</f>
        <v>Profit</v>
      </c>
      <c r="W475" s="2">
        <f>SalesData[[#This Row],[Unit_Price]]*(1-SalesData[[#This Row],[Discount]])</f>
        <v>1421.1795</v>
      </c>
      <c r="X475" s="2">
        <f>SalesData[[#This Row],[Effective_Unit_Price]]-SalesData[[#This Row],[Unit_Cost]]</f>
        <v>374.21949999999993</v>
      </c>
      <c r="Y475" s="2" t="str">
        <f>IF(SalesData[[#This Row],[Effective_Unit_Margin]]&lt;0,"Loss per Unit","Positive per Unit")</f>
        <v>Positive per Unit</v>
      </c>
    </row>
    <row r="476" spans="1:25" x14ac:dyDescent="0.3">
      <c r="A476">
        <v>1019</v>
      </c>
      <c r="B476" s="1">
        <v>45170</v>
      </c>
      <c r="C476" t="s">
        <v>23</v>
      </c>
      <c r="D476" t="s">
        <v>20</v>
      </c>
      <c r="E476">
        <v>16</v>
      </c>
      <c r="F476" t="s">
        <v>28</v>
      </c>
      <c r="G476">
        <v>97.24</v>
      </c>
      <c r="H476">
        <v>487.03</v>
      </c>
      <c r="I476" t="s">
        <v>29</v>
      </c>
      <c r="J476" s="2">
        <v>0.22</v>
      </c>
      <c r="K476" t="s">
        <v>26</v>
      </c>
      <c r="L476" t="s">
        <v>21</v>
      </c>
      <c r="M476" t="s">
        <v>46</v>
      </c>
      <c r="N476">
        <f>SalesData[[#This Row],[Quantity_Sold]]*SalesData[[#This Row],[Unit_Cost]]</f>
        <v>1555.84</v>
      </c>
      <c r="O476">
        <f>SalesData[[#This Row],[Quantity_Sold]]*SalesData[[#This Row],[Unit_Price]]</f>
        <v>7792.48</v>
      </c>
      <c r="P476">
        <f>SalesData[[#This Row],[Gross_sales]]*(1-SalesData[[#This Row],[Discount]])</f>
        <v>6078.1343999999999</v>
      </c>
      <c r="Q476" s="2">
        <f>SalesData[[#This Row],[Sales_amount]]-SalesData[[#This Row],[Total_Cost]]</f>
        <v>4522.2943999999998</v>
      </c>
      <c r="R476" s="2">
        <f>SalesData[[#This Row],[Profit]]/SalesData[[#This Row],[Sales_amount]]</f>
        <v>0.74402671977770019</v>
      </c>
      <c r="S476" s="2">
        <f>SalesData[[#This Row],[Unit_Price]]-SalesData[[#This Row],[Unit_Cost]]</f>
        <v>389.78999999999996</v>
      </c>
      <c r="T476" s="10">
        <f>SalesData[[#This Row],[Unit_Margin]]/SalesData[[#This Row],[Unit_Price]]</f>
        <v>0.80034084142660611</v>
      </c>
      <c r="U476" s="2" t="str">
        <f>IF(SalesData[[#This Row],[Unit_Margin]]&lt;0, "Negative margin", "Positive margin")</f>
        <v>Positive margin</v>
      </c>
      <c r="V476" s="2" t="str">
        <f>IF(SalesData[[#This Row],[Profit]]&lt;0, "Loss", "Profit")</f>
        <v>Profit</v>
      </c>
      <c r="W476" s="2">
        <f>SalesData[[#This Row],[Unit_Price]]*(1-SalesData[[#This Row],[Discount]])</f>
        <v>379.88339999999999</v>
      </c>
      <c r="X476" s="2">
        <f>SalesData[[#This Row],[Effective_Unit_Price]]-SalesData[[#This Row],[Unit_Cost]]</f>
        <v>282.64339999999999</v>
      </c>
      <c r="Y476" s="2" t="str">
        <f>IF(SalesData[[#This Row],[Effective_Unit_Margin]]&lt;0,"Loss per Unit","Positive per Unit")</f>
        <v>Positive per Unit</v>
      </c>
    </row>
    <row r="477" spans="1:25" x14ac:dyDescent="0.3">
      <c r="A477">
        <v>1092</v>
      </c>
      <c r="B477" s="1">
        <v>45263</v>
      </c>
      <c r="C477" t="s">
        <v>23</v>
      </c>
      <c r="D477" t="s">
        <v>33</v>
      </c>
      <c r="E477">
        <v>6</v>
      </c>
      <c r="F477" t="s">
        <v>28</v>
      </c>
      <c r="G477">
        <v>422.74</v>
      </c>
      <c r="H477">
        <v>737.49</v>
      </c>
      <c r="I477" t="s">
        <v>16</v>
      </c>
      <c r="J477" s="2">
        <v>0.19</v>
      </c>
      <c r="K477" t="s">
        <v>30</v>
      </c>
      <c r="L477" t="s">
        <v>21</v>
      </c>
      <c r="M477" t="s">
        <v>49</v>
      </c>
      <c r="N477">
        <f>SalesData[[#This Row],[Quantity_Sold]]*SalesData[[#This Row],[Unit_Cost]]</f>
        <v>2536.44</v>
      </c>
      <c r="O477">
        <f>SalesData[[#This Row],[Quantity_Sold]]*SalesData[[#This Row],[Unit_Price]]</f>
        <v>4424.9400000000005</v>
      </c>
      <c r="P477">
        <f>SalesData[[#This Row],[Gross_sales]]*(1-SalesData[[#This Row],[Discount]])</f>
        <v>3584.2014000000008</v>
      </c>
      <c r="Q477" s="2">
        <f>SalesData[[#This Row],[Sales_amount]]-SalesData[[#This Row],[Total_Cost]]</f>
        <v>1047.7614000000008</v>
      </c>
      <c r="R477" s="2">
        <f>SalesData[[#This Row],[Profit]]/SalesData[[#This Row],[Sales_amount]]</f>
        <v>0.29232771350404596</v>
      </c>
      <c r="S477" s="2">
        <f>SalesData[[#This Row],[Unit_Price]]-SalesData[[#This Row],[Unit_Cost]]</f>
        <v>314.75</v>
      </c>
      <c r="T477" s="10">
        <f>SalesData[[#This Row],[Unit_Margin]]/SalesData[[#This Row],[Unit_Price]]</f>
        <v>0.42678544793827711</v>
      </c>
      <c r="U477" s="2" t="str">
        <f>IF(SalesData[[#This Row],[Unit_Margin]]&lt;0, "Negative margin", "Positive margin")</f>
        <v>Positive margin</v>
      </c>
      <c r="V477" s="2" t="str">
        <f>IF(SalesData[[#This Row],[Profit]]&lt;0, "Loss", "Profit")</f>
        <v>Profit</v>
      </c>
      <c r="W477" s="2">
        <f>SalesData[[#This Row],[Unit_Price]]*(1-SalesData[[#This Row],[Discount]])</f>
        <v>597.3669000000001</v>
      </c>
      <c r="X477" s="2">
        <f>SalesData[[#This Row],[Effective_Unit_Price]]-SalesData[[#This Row],[Unit_Cost]]</f>
        <v>174.62690000000009</v>
      </c>
      <c r="Y477" s="2" t="str">
        <f>IF(SalesData[[#This Row],[Effective_Unit_Margin]]&lt;0,"Loss per Unit","Positive per Unit")</f>
        <v>Positive per Unit</v>
      </c>
    </row>
    <row r="478" spans="1:25" x14ac:dyDescent="0.3">
      <c r="A478">
        <v>1058</v>
      </c>
      <c r="B478" s="1">
        <v>45291</v>
      </c>
      <c r="C478" t="s">
        <v>41</v>
      </c>
      <c r="D478" t="s">
        <v>20</v>
      </c>
      <c r="E478">
        <v>44</v>
      </c>
      <c r="F478" t="s">
        <v>28</v>
      </c>
      <c r="G478">
        <v>1910.47</v>
      </c>
      <c r="H478">
        <v>2217.8000000000002</v>
      </c>
      <c r="I478" t="s">
        <v>29</v>
      </c>
      <c r="J478" s="2">
        <v>0.22</v>
      </c>
      <c r="K478" t="s">
        <v>26</v>
      </c>
      <c r="L478" t="s">
        <v>18</v>
      </c>
      <c r="M478" t="s">
        <v>50</v>
      </c>
      <c r="N478">
        <f>SalesData[[#This Row],[Quantity_Sold]]*SalesData[[#This Row],[Unit_Cost]]</f>
        <v>84060.680000000008</v>
      </c>
      <c r="O478">
        <f>SalesData[[#This Row],[Quantity_Sold]]*SalesData[[#This Row],[Unit_Price]]</f>
        <v>97583.200000000012</v>
      </c>
      <c r="P478">
        <f>SalesData[[#This Row],[Gross_sales]]*(1-SalesData[[#This Row],[Discount]])</f>
        <v>76114.896000000008</v>
      </c>
      <c r="Q478" s="2">
        <f>SalesData[[#This Row],[Sales_amount]]-SalesData[[#This Row],[Total_Cost]]</f>
        <v>-7945.7839999999997</v>
      </c>
      <c r="R478" s="2">
        <f>SalesData[[#This Row],[Profit]]/SalesData[[#This Row],[Sales_amount]]</f>
        <v>-0.10439197079110506</v>
      </c>
      <c r="S478" s="2">
        <f>SalesData[[#This Row],[Unit_Price]]-SalesData[[#This Row],[Unit_Cost]]</f>
        <v>307.33000000000015</v>
      </c>
      <c r="T478" s="10">
        <f>SalesData[[#This Row],[Unit_Margin]]/SalesData[[#This Row],[Unit_Price]]</f>
        <v>0.13857426278293811</v>
      </c>
      <c r="U478" s="2" t="str">
        <f>IF(SalesData[[#This Row],[Unit_Margin]]&lt;0, "Negative margin", "Positive margin")</f>
        <v>Positive margin</v>
      </c>
      <c r="V478" s="2" t="str">
        <f>IF(SalesData[[#This Row],[Profit]]&lt;0, "Loss", "Profit")</f>
        <v>Loss</v>
      </c>
      <c r="W478" s="2">
        <f>SalesData[[#This Row],[Unit_Price]]*(1-SalesData[[#This Row],[Discount]])</f>
        <v>1729.8840000000002</v>
      </c>
      <c r="X478" s="2">
        <f>SalesData[[#This Row],[Effective_Unit_Price]]-SalesData[[#This Row],[Unit_Cost]]</f>
        <v>-180.58599999999979</v>
      </c>
      <c r="Y478" s="2" t="str">
        <f>IF(SalesData[[#This Row],[Effective_Unit_Margin]]&lt;0,"Loss per Unit","Positive per Unit")</f>
        <v>Loss per Unit</v>
      </c>
    </row>
    <row r="479" spans="1:25" x14ac:dyDescent="0.3">
      <c r="A479">
        <v>1055</v>
      </c>
      <c r="B479" s="1">
        <v>45127</v>
      </c>
      <c r="C479" t="s">
        <v>37</v>
      </c>
      <c r="D479" t="s">
        <v>20</v>
      </c>
      <c r="E479">
        <v>43</v>
      </c>
      <c r="F479" t="s">
        <v>15</v>
      </c>
      <c r="G479">
        <v>4111.7</v>
      </c>
      <c r="H479">
        <v>4537.9399999999996</v>
      </c>
      <c r="I479" t="s">
        <v>16</v>
      </c>
      <c r="J479" s="2">
        <v>0.13</v>
      </c>
      <c r="K479" t="s">
        <v>26</v>
      </c>
      <c r="L479" t="s">
        <v>18</v>
      </c>
      <c r="M479" t="s">
        <v>40</v>
      </c>
      <c r="N479">
        <f>SalesData[[#This Row],[Quantity_Sold]]*SalesData[[#This Row],[Unit_Cost]]</f>
        <v>176803.1</v>
      </c>
      <c r="O479">
        <f>SalesData[[#This Row],[Quantity_Sold]]*SalesData[[#This Row],[Unit_Price]]</f>
        <v>195131.41999999998</v>
      </c>
      <c r="P479">
        <f>SalesData[[#This Row],[Gross_sales]]*(1-SalesData[[#This Row],[Discount]])</f>
        <v>169764.33539999998</v>
      </c>
      <c r="Q479" s="2">
        <f>SalesData[[#This Row],[Sales_amount]]-SalesData[[#This Row],[Total_Cost]]</f>
        <v>-7038.7646000000241</v>
      </c>
      <c r="R479" s="2">
        <f>SalesData[[#This Row],[Profit]]/SalesData[[#This Row],[Sales_amount]]</f>
        <v>-4.1461974821833072E-2</v>
      </c>
      <c r="S479" s="2">
        <f>SalesData[[#This Row],[Unit_Price]]-SalesData[[#This Row],[Unit_Cost]]</f>
        <v>426.23999999999978</v>
      </c>
      <c r="T479" s="10">
        <f>SalesData[[#This Row],[Unit_Margin]]/SalesData[[#This Row],[Unit_Price]]</f>
        <v>9.3928081905005317E-2</v>
      </c>
      <c r="U479" s="2" t="str">
        <f>IF(SalesData[[#This Row],[Unit_Margin]]&lt;0, "Negative margin", "Positive margin")</f>
        <v>Positive margin</v>
      </c>
      <c r="V479" s="2" t="str">
        <f>IF(SalesData[[#This Row],[Profit]]&lt;0, "Loss", "Profit")</f>
        <v>Loss</v>
      </c>
      <c r="W479" s="2">
        <f>SalesData[[#This Row],[Unit_Price]]*(1-SalesData[[#This Row],[Discount]])</f>
        <v>3948.0077999999994</v>
      </c>
      <c r="X479" s="2">
        <f>SalesData[[#This Row],[Effective_Unit_Price]]-SalesData[[#This Row],[Unit_Cost]]</f>
        <v>-163.69220000000041</v>
      </c>
      <c r="Y479" s="2" t="str">
        <f>IF(SalesData[[#This Row],[Effective_Unit_Margin]]&lt;0,"Loss per Unit","Positive per Unit")</f>
        <v>Loss per Unit</v>
      </c>
    </row>
    <row r="480" spans="1:25" x14ac:dyDescent="0.3">
      <c r="A480">
        <v>1090</v>
      </c>
      <c r="B480" s="1">
        <v>45080</v>
      </c>
      <c r="C480" t="s">
        <v>23</v>
      </c>
      <c r="D480" t="s">
        <v>24</v>
      </c>
      <c r="E480">
        <v>47</v>
      </c>
      <c r="F480" t="s">
        <v>15</v>
      </c>
      <c r="G480">
        <v>85.35</v>
      </c>
      <c r="H480">
        <v>360.539999999999</v>
      </c>
      <c r="I480" t="s">
        <v>29</v>
      </c>
      <c r="J480" s="2">
        <v>0.28000000000000003</v>
      </c>
      <c r="K480" t="s">
        <v>17</v>
      </c>
      <c r="L480" t="s">
        <v>18</v>
      </c>
      <c r="M480" t="s">
        <v>27</v>
      </c>
      <c r="N480">
        <f>SalesData[[#This Row],[Quantity_Sold]]*SalesData[[#This Row],[Unit_Cost]]</f>
        <v>4011.45</v>
      </c>
      <c r="O480">
        <f>SalesData[[#This Row],[Quantity_Sold]]*SalesData[[#This Row],[Unit_Price]]</f>
        <v>16945.379999999954</v>
      </c>
      <c r="P480">
        <f>SalesData[[#This Row],[Gross_sales]]*(1-SalesData[[#This Row],[Discount]])</f>
        <v>12200.673599999966</v>
      </c>
      <c r="Q480" s="2">
        <f>SalesData[[#This Row],[Sales_amount]]-SalesData[[#This Row],[Total_Cost]]</f>
        <v>8189.2235999999657</v>
      </c>
      <c r="R480" s="2">
        <f>SalesData[[#This Row],[Profit]]/SalesData[[#This Row],[Sales_amount]]</f>
        <v>0.6712107764279498</v>
      </c>
      <c r="S480" s="2">
        <f>SalesData[[#This Row],[Unit_Price]]-SalesData[[#This Row],[Unit_Cost]]</f>
        <v>275.18999999999903</v>
      </c>
      <c r="T480" s="10">
        <f>SalesData[[#This Row],[Unit_Margin]]/SalesData[[#This Row],[Unit_Price]]</f>
        <v>0.76327175902812394</v>
      </c>
      <c r="U480" s="2" t="str">
        <f>IF(SalesData[[#This Row],[Unit_Margin]]&lt;0, "Negative margin", "Positive margin")</f>
        <v>Positive margin</v>
      </c>
      <c r="V480" s="2" t="str">
        <f>IF(SalesData[[#This Row],[Profit]]&lt;0, "Loss", "Profit")</f>
        <v>Profit</v>
      </c>
      <c r="W480" s="2">
        <f>SalesData[[#This Row],[Unit_Price]]*(1-SalesData[[#This Row],[Discount]])</f>
        <v>259.58879999999925</v>
      </c>
      <c r="X480" s="2">
        <f>SalesData[[#This Row],[Effective_Unit_Price]]-SalesData[[#This Row],[Unit_Cost]]</f>
        <v>174.23879999999926</v>
      </c>
      <c r="Y480" s="2" t="str">
        <f>IF(SalesData[[#This Row],[Effective_Unit_Margin]]&lt;0,"Loss per Unit","Positive per Unit")</f>
        <v>Positive per Unit</v>
      </c>
    </row>
    <row r="481" spans="1:25" x14ac:dyDescent="0.3">
      <c r="A481">
        <v>1090</v>
      </c>
      <c r="B481" s="1">
        <v>44999</v>
      </c>
      <c r="C481" t="s">
        <v>23</v>
      </c>
      <c r="D481" t="s">
        <v>33</v>
      </c>
      <c r="E481">
        <v>47</v>
      </c>
      <c r="F481" t="s">
        <v>15</v>
      </c>
      <c r="G481">
        <v>2310.8200000000002</v>
      </c>
      <c r="H481">
        <v>2714.71</v>
      </c>
      <c r="I481" t="s">
        <v>29</v>
      </c>
      <c r="J481" s="2">
        <v>0.19</v>
      </c>
      <c r="K481" t="s">
        <v>17</v>
      </c>
      <c r="L481" t="s">
        <v>21</v>
      </c>
      <c r="M481" t="s">
        <v>49</v>
      </c>
      <c r="N481">
        <f>SalesData[[#This Row],[Quantity_Sold]]*SalesData[[#This Row],[Unit_Cost]]</f>
        <v>108608.54000000001</v>
      </c>
      <c r="O481">
        <f>SalesData[[#This Row],[Quantity_Sold]]*SalesData[[#This Row],[Unit_Price]]</f>
        <v>127591.37</v>
      </c>
      <c r="P481">
        <f>SalesData[[#This Row],[Gross_sales]]*(1-SalesData[[#This Row],[Discount]])</f>
        <v>103349.00970000001</v>
      </c>
      <c r="Q481" s="2">
        <f>SalesData[[#This Row],[Sales_amount]]-SalesData[[#This Row],[Total_Cost]]</f>
        <v>-5259.5302999999985</v>
      </c>
      <c r="R481" s="2">
        <f>SalesData[[#This Row],[Profit]]/SalesData[[#This Row],[Sales_amount]]</f>
        <v>-5.0890959819230835E-2</v>
      </c>
      <c r="S481" s="2">
        <f>SalesData[[#This Row],[Unit_Price]]-SalesData[[#This Row],[Unit_Cost]]</f>
        <v>403.88999999999987</v>
      </c>
      <c r="T481" s="10">
        <f>SalesData[[#This Row],[Unit_Margin]]/SalesData[[#This Row],[Unit_Price]]</f>
        <v>0.14877832254642295</v>
      </c>
      <c r="U481" s="2" t="str">
        <f>IF(SalesData[[#This Row],[Unit_Margin]]&lt;0, "Negative margin", "Positive margin")</f>
        <v>Positive margin</v>
      </c>
      <c r="V481" s="2" t="str">
        <f>IF(SalesData[[#This Row],[Profit]]&lt;0, "Loss", "Profit")</f>
        <v>Loss</v>
      </c>
      <c r="W481" s="2">
        <f>SalesData[[#This Row],[Unit_Price]]*(1-SalesData[[#This Row],[Discount]])</f>
        <v>2198.9151000000002</v>
      </c>
      <c r="X481" s="2">
        <f>SalesData[[#This Row],[Effective_Unit_Price]]-SalesData[[#This Row],[Unit_Cost]]</f>
        <v>-111.9049</v>
      </c>
      <c r="Y481" s="2" t="str">
        <f>IF(SalesData[[#This Row],[Effective_Unit_Margin]]&lt;0,"Loss per Unit","Positive per Unit")</f>
        <v>Loss per Unit</v>
      </c>
    </row>
    <row r="482" spans="1:25" x14ac:dyDescent="0.3">
      <c r="A482">
        <v>1062</v>
      </c>
      <c r="B482" s="1">
        <v>45127</v>
      </c>
      <c r="C482" t="s">
        <v>37</v>
      </c>
      <c r="D482" t="s">
        <v>14</v>
      </c>
      <c r="E482">
        <v>48</v>
      </c>
      <c r="F482" t="s">
        <v>34</v>
      </c>
      <c r="G482">
        <v>1679.69</v>
      </c>
      <c r="H482">
        <v>1939.04</v>
      </c>
      <c r="I482" t="s">
        <v>29</v>
      </c>
      <c r="J482" s="2">
        <v>0.09</v>
      </c>
      <c r="K482" t="s">
        <v>30</v>
      </c>
      <c r="L482" t="s">
        <v>18</v>
      </c>
      <c r="M482" t="s">
        <v>39</v>
      </c>
      <c r="N482">
        <f>SalesData[[#This Row],[Quantity_Sold]]*SalesData[[#This Row],[Unit_Cost]]</f>
        <v>80625.119999999995</v>
      </c>
      <c r="O482">
        <f>SalesData[[#This Row],[Quantity_Sold]]*SalesData[[#This Row],[Unit_Price]]</f>
        <v>93073.919999999998</v>
      </c>
      <c r="P482">
        <f>SalesData[[#This Row],[Gross_sales]]*(1-SalesData[[#This Row],[Discount]])</f>
        <v>84697.267200000002</v>
      </c>
      <c r="Q482" s="2">
        <f>SalesData[[#This Row],[Sales_amount]]-SalesData[[#This Row],[Total_Cost]]</f>
        <v>4072.1472000000067</v>
      </c>
      <c r="R482" s="2">
        <f>SalesData[[#This Row],[Profit]]/SalesData[[#This Row],[Sales_amount]]</f>
        <v>4.80788499395646E-2</v>
      </c>
      <c r="S482" s="2">
        <f>SalesData[[#This Row],[Unit_Price]]-SalesData[[#This Row],[Unit_Cost]]</f>
        <v>259.34999999999991</v>
      </c>
      <c r="T482" s="10">
        <f>SalesData[[#This Row],[Unit_Margin]]/SalesData[[#This Row],[Unit_Price]]</f>
        <v>0.13375175344500367</v>
      </c>
      <c r="U482" s="2" t="str">
        <f>IF(SalesData[[#This Row],[Unit_Margin]]&lt;0, "Negative margin", "Positive margin")</f>
        <v>Positive margin</v>
      </c>
      <c r="V482" s="2" t="str">
        <f>IF(SalesData[[#This Row],[Profit]]&lt;0, "Loss", "Profit")</f>
        <v>Profit</v>
      </c>
      <c r="W482" s="2">
        <f>SalesData[[#This Row],[Unit_Price]]*(1-SalesData[[#This Row],[Discount]])</f>
        <v>1764.5264</v>
      </c>
      <c r="X482" s="2">
        <f>SalesData[[#This Row],[Effective_Unit_Price]]-SalesData[[#This Row],[Unit_Cost]]</f>
        <v>84.836399999999912</v>
      </c>
      <c r="Y482" s="2" t="str">
        <f>IF(SalesData[[#This Row],[Effective_Unit_Margin]]&lt;0,"Loss per Unit","Positive per Unit")</f>
        <v>Positive per Unit</v>
      </c>
    </row>
    <row r="483" spans="1:25" x14ac:dyDescent="0.3">
      <c r="A483">
        <v>1023</v>
      </c>
      <c r="B483" s="1">
        <v>45222</v>
      </c>
      <c r="C483" t="s">
        <v>23</v>
      </c>
      <c r="D483" t="s">
        <v>24</v>
      </c>
      <c r="E483">
        <v>42</v>
      </c>
      <c r="F483" t="s">
        <v>25</v>
      </c>
      <c r="G483">
        <v>309.77999999999997</v>
      </c>
      <c r="H483">
        <v>350.38</v>
      </c>
      <c r="I483" t="s">
        <v>16</v>
      </c>
      <c r="J483" s="2">
        <v>0.19</v>
      </c>
      <c r="K483" t="s">
        <v>30</v>
      </c>
      <c r="L483" t="s">
        <v>21</v>
      </c>
      <c r="M483" t="s">
        <v>27</v>
      </c>
      <c r="N483">
        <f>SalesData[[#This Row],[Quantity_Sold]]*SalesData[[#This Row],[Unit_Cost]]</f>
        <v>13010.759999999998</v>
      </c>
      <c r="O483">
        <f>SalesData[[#This Row],[Quantity_Sold]]*SalesData[[#This Row],[Unit_Price]]</f>
        <v>14715.96</v>
      </c>
      <c r="P483">
        <f>SalesData[[#This Row],[Gross_sales]]*(1-SalesData[[#This Row],[Discount]])</f>
        <v>11919.927600000001</v>
      </c>
      <c r="Q483" s="2">
        <f>SalesData[[#This Row],[Sales_amount]]-SalesData[[#This Row],[Total_Cost]]</f>
        <v>-1090.8323999999975</v>
      </c>
      <c r="R483" s="2">
        <f>SalesData[[#This Row],[Profit]]/SalesData[[#This Row],[Sales_amount]]</f>
        <v>-9.151334107096401E-2</v>
      </c>
      <c r="S483" s="2">
        <f>SalesData[[#This Row],[Unit_Price]]-SalesData[[#This Row],[Unit_Cost]]</f>
        <v>40.600000000000023</v>
      </c>
      <c r="T483" s="10">
        <f>SalesData[[#This Row],[Unit_Margin]]/SalesData[[#This Row],[Unit_Price]]</f>
        <v>0.11587419373251905</v>
      </c>
      <c r="U483" s="2" t="str">
        <f>IF(SalesData[[#This Row],[Unit_Margin]]&lt;0, "Negative margin", "Positive margin")</f>
        <v>Positive margin</v>
      </c>
      <c r="V483" s="2" t="str">
        <f>IF(SalesData[[#This Row],[Profit]]&lt;0, "Loss", "Profit")</f>
        <v>Loss</v>
      </c>
      <c r="W483" s="2">
        <f>SalesData[[#This Row],[Unit_Price]]*(1-SalesData[[#This Row],[Discount]])</f>
        <v>283.80780000000004</v>
      </c>
      <c r="X483" s="2">
        <f>SalesData[[#This Row],[Effective_Unit_Price]]-SalesData[[#This Row],[Unit_Cost]]</f>
        <v>-25.97219999999993</v>
      </c>
      <c r="Y483" s="2" t="str">
        <f>IF(SalesData[[#This Row],[Effective_Unit_Margin]]&lt;0,"Loss per Unit","Positive per Unit")</f>
        <v>Loss per Unit</v>
      </c>
    </row>
    <row r="484" spans="1:25" x14ac:dyDescent="0.3">
      <c r="A484">
        <v>1009</v>
      </c>
      <c r="B484" s="1">
        <v>44943</v>
      </c>
      <c r="C484" t="s">
        <v>23</v>
      </c>
      <c r="D484" t="s">
        <v>20</v>
      </c>
      <c r="E484">
        <v>12</v>
      </c>
      <c r="F484" t="s">
        <v>15</v>
      </c>
      <c r="G484">
        <v>2278.67</v>
      </c>
      <c r="H484">
        <v>2476.8000000000002</v>
      </c>
      <c r="I484" t="s">
        <v>29</v>
      </c>
      <c r="J484" s="2">
        <v>0.09</v>
      </c>
      <c r="K484" t="s">
        <v>17</v>
      </c>
      <c r="L484" t="s">
        <v>21</v>
      </c>
      <c r="M484" t="s">
        <v>46</v>
      </c>
      <c r="N484">
        <f>SalesData[[#This Row],[Quantity_Sold]]*SalesData[[#This Row],[Unit_Cost]]</f>
        <v>27344.04</v>
      </c>
      <c r="O484">
        <f>SalesData[[#This Row],[Quantity_Sold]]*SalesData[[#This Row],[Unit_Price]]</f>
        <v>29721.600000000002</v>
      </c>
      <c r="P484">
        <f>SalesData[[#This Row],[Gross_sales]]*(1-SalesData[[#This Row],[Discount]])</f>
        <v>27046.656000000003</v>
      </c>
      <c r="Q484" s="2">
        <f>SalesData[[#This Row],[Sales_amount]]-SalesData[[#This Row],[Total_Cost]]</f>
        <v>-297.3839999999982</v>
      </c>
      <c r="R484" s="2">
        <f>SalesData[[#This Row],[Profit]]/SalesData[[#This Row],[Sales_amount]]</f>
        <v>-1.099522247778055E-2</v>
      </c>
      <c r="S484" s="2">
        <f>SalesData[[#This Row],[Unit_Price]]-SalesData[[#This Row],[Unit_Cost]]</f>
        <v>198.13000000000011</v>
      </c>
      <c r="T484" s="10">
        <f>SalesData[[#This Row],[Unit_Margin]]/SalesData[[#This Row],[Unit_Price]]</f>
        <v>7.9994347545219682E-2</v>
      </c>
      <c r="U484" s="2" t="str">
        <f>IF(SalesData[[#This Row],[Unit_Margin]]&lt;0, "Negative margin", "Positive margin")</f>
        <v>Positive margin</v>
      </c>
      <c r="V484" s="2" t="str">
        <f>IF(SalesData[[#This Row],[Profit]]&lt;0, "Loss", "Profit")</f>
        <v>Loss</v>
      </c>
      <c r="W484" s="2">
        <f>SalesData[[#This Row],[Unit_Price]]*(1-SalesData[[#This Row],[Discount]])</f>
        <v>2253.8880000000004</v>
      </c>
      <c r="X484" s="2">
        <f>SalesData[[#This Row],[Effective_Unit_Price]]-SalesData[[#This Row],[Unit_Cost]]</f>
        <v>-24.781999999999698</v>
      </c>
      <c r="Y484" s="2" t="str">
        <f>IF(SalesData[[#This Row],[Effective_Unit_Margin]]&lt;0,"Loss per Unit","Positive per Unit")</f>
        <v>Loss per Unit</v>
      </c>
    </row>
    <row r="485" spans="1:25" x14ac:dyDescent="0.3">
      <c r="A485">
        <v>1012</v>
      </c>
      <c r="B485" s="1">
        <v>45055</v>
      </c>
      <c r="C485" t="s">
        <v>23</v>
      </c>
      <c r="D485" t="s">
        <v>20</v>
      </c>
      <c r="E485">
        <v>13</v>
      </c>
      <c r="F485" t="s">
        <v>25</v>
      </c>
      <c r="G485">
        <v>1311.01</v>
      </c>
      <c r="H485">
        <v>1538.79</v>
      </c>
      <c r="I485" t="s">
        <v>16</v>
      </c>
      <c r="J485" s="2">
        <v>0.09</v>
      </c>
      <c r="K485" t="s">
        <v>26</v>
      </c>
      <c r="L485" t="s">
        <v>21</v>
      </c>
      <c r="M485" t="s">
        <v>46</v>
      </c>
      <c r="N485">
        <f>SalesData[[#This Row],[Quantity_Sold]]*SalesData[[#This Row],[Unit_Cost]]</f>
        <v>17043.13</v>
      </c>
      <c r="O485">
        <f>SalesData[[#This Row],[Quantity_Sold]]*SalesData[[#This Row],[Unit_Price]]</f>
        <v>20004.27</v>
      </c>
      <c r="P485">
        <f>SalesData[[#This Row],[Gross_sales]]*(1-SalesData[[#This Row],[Discount]])</f>
        <v>18203.885700000003</v>
      </c>
      <c r="Q485" s="2">
        <f>SalesData[[#This Row],[Sales_amount]]-SalesData[[#This Row],[Total_Cost]]</f>
        <v>1160.7557000000015</v>
      </c>
      <c r="R485" s="2">
        <f>SalesData[[#This Row],[Profit]]/SalesData[[#This Row],[Sales_amount]]</f>
        <v>6.3764172063550215E-2</v>
      </c>
      <c r="S485" s="2">
        <f>SalesData[[#This Row],[Unit_Price]]-SalesData[[#This Row],[Unit_Cost]]</f>
        <v>227.77999999999997</v>
      </c>
      <c r="T485" s="10">
        <f>SalesData[[#This Row],[Unit_Margin]]/SalesData[[#This Row],[Unit_Price]]</f>
        <v>0.14802539657783062</v>
      </c>
      <c r="U485" s="2" t="str">
        <f>IF(SalesData[[#This Row],[Unit_Margin]]&lt;0, "Negative margin", "Positive margin")</f>
        <v>Positive margin</v>
      </c>
      <c r="V485" s="2" t="str">
        <f>IF(SalesData[[#This Row],[Profit]]&lt;0, "Loss", "Profit")</f>
        <v>Profit</v>
      </c>
      <c r="W485" s="2">
        <f>SalesData[[#This Row],[Unit_Price]]*(1-SalesData[[#This Row],[Discount]])</f>
        <v>1400.2989</v>
      </c>
      <c r="X485" s="2">
        <f>SalesData[[#This Row],[Effective_Unit_Price]]-SalesData[[#This Row],[Unit_Cost]]</f>
        <v>89.288900000000012</v>
      </c>
      <c r="Y485" s="2" t="str">
        <f>IF(SalesData[[#This Row],[Effective_Unit_Margin]]&lt;0,"Loss per Unit","Positive per Unit")</f>
        <v>Positive per Unit</v>
      </c>
    </row>
    <row r="486" spans="1:25" x14ac:dyDescent="0.3">
      <c r="A486">
        <v>1001</v>
      </c>
      <c r="B486" s="1">
        <v>45143</v>
      </c>
      <c r="C486" t="s">
        <v>13</v>
      </c>
      <c r="D486" t="s">
        <v>14</v>
      </c>
      <c r="E486">
        <v>4</v>
      </c>
      <c r="F486" t="s">
        <v>25</v>
      </c>
      <c r="G486">
        <v>1791.83</v>
      </c>
      <c r="H486">
        <v>1871.22</v>
      </c>
      <c r="I486" t="s">
        <v>16</v>
      </c>
      <c r="J486" s="2">
        <v>0.12</v>
      </c>
      <c r="K486" t="s">
        <v>26</v>
      </c>
      <c r="L486" t="s">
        <v>18</v>
      </c>
      <c r="M486" t="s">
        <v>19</v>
      </c>
      <c r="N486">
        <f>SalesData[[#This Row],[Quantity_Sold]]*SalesData[[#This Row],[Unit_Cost]]</f>
        <v>7167.32</v>
      </c>
      <c r="O486">
        <f>SalesData[[#This Row],[Quantity_Sold]]*SalesData[[#This Row],[Unit_Price]]</f>
        <v>7484.88</v>
      </c>
      <c r="P486">
        <f>SalesData[[#This Row],[Gross_sales]]*(1-SalesData[[#This Row],[Discount]])</f>
        <v>6586.6944000000003</v>
      </c>
      <c r="Q486" s="2">
        <f>SalesData[[#This Row],[Sales_amount]]-SalesData[[#This Row],[Total_Cost]]</f>
        <v>-580.62559999999939</v>
      </c>
      <c r="R486" s="2">
        <f>SalesData[[#This Row],[Profit]]/SalesData[[#This Row],[Sales_amount]]</f>
        <v>-8.8151288755707172E-2</v>
      </c>
      <c r="S486" s="2">
        <f>SalesData[[#This Row],[Unit_Price]]-SalesData[[#This Row],[Unit_Cost]]</f>
        <v>79.3900000000001</v>
      </c>
      <c r="T486" s="10">
        <f>SalesData[[#This Row],[Unit_Margin]]/SalesData[[#This Row],[Unit_Price]]</f>
        <v>4.2426865894977663E-2</v>
      </c>
      <c r="U486" s="2" t="str">
        <f>IF(SalesData[[#This Row],[Unit_Margin]]&lt;0, "Negative margin", "Positive margin")</f>
        <v>Positive margin</v>
      </c>
      <c r="V486" s="2" t="str">
        <f>IF(SalesData[[#This Row],[Profit]]&lt;0, "Loss", "Profit")</f>
        <v>Loss</v>
      </c>
      <c r="W486" s="2">
        <f>SalesData[[#This Row],[Unit_Price]]*(1-SalesData[[#This Row],[Discount]])</f>
        <v>1646.6736000000001</v>
      </c>
      <c r="X486" s="2">
        <f>SalesData[[#This Row],[Effective_Unit_Price]]-SalesData[[#This Row],[Unit_Cost]]</f>
        <v>-145.15639999999985</v>
      </c>
      <c r="Y486" s="2" t="str">
        <f>IF(SalesData[[#This Row],[Effective_Unit_Margin]]&lt;0,"Loss per Unit","Positive per Unit")</f>
        <v>Loss per Unit</v>
      </c>
    </row>
    <row r="487" spans="1:25" x14ac:dyDescent="0.3">
      <c r="A487">
        <v>1058</v>
      </c>
      <c r="B487" s="1">
        <v>44987</v>
      </c>
      <c r="C487" t="s">
        <v>37</v>
      </c>
      <c r="D487" t="s">
        <v>20</v>
      </c>
      <c r="E487">
        <v>39</v>
      </c>
      <c r="F487" t="s">
        <v>25</v>
      </c>
      <c r="G487">
        <v>3542.8</v>
      </c>
      <c r="H487">
        <v>3603.02</v>
      </c>
      <c r="I487" t="s">
        <v>16</v>
      </c>
      <c r="J487" s="2">
        <v>0.26</v>
      </c>
      <c r="K487" t="s">
        <v>17</v>
      </c>
      <c r="L487" t="s">
        <v>18</v>
      </c>
      <c r="M487" t="s">
        <v>40</v>
      </c>
      <c r="N487">
        <f>SalesData[[#This Row],[Quantity_Sold]]*SalesData[[#This Row],[Unit_Cost]]</f>
        <v>138169.20000000001</v>
      </c>
      <c r="O487">
        <f>SalesData[[#This Row],[Quantity_Sold]]*SalesData[[#This Row],[Unit_Price]]</f>
        <v>140517.78</v>
      </c>
      <c r="P487">
        <f>SalesData[[#This Row],[Gross_sales]]*(1-SalesData[[#This Row],[Discount]])</f>
        <v>103983.1572</v>
      </c>
      <c r="Q487" s="2">
        <f>SalesData[[#This Row],[Sales_amount]]-SalesData[[#This Row],[Total_Cost]]</f>
        <v>-34186.04280000001</v>
      </c>
      <c r="R487" s="2">
        <f>SalesData[[#This Row],[Profit]]/SalesData[[#This Row],[Sales_amount]]</f>
        <v>-0.32876519352309114</v>
      </c>
      <c r="S487" s="2">
        <f>SalesData[[#This Row],[Unit_Price]]-SalesData[[#This Row],[Unit_Cost]]</f>
        <v>60.2199999999998</v>
      </c>
      <c r="T487" s="10">
        <f>SalesData[[#This Row],[Unit_Margin]]/SalesData[[#This Row],[Unit_Price]]</f>
        <v>1.6713756792912558E-2</v>
      </c>
      <c r="U487" s="2" t="str">
        <f>IF(SalesData[[#This Row],[Unit_Margin]]&lt;0, "Negative margin", "Positive margin")</f>
        <v>Positive margin</v>
      </c>
      <c r="V487" s="2" t="str">
        <f>IF(SalesData[[#This Row],[Profit]]&lt;0, "Loss", "Profit")</f>
        <v>Loss</v>
      </c>
      <c r="W487" s="2">
        <f>SalesData[[#This Row],[Unit_Price]]*(1-SalesData[[#This Row],[Discount]])</f>
        <v>2666.2348000000002</v>
      </c>
      <c r="X487" s="2">
        <f>SalesData[[#This Row],[Effective_Unit_Price]]-SalesData[[#This Row],[Unit_Cost]]</f>
        <v>-876.5652</v>
      </c>
      <c r="Y487" s="2" t="str">
        <f>IF(SalesData[[#This Row],[Effective_Unit_Margin]]&lt;0,"Loss per Unit","Positive per Unit")</f>
        <v>Loss per Unit</v>
      </c>
    </row>
    <row r="488" spans="1:25" x14ac:dyDescent="0.3">
      <c r="A488">
        <v>1001</v>
      </c>
      <c r="B488" s="1">
        <v>45030</v>
      </c>
      <c r="C488" t="s">
        <v>23</v>
      </c>
      <c r="D488" t="s">
        <v>33</v>
      </c>
      <c r="E488">
        <v>2</v>
      </c>
      <c r="F488" t="s">
        <v>34</v>
      </c>
      <c r="G488">
        <v>2631.68</v>
      </c>
      <c r="H488">
        <v>2904.06</v>
      </c>
      <c r="I488" t="s">
        <v>29</v>
      </c>
      <c r="J488" s="2">
        <v>0.15</v>
      </c>
      <c r="K488" t="s">
        <v>26</v>
      </c>
      <c r="L488" t="s">
        <v>18</v>
      </c>
      <c r="M488" t="s">
        <v>49</v>
      </c>
      <c r="N488">
        <f>SalesData[[#This Row],[Quantity_Sold]]*SalesData[[#This Row],[Unit_Cost]]</f>
        <v>5263.36</v>
      </c>
      <c r="O488">
        <f>SalesData[[#This Row],[Quantity_Sold]]*SalesData[[#This Row],[Unit_Price]]</f>
        <v>5808.12</v>
      </c>
      <c r="P488">
        <f>SalesData[[#This Row],[Gross_sales]]*(1-SalesData[[#This Row],[Discount]])</f>
        <v>4936.902</v>
      </c>
      <c r="Q488" s="2">
        <f>SalesData[[#This Row],[Sales_amount]]-SalesData[[#This Row],[Total_Cost]]</f>
        <v>-326.45799999999963</v>
      </c>
      <c r="R488" s="2">
        <f>SalesData[[#This Row],[Profit]]/SalesData[[#This Row],[Sales_amount]]</f>
        <v>-6.6126084738971858E-2</v>
      </c>
      <c r="S488" s="2">
        <f>SalesData[[#This Row],[Unit_Price]]-SalesData[[#This Row],[Unit_Cost]]</f>
        <v>272.38000000000011</v>
      </c>
      <c r="T488" s="10">
        <f>SalesData[[#This Row],[Unit_Margin]]/SalesData[[#This Row],[Unit_Price]]</f>
        <v>9.3792827971873896E-2</v>
      </c>
      <c r="U488" s="2" t="str">
        <f>IF(SalesData[[#This Row],[Unit_Margin]]&lt;0, "Negative margin", "Positive margin")</f>
        <v>Positive margin</v>
      </c>
      <c r="V488" s="2" t="str">
        <f>IF(SalesData[[#This Row],[Profit]]&lt;0, "Loss", "Profit")</f>
        <v>Loss</v>
      </c>
      <c r="W488" s="2">
        <f>SalesData[[#This Row],[Unit_Price]]*(1-SalesData[[#This Row],[Discount]])</f>
        <v>2468.451</v>
      </c>
      <c r="X488" s="2">
        <f>SalesData[[#This Row],[Effective_Unit_Price]]-SalesData[[#This Row],[Unit_Cost]]</f>
        <v>-163.22899999999981</v>
      </c>
      <c r="Y488" s="2" t="str">
        <f>IF(SalesData[[#This Row],[Effective_Unit_Margin]]&lt;0,"Loss per Unit","Positive per Unit")</f>
        <v>Loss per Unit</v>
      </c>
    </row>
    <row r="489" spans="1:25" x14ac:dyDescent="0.3">
      <c r="A489">
        <v>1034</v>
      </c>
      <c r="B489" s="1">
        <v>44968</v>
      </c>
      <c r="C489" t="s">
        <v>37</v>
      </c>
      <c r="D489" t="s">
        <v>24</v>
      </c>
      <c r="E489">
        <v>26</v>
      </c>
      <c r="F489" t="s">
        <v>34</v>
      </c>
      <c r="G489">
        <v>667</v>
      </c>
      <c r="H489">
        <v>718.72</v>
      </c>
      <c r="I489" t="s">
        <v>29</v>
      </c>
      <c r="J489" s="2">
        <v>0.2</v>
      </c>
      <c r="K489" t="s">
        <v>17</v>
      </c>
      <c r="L489" t="s">
        <v>21</v>
      </c>
      <c r="M489" t="s">
        <v>38</v>
      </c>
      <c r="N489">
        <f>SalesData[[#This Row],[Quantity_Sold]]*SalesData[[#This Row],[Unit_Cost]]</f>
        <v>17342</v>
      </c>
      <c r="O489">
        <f>SalesData[[#This Row],[Quantity_Sold]]*SalesData[[#This Row],[Unit_Price]]</f>
        <v>18686.72</v>
      </c>
      <c r="P489">
        <f>SalesData[[#This Row],[Gross_sales]]*(1-SalesData[[#This Row],[Discount]])</f>
        <v>14949.376000000002</v>
      </c>
      <c r="Q489" s="2">
        <f>SalesData[[#This Row],[Sales_amount]]-SalesData[[#This Row],[Total_Cost]]</f>
        <v>-2392.623999999998</v>
      </c>
      <c r="R489" s="2">
        <f>SalesData[[#This Row],[Profit]]/SalesData[[#This Row],[Sales_amount]]</f>
        <v>-0.16004841941228837</v>
      </c>
      <c r="S489" s="2">
        <f>SalesData[[#This Row],[Unit_Price]]-SalesData[[#This Row],[Unit_Cost]]</f>
        <v>51.720000000000027</v>
      </c>
      <c r="T489" s="10">
        <f>SalesData[[#This Row],[Unit_Margin]]/SalesData[[#This Row],[Unit_Price]]</f>
        <v>7.196126447016922E-2</v>
      </c>
      <c r="U489" s="2" t="str">
        <f>IF(SalesData[[#This Row],[Unit_Margin]]&lt;0, "Negative margin", "Positive margin")</f>
        <v>Positive margin</v>
      </c>
      <c r="V489" s="2" t="str">
        <f>IF(SalesData[[#This Row],[Profit]]&lt;0, "Loss", "Profit")</f>
        <v>Loss</v>
      </c>
      <c r="W489" s="2">
        <f>SalesData[[#This Row],[Unit_Price]]*(1-SalesData[[#This Row],[Discount]])</f>
        <v>574.976</v>
      </c>
      <c r="X489" s="2">
        <f>SalesData[[#This Row],[Effective_Unit_Price]]-SalesData[[#This Row],[Unit_Cost]]</f>
        <v>-92.024000000000001</v>
      </c>
      <c r="Y489" s="2" t="str">
        <f>IF(SalesData[[#This Row],[Effective_Unit_Margin]]&lt;0,"Loss per Unit","Positive per Unit")</f>
        <v>Loss per Unit</v>
      </c>
    </row>
    <row r="490" spans="1:25" x14ac:dyDescent="0.3">
      <c r="A490">
        <v>1096</v>
      </c>
      <c r="B490" s="1">
        <v>44951</v>
      </c>
      <c r="C490" t="s">
        <v>32</v>
      </c>
      <c r="D490" t="s">
        <v>20</v>
      </c>
      <c r="E490">
        <v>27</v>
      </c>
      <c r="F490" t="s">
        <v>28</v>
      </c>
      <c r="G490">
        <v>4809</v>
      </c>
      <c r="H490">
        <v>4967.4399999999996</v>
      </c>
      <c r="I490" t="s">
        <v>29</v>
      </c>
      <c r="J490" s="2">
        <v>0.12</v>
      </c>
      <c r="K490" t="s">
        <v>17</v>
      </c>
      <c r="L490" t="s">
        <v>18</v>
      </c>
      <c r="M490" t="s">
        <v>36</v>
      </c>
      <c r="N490">
        <f>SalesData[[#This Row],[Quantity_Sold]]*SalesData[[#This Row],[Unit_Cost]]</f>
        <v>129843</v>
      </c>
      <c r="O490">
        <f>SalesData[[#This Row],[Quantity_Sold]]*SalesData[[#This Row],[Unit_Price]]</f>
        <v>134120.87999999998</v>
      </c>
      <c r="P490">
        <f>SalesData[[#This Row],[Gross_sales]]*(1-SalesData[[#This Row],[Discount]])</f>
        <v>118026.37439999999</v>
      </c>
      <c r="Q490" s="2">
        <f>SalesData[[#This Row],[Sales_amount]]-SalesData[[#This Row],[Total_Cost]]</f>
        <v>-11816.625600000014</v>
      </c>
      <c r="R490" s="2">
        <f>SalesData[[#This Row],[Profit]]/SalesData[[#This Row],[Sales_amount]]</f>
        <v>-0.10011851723880467</v>
      </c>
      <c r="S490" s="2">
        <f>SalesData[[#This Row],[Unit_Price]]-SalesData[[#This Row],[Unit_Cost]]</f>
        <v>158.4399999999996</v>
      </c>
      <c r="T490" s="10">
        <f>SalesData[[#This Row],[Unit_Margin]]/SalesData[[#This Row],[Unit_Price]]</f>
        <v>3.189570482985192E-2</v>
      </c>
      <c r="U490" s="2" t="str">
        <f>IF(SalesData[[#This Row],[Unit_Margin]]&lt;0, "Negative margin", "Positive margin")</f>
        <v>Positive margin</v>
      </c>
      <c r="V490" s="2" t="str">
        <f>IF(SalesData[[#This Row],[Profit]]&lt;0, "Loss", "Profit")</f>
        <v>Loss</v>
      </c>
      <c r="W490" s="2">
        <f>SalesData[[#This Row],[Unit_Price]]*(1-SalesData[[#This Row],[Discount]])</f>
        <v>4371.3471999999992</v>
      </c>
      <c r="X490" s="2">
        <f>SalesData[[#This Row],[Effective_Unit_Price]]-SalesData[[#This Row],[Unit_Cost]]</f>
        <v>-437.65280000000075</v>
      </c>
      <c r="Y490" s="2" t="str">
        <f>IF(SalesData[[#This Row],[Effective_Unit_Margin]]&lt;0,"Loss per Unit","Positive per Unit")</f>
        <v>Loss per Unit</v>
      </c>
    </row>
    <row r="491" spans="1:25" x14ac:dyDescent="0.3">
      <c r="A491">
        <v>1048</v>
      </c>
      <c r="B491" s="1">
        <v>44965</v>
      </c>
      <c r="C491" t="s">
        <v>32</v>
      </c>
      <c r="D491" t="s">
        <v>20</v>
      </c>
      <c r="E491">
        <v>27</v>
      </c>
      <c r="F491" t="s">
        <v>28</v>
      </c>
      <c r="G491">
        <v>3197.76</v>
      </c>
      <c r="H491">
        <v>3572.61</v>
      </c>
      <c r="I491" t="s">
        <v>16</v>
      </c>
      <c r="J491" s="2">
        <v>0.08</v>
      </c>
      <c r="K491" t="s">
        <v>30</v>
      </c>
      <c r="L491" t="s">
        <v>18</v>
      </c>
      <c r="M491" t="s">
        <v>36</v>
      </c>
      <c r="N491">
        <f>SalesData[[#This Row],[Quantity_Sold]]*SalesData[[#This Row],[Unit_Cost]]</f>
        <v>86339.520000000004</v>
      </c>
      <c r="O491">
        <f>SalesData[[#This Row],[Quantity_Sold]]*SalesData[[#This Row],[Unit_Price]]</f>
        <v>96460.47</v>
      </c>
      <c r="P491">
        <f>SalesData[[#This Row],[Gross_sales]]*(1-SalesData[[#This Row],[Discount]])</f>
        <v>88743.632400000002</v>
      </c>
      <c r="Q491" s="2">
        <f>SalesData[[#This Row],[Sales_amount]]-SalesData[[#This Row],[Total_Cost]]</f>
        <v>2404.1123999999982</v>
      </c>
      <c r="R491" s="2">
        <f>SalesData[[#This Row],[Profit]]/SalesData[[#This Row],[Sales_amount]]</f>
        <v>2.7090534103492457E-2</v>
      </c>
      <c r="S491" s="2">
        <f>SalesData[[#This Row],[Unit_Price]]-SalesData[[#This Row],[Unit_Cost]]</f>
        <v>374.84999999999991</v>
      </c>
      <c r="T491" s="10">
        <f>SalesData[[#This Row],[Unit_Margin]]/SalesData[[#This Row],[Unit_Price]]</f>
        <v>0.10492329137521306</v>
      </c>
      <c r="U491" s="2" t="str">
        <f>IF(SalesData[[#This Row],[Unit_Margin]]&lt;0, "Negative margin", "Positive margin")</f>
        <v>Positive margin</v>
      </c>
      <c r="V491" s="2" t="str">
        <f>IF(SalesData[[#This Row],[Profit]]&lt;0, "Loss", "Profit")</f>
        <v>Profit</v>
      </c>
      <c r="W491" s="2">
        <f>SalesData[[#This Row],[Unit_Price]]*(1-SalesData[[#This Row],[Discount]])</f>
        <v>3286.8012000000003</v>
      </c>
      <c r="X491" s="2">
        <f>SalesData[[#This Row],[Effective_Unit_Price]]-SalesData[[#This Row],[Unit_Cost]]</f>
        <v>89.041200000000117</v>
      </c>
      <c r="Y491" s="2" t="str">
        <f>IF(SalesData[[#This Row],[Effective_Unit_Margin]]&lt;0,"Loss per Unit","Positive per Unit")</f>
        <v>Positive per Unit</v>
      </c>
    </row>
    <row r="492" spans="1:25" x14ac:dyDescent="0.3">
      <c r="A492">
        <v>1089</v>
      </c>
      <c r="B492" s="1">
        <v>45217</v>
      </c>
      <c r="C492" t="s">
        <v>23</v>
      </c>
      <c r="D492" t="s">
        <v>14</v>
      </c>
      <c r="E492">
        <v>15</v>
      </c>
      <c r="F492" t="s">
        <v>25</v>
      </c>
      <c r="G492">
        <v>3841.05</v>
      </c>
      <c r="H492">
        <v>4323.62</v>
      </c>
      <c r="I492" t="s">
        <v>16</v>
      </c>
      <c r="J492" s="2">
        <v>0.28999999999999998</v>
      </c>
      <c r="K492" t="s">
        <v>30</v>
      </c>
      <c r="L492" t="s">
        <v>21</v>
      </c>
      <c r="M492" t="s">
        <v>44</v>
      </c>
      <c r="N492">
        <f>SalesData[[#This Row],[Quantity_Sold]]*SalesData[[#This Row],[Unit_Cost]]</f>
        <v>57615.75</v>
      </c>
      <c r="O492">
        <f>SalesData[[#This Row],[Quantity_Sold]]*SalesData[[#This Row],[Unit_Price]]</f>
        <v>64854.299999999996</v>
      </c>
      <c r="P492">
        <f>SalesData[[#This Row],[Gross_sales]]*(1-SalesData[[#This Row],[Discount]])</f>
        <v>46046.552999999993</v>
      </c>
      <c r="Q492" s="2">
        <f>SalesData[[#This Row],[Sales_amount]]-SalesData[[#This Row],[Total_Cost]]</f>
        <v>-11569.197000000007</v>
      </c>
      <c r="R492" s="2">
        <f>SalesData[[#This Row],[Profit]]/SalesData[[#This Row],[Sales_amount]]</f>
        <v>-0.25125001213445902</v>
      </c>
      <c r="S492" s="2">
        <f>SalesData[[#This Row],[Unit_Price]]-SalesData[[#This Row],[Unit_Cost]]</f>
        <v>482.56999999999971</v>
      </c>
      <c r="T492" s="10">
        <f>SalesData[[#This Row],[Unit_Margin]]/SalesData[[#This Row],[Unit_Price]]</f>
        <v>0.11161249138453419</v>
      </c>
      <c r="U492" s="2" t="str">
        <f>IF(SalesData[[#This Row],[Unit_Margin]]&lt;0, "Negative margin", "Positive margin")</f>
        <v>Positive margin</v>
      </c>
      <c r="V492" s="2" t="str">
        <f>IF(SalesData[[#This Row],[Profit]]&lt;0, "Loss", "Profit")</f>
        <v>Loss</v>
      </c>
      <c r="W492" s="2">
        <f>SalesData[[#This Row],[Unit_Price]]*(1-SalesData[[#This Row],[Discount]])</f>
        <v>3069.7701999999999</v>
      </c>
      <c r="X492" s="2">
        <f>SalesData[[#This Row],[Effective_Unit_Price]]-SalesData[[#This Row],[Unit_Cost]]</f>
        <v>-771.27980000000025</v>
      </c>
      <c r="Y492" s="2" t="str">
        <f>IF(SalesData[[#This Row],[Effective_Unit_Margin]]&lt;0,"Loss per Unit","Positive per Unit")</f>
        <v>Loss per Unit</v>
      </c>
    </row>
    <row r="493" spans="1:25" x14ac:dyDescent="0.3">
      <c r="A493">
        <v>1001</v>
      </c>
      <c r="B493" s="1">
        <v>45057</v>
      </c>
      <c r="C493" t="s">
        <v>37</v>
      </c>
      <c r="D493" t="s">
        <v>33</v>
      </c>
      <c r="E493">
        <v>8</v>
      </c>
      <c r="F493" t="s">
        <v>28</v>
      </c>
      <c r="G493">
        <v>442.11</v>
      </c>
      <c r="H493">
        <v>803.87</v>
      </c>
      <c r="I493" t="s">
        <v>29</v>
      </c>
      <c r="J493" s="2">
        <v>0.18</v>
      </c>
      <c r="K493" t="s">
        <v>17</v>
      </c>
      <c r="L493" t="s">
        <v>21</v>
      </c>
      <c r="M493" t="s">
        <v>47</v>
      </c>
      <c r="N493">
        <f>SalesData[[#This Row],[Quantity_Sold]]*SalesData[[#This Row],[Unit_Cost]]</f>
        <v>3536.88</v>
      </c>
      <c r="O493">
        <f>SalesData[[#This Row],[Quantity_Sold]]*SalesData[[#This Row],[Unit_Price]]</f>
        <v>6430.96</v>
      </c>
      <c r="P493">
        <f>SalesData[[#This Row],[Gross_sales]]*(1-SalesData[[#This Row],[Discount]])</f>
        <v>5273.3872000000001</v>
      </c>
      <c r="Q493" s="2">
        <f>SalesData[[#This Row],[Sales_amount]]-SalesData[[#This Row],[Total_Cost]]</f>
        <v>1736.5072</v>
      </c>
      <c r="R493" s="2">
        <f>SalesData[[#This Row],[Profit]]/SalesData[[#This Row],[Sales_amount]]</f>
        <v>0.32929635813581071</v>
      </c>
      <c r="S493" s="2">
        <f>SalesData[[#This Row],[Unit_Price]]-SalesData[[#This Row],[Unit_Cost]]</f>
        <v>361.76</v>
      </c>
      <c r="T493" s="10">
        <f>SalesData[[#This Row],[Unit_Margin]]/SalesData[[#This Row],[Unit_Price]]</f>
        <v>0.45002301367136477</v>
      </c>
      <c r="U493" s="2" t="str">
        <f>IF(SalesData[[#This Row],[Unit_Margin]]&lt;0, "Negative margin", "Positive margin")</f>
        <v>Positive margin</v>
      </c>
      <c r="V493" s="2" t="str">
        <f>IF(SalesData[[#This Row],[Profit]]&lt;0, "Loss", "Profit")</f>
        <v>Profit</v>
      </c>
      <c r="W493" s="2">
        <f>SalesData[[#This Row],[Unit_Price]]*(1-SalesData[[#This Row],[Discount]])</f>
        <v>659.17340000000002</v>
      </c>
      <c r="X493" s="2">
        <f>SalesData[[#This Row],[Effective_Unit_Price]]-SalesData[[#This Row],[Unit_Cost]]</f>
        <v>217.0634</v>
      </c>
      <c r="Y493" s="2" t="str">
        <f>IF(SalesData[[#This Row],[Effective_Unit_Margin]]&lt;0,"Loss per Unit","Positive per Unit")</f>
        <v>Positive per Unit</v>
      </c>
    </row>
    <row r="494" spans="1:25" x14ac:dyDescent="0.3">
      <c r="A494">
        <v>1016</v>
      </c>
      <c r="B494" s="1">
        <v>45155</v>
      </c>
      <c r="C494" t="s">
        <v>37</v>
      </c>
      <c r="D494" t="s">
        <v>20</v>
      </c>
      <c r="E494">
        <v>7</v>
      </c>
      <c r="F494" t="s">
        <v>25</v>
      </c>
      <c r="G494">
        <v>282.94</v>
      </c>
      <c r="H494">
        <v>779.32999999999902</v>
      </c>
      <c r="I494" t="s">
        <v>16</v>
      </c>
      <c r="J494" s="2">
        <v>0.28000000000000003</v>
      </c>
      <c r="K494" t="s">
        <v>30</v>
      </c>
      <c r="L494" t="s">
        <v>18</v>
      </c>
      <c r="M494" t="s">
        <v>40</v>
      </c>
      <c r="N494">
        <f>SalesData[[#This Row],[Quantity_Sold]]*SalesData[[#This Row],[Unit_Cost]]</f>
        <v>1980.58</v>
      </c>
      <c r="O494">
        <f>SalesData[[#This Row],[Quantity_Sold]]*SalesData[[#This Row],[Unit_Price]]</f>
        <v>5455.3099999999931</v>
      </c>
      <c r="P494">
        <f>SalesData[[#This Row],[Gross_sales]]*(1-SalesData[[#This Row],[Discount]])</f>
        <v>3927.8231999999948</v>
      </c>
      <c r="Q494" s="2">
        <f>SalesData[[#This Row],[Sales_amount]]-SalesData[[#This Row],[Total_Cost]]</f>
        <v>1947.2431999999949</v>
      </c>
      <c r="R494" s="2">
        <f>SalesData[[#This Row],[Profit]]/SalesData[[#This Row],[Sales_amount]]</f>
        <v>0.49575632630307737</v>
      </c>
      <c r="S494" s="2">
        <f>SalesData[[#This Row],[Unit_Price]]-SalesData[[#This Row],[Unit_Cost]]</f>
        <v>496.38999999999902</v>
      </c>
      <c r="T494" s="10">
        <f>SalesData[[#This Row],[Unit_Margin]]/SalesData[[#This Row],[Unit_Price]]</f>
        <v>0.63694455493821567</v>
      </c>
      <c r="U494" s="2" t="str">
        <f>IF(SalesData[[#This Row],[Unit_Margin]]&lt;0, "Negative margin", "Positive margin")</f>
        <v>Positive margin</v>
      </c>
      <c r="V494" s="2" t="str">
        <f>IF(SalesData[[#This Row],[Profit]]&lt;0, "Loss", "Profit")</f>
        <v>Profit</v>
      </c>
      <c r="W494" s="2">
        <f>SalesData[[#This Row],[Unit_Price]]*(1-SalesData[[#This Row],[Discount]])</f>
        <v>561.11759999999924</v>
      </c>
      <c r="X494" s="2">
        <f>SalesData[[#This Row],[Effective_Unit_Price]]-SalesData[[#This Row],[Unit_Cost]]</f>
        <v>278.17759999999925</v>
      </c>
      <c r="Y494" s="2" t="str">
        <f>IF(SalesData[[#This Row],[Effective_Unit_Margin]]&lt;0,"Loss per Unit","Positive per Unit")</f>
        <v>Positive per Unit</v>
      </c>
    </row>
    <row r="495" spans="1:25" x14ac:dyDescent="0.3">
      <c r="A495">
        <v>1061</v>
      </c>
      <c r="B495" s="1">
        <v>45034</v>
      </c>
      <c r="C495" t="s">
        <v>37</v>
      </c>
      <c r="D495" t="s">
        <v>14</v>
      </c>
      <c r="E495">
        <v>47</v>
      </c>
      <c r="F495" t="s">
        <v>34</v>
      </c>
      <c r="G495">
        <v>146.27000000000001</v>
      </c>
      <c r="H495">
        <v>498.46</v>
      </c>
      <c r="I495" t="s">
        <v>29</v>
      </c>
      <c r="J495" s="2">
        <v>0.06</v>
      </c>
      <c r="K495" t="s">
        <v>17</v>
      </c>
      <c r="L495" t="s">
        <v>21</v>
      </c>
      <c r="M495" t="s">
        <v>39</v>
      </c>
      <c r="N495">
        <f>SalesData[[#This Row],[Quantity_Sold]]*SalesData[[#This Row],[Unit_Cost]]</f>
        <v>6874.6900000000005</v>
      </c>
      <c r="O495">
        <f>SalesData[[#This Row],[Quantity_Sold]]*SalesData[[#This Row],[Unit_Price]]</f>
        <v>23427.62</v>
      </c>
      <c r="P495">
        <f>SalesData[[#This Row],[Gross_sales]]*(1-SalesData[[#This Row],[Discount]])</f>
        <v>22021.962799999998</v>
      </c>
      <c r="Q495" s="2">
        <f>SalesData[[#This Row],[Sales_amount]]-SalesData[[#This Row],[Total_Cost]]</f>
        <v>15147.272799999997</v>
      </c>
      <c r="R495" s="2">
        <f>SalesData[[#This Row],[Profit]]/SalesData[[#This Row],[Sales_amount]]</f>
        <v>0.68782573731347862</v>
      </c>
      <c r="S495" s="2">
        <f>SalesData[[#This Row],[Unit_Price]]-SalesData[[#This Row],[Unit_Cost]]</f>
        <v>352.18999999999994</v>
      </c>
      <c r="T495" s="10">
        <f>SalesData[[#This Row],[Unit_Margin]]/SalesData[[#This Row],[Unit_Price]]</f>
        <v>0.70655619307466988</v>
      </c>
      <c r="U495" s="2" t="str">
        <f>IF(SalesData[[#This Row],[Unit_Margin]]&lt;0, "Negative margin", "Positive margin")</f>
        <v>Positive margin</v>
      </c>
      <c r="V495" s="2" t="str">
        <f>IF(SalesData[[#This Row],[Profit]]&lt;0, "Loss", "Profit")</f>
        <v>Profit</v>
      </c>
      <c r="W495" s="2">
        <f>SalesData[[#This Row],[Unit_Price]]*(1-SalesData[[#This Row],[Discount]])</f>
        <v>468.55239999999998</v>
      </c>
      <c r="X495" s="2">
        <f>SalesData[[#This Row],[Effective_Unit_Price]]-SalesData[[#This Row],[Unit_Cost]]</f>
        <v>322.28239999999994</v>
      </c>
      <c r="Y495" s="2" t="str">
        <f>IF(SalesData[[#This Row],[Effective_Unit_Margin]]&lt;0,"Loss per Unit","Positive per Unit")</f>
        <v>Positive per Unit</v>
      </c>
    </row>
    <row r="496" spans="1:25" x14ac:dyDescent="0.3">
      <c r="A496">
        <v>1064</v>
      </c>
      <c r="B496" s="1">
        <v>45098</v>
      </c>
      <c r="C496" t="s">
        <v>13</v>
      </c>
      <c r="D496" t="s">
        <v>20</v>
      </c>
      <c r="E496">
        <v>46</v>
      </c>
      <c r="F496" t="s">
        <v>34</v>
      </c>
      <c r="G496">
        <v>984.53</v>
      </c>
      <c r="H496">
        <v>1138.49</v>
      </c>
      <c r="I496" t="s">
        <v>29</v>
      </c>
      <c r="J496" s="2">
        <v>0.04</v>
      </c>
      <c r="K496" t="s">
        <v>26</v>
      </c>
      <c r="L496" t="s">
        <v>18</v>
      </c>
      <c r="M496" t="s">
        <v>22</v>
      </c>
      <c r="N496">
        <f>SalesData[[#This Row],[Quantity_Sold]]*SalesData[[#This Row],[Unit_Cost]]</f>
        <v>45288.38</v>
      </c>
      <c r="O496">
        <f>SalesData[[#This Row],[Quantity_Sold]]*SalesData[[#This Row],[Unit_Price]]</f>
        <v>52370.54</v>
      </c>
      <c r="P496">
        <f>SalesData[[#This Row],[Gross_sales]]*(1-SalesData[[#This Row],[Discount]])</f>
        <v>50275.718399999998</v>
      </c>
      <c r="Q496" s="2">
        <f>SalesData[[#This Row],[Sales_amount]]-SalesData[[#This Row],[Total_Cost]]</f>
        <v>4987.3384000000005</v>
      </c>
      <c r="R496" s="2">
        <f>SalesData[[#This Row],[Profit]]/SalesData[[#This Row],[Sales_amount]]</f>
        <v>9.9199744105496479E-2</v>
      </c>
      <c r="S496" s="2">
        <f>SalesData[[#This Row],[Unit_Price]]-SalesData[[#This Row],[Unit_Cost]]</f>
        <v>153.96000000000004</v>
      </c>
      <c r="T496" s="10">
        <f>SalesData[[#This Row],[Unit_Margin]]/SalesData[[#This Row],[Unit_Price]]</f>
        <v>0.13523175434127663</v>
      </c>
      <c r="U496" s="2" t="str">
        <f>IF(SalesData[[#This Row],[Unit_Margin]]&lt;0, "Negative margin", "Positive margin")</f>
        <v>Positive margin</v>
      </c>
      <c r="V496" s="2" t="str">
        <f>IF(SalesData[[#This Row],[Profit]]&lt;0, "Loss", "Profit")</f>
        <v>Profit</v>
      </c>
      <c r="W496" s="2">
        <f>SalesData[[#This Row],[Unit_Price]]*(1-SalesData[[#This Row],[Discount]])</f>
        <v>1092.9503999999999</v>
      </c>
      <c r="X496" s="2">
        <f>SalesData[[#This Row],[Effective_Unit_Price]]-SalesData[[#This Row],[Unit_Cost]]</f>
        <v>108.42039999999997</v>
      </c>
      <c r="Y496" s="2" t="str">
        <f>IF(SalesData[[#This Row],[Effective_Unit_Margin]]&lt;0,"Loss per Unit","Positive per Unit")</f>
        <v>Positive per Unit</v>
      </c>
    </row>
    <row r="497" spans="1:25" x14ac:dyDescent="0.3">
      <c r="A497">
        <v>1063</v>
      </c>
      <c r="B497" s="1">
        <v>45028</v>
      </c>
      <c r="C497" t="s">
        <v>32</v>
      </c>
      <c r="D497" t="s">
        <v>14</v>
      </c>
      <c r="E497">
        <v>40</v>
      </c>
      <c r="F497" t="s">
        <v>34</v>
      </c>
      <c r="G497">
        <v>2101.3200000000002</v>
      </c>
      <c r="H497">
        <v>2440.63</v>
      </c>
      <c r="I497" t="s">
        <v>29</v>
      </c>
      <c r="J497" s="2">
        <v>0.26</v>
      </c>
      <c r="K497" t="s">
        <v>26</v>
      </c>
      <c r="L497" t="s">
        <v>21</v>
      </c>
      <c r="M497" t="s">
        <v>52</v>
      </c>
      <c r="N497">
        <f>SalesData[[#This Row],[Quantity_Sold]]*SalesData[[#This Row],[Unit_Cost]]</f>
        <v>84052.800000000003</v>
      </c>
      <c r="O497">
        <f>SalesData[[#This Row],[Quantity_Sold]]*SalesData[[#This Row],[Unit_Price]]</f>
        <v>97625.200000000012</v>
      </c>
      <c r="P497">
        <f>SalesData[[#This Row],[Gross_sales]]*(1-SalesData[[#This Row],[Discount]])</f>
        <v>72242.648000000001</v>
      </c>
      <c r="Q497" s="2">
        <f>SalesData[[#This Row],[Sales_amount]]-SalesData[[#This Row],[Total_Cost]]</f>
        <v>-11810.152000000002</v>
      </c>
      <c r="R497" s="2">
        <f>SalesData[[#This Row],[Profit]]/SalesData[[#This Row],[Sales_amount]]</f>
        <v>-0.16347894667426921</v>
      </c>
      <c r="S497" s="2">
        <f>SalesData[[#This Row],[Unit_Price]]-SalesData[[#This Row],[Unit_Cost]]</f>
        <v>339.30999999999995</v>
      </c>
      <c r="T497" s="10">
        <f>SalesData[[#This Row],[Unit_Margin]]/SalesData[[#This Row],[Unit_Price]]</f>
        <v>0.13902557946104077</v>
      </c>
      <c r="U497" s="2" t="str">
        <f>IF(SalesData[[#This Row],[Unit_Margin]]&lt;0, "Negative margin", "Positive margin")</f>
        <v>Positive margin</v>
      </c>
      <c r="V497" s="2" t="str">
        <f>IF(SalesData[[#This Row],[Profit]]&lt;0, "Loss", "Profit")</f>
        <v>Loss</v>
      </c>
      <c r="W497" s="2">
        <f>SalesData[[#This Row],[Unit_Price]]*(1-SalesData[[#This Row],[Discount]])</f>
        <v>1806.0662</v>
      </c>
      <c r="X497" s="2">
        <f>SalesData[[#This Row],[Effective_Unit_Price]]-SalesData[[#This Row],[Unit_Cost]]</f>
        <v>-295.25380000000018</v>
      </c>
      <c r="Y497" s="2" t="str">
        <f>IF(SalesData[[#This Row],[Effective_Unit_Margin]]&lt;0,"Loss per Unit","Positive per Unit")</f>
        <v>Loss per Unit</v>
      </c>
    </row>
    <row r="498" spans="1:25" x14ac:dyDescent="0.3">
      <c r="A498">
        <v>1069</v>
      </c>
      <c r="B498" s="1">
        <v>45280</v>
      </c>
      <c r="C498" t="s">
        <v>37</v>
      </c>
      <c r="D498" t="s">
        <v>14</v>
      </c>
      <c r="E498">
        <v>12</v>
      </c>
      <c r="F498" t="s">
        <v>15</v>
      </c>
      <c r="G498">
        <v>4682.34</v>
      </c>
      <c r="H498">
        <v>5036.3999999999996</v>
      </c>
      <c r="I498" t="s">
        <v>29</v>
      </c>
      <c r="J498" s="2">
        <v>0.2</v>
      </c>
      <c r="K498" t="s">
        <v>26</v>
      </c>
      <c r="L498" t="s">
        <v>21</v>
      </c>
      <c r="M498" t="s">
        <v>39</v>
      </c>
      <c r="N498">
        <f>SalesData[[#This Row],[Quantity_Sold]]*SalesData[[#This Row],[Unit_Cost]]</f>
        <v>56188.08</v>
      </c>
      <c r="O498">
        <f>SalesData[[#This Row],[Quantity_Sold]]*SalesData[[#This Row],[Unit_Price]]</f>
        <v>60436.799999999996</v>
      </c>
      <c r="P498">
        <f>SalesData[[#This Row],[Gross_sales]]*(1-SalesData[[#This Row],[Discount]])</f>
        <v>48349.440000000002</v>
      </c>
      <c r="Q498" s="2">
        <f>SalesData[[#This Row],[Sales_amount]]-SalesData[[#This Row],[Total_Cost]]</f>
        <v>-7838.6399999999994</v>
      </c>
      <c r="R498" s="2">
        <f>SalesData[[#This Row],[Profit]]/SalesData[[#This Row],[Sales_amount]]</f>
        <v>-0.16212473195139385</v>
      </c>
      <c r="S498" s="2">
        <f>SalesData[[#This Row],[Unit_Price]]-SalesData[[#This Row],[Unit_Cost]]</f>
        <v>354.05999999999949</v>
      </c>
      <c r="T498" s="10">
        <f>SalesData[[#This Row],[Unit_Margin]]/SalesData[[#This Row],[Unit_Price]]</f>
        <v>7.0300214438884817E-2</v>
      </c>
      <c r="U498" s="2" t="str">
        <f>IF(SalesData[[#This Row],[Unit_Margin]]&lt;0, "Negative margin", "Positive margin")</f>
        <v>Positive margin</v>
      </c>
      <c r="V498" s="2" t="str">
        <f>IF(SalesData[[#This Row],[Profit]]&lt;0, "Loss", "Profit")</f>
        <v>Loss</v>
      </c>
      <c r="W498" s="2">
        <f>SalesData[[#This Row],[Unit_Price]]*(1-SalesData[[#This Row],[Discount]])</f>
        <v>4029.12</v>
      </c>
      <c r="X498" s="2">
        <f>SalesData[[#This Row],[Effective_Unit_Price]]-SalesData[[#This Row],[Unit_Cost]]</f>
        <v>-653.22000000000025</v>
      </c>
      <c r="Y498" s="2" t="str">
        <f>IF(SalesData[[#This Row],[Effective_Unit_Margin]]&lt;0,"Loss per Unit","Positive per Unit")</f>
        <v>Loss per Unit</v>
      </c>
    </row>
    <row r="499" spans="1:25" x14ac:dyDescent="0.3">
      <c r="A499">
        <v>1022</v>
      </c>
      <c r="B499" s="1">
        <v>44938</v>
      </c>
      <c r="C499" t="s">
        <v>37</v>
      </c>
      <c r="D499" t="s">
        <v>33</v>
      </c>
      <c r="E499">
        <v>13</v>
      </c>
      <c r="F499" t="s">
        <v>25</v>
      </c>
      <c r="G499">
        <v>2312.4499999999998</v>
      </c>
      <c r="H499">
        <v>2504.6</v>
      </c>
      <c r="I499" t="s">
        <v>16</v>
      </c>
      <c r="J499" s="2">
        <v>0.06</v>
      </c>
      <c r="K499" t="s">
        <v>26</v>
      </c>
      <c r="L499" t="s">
        <v>18</v>
      </c>
      <c r="M499" t="s">
        <v>47</v>
      </c>
      <c r="N499">
        <f>SalesData[[#This Row],[Quantity_Sold]]*SalesData[[#This Row],[Unit_Cost]]</f>
        <v>30061.85</v>
      </c>
      <c r="O499">
        <f>SalesData[[#This Row],[Quantity_Sold]]*SalesData[[#This Row],[Unit_Price]]</f>
        <v>32559.8</v>
      </c>
      <c r="P499">
        <f>SalesData[[#This Row],[Gross_sales]]*(1-SalesData[[#This Row],[Discount]])</f>
        <v>30606.211999999996</v>
      </c>
      <c r="Q499" s="2">
        <f>SalesData[[#This Row],[Sales_amount]]-SalesData[[#This Row],[Total_Cost]]</f>
        <v>544.36199999999735</v>
      </c>
      <c r="R499" s="2">
        <f>SalesData[[#This Row],[Profit]]/SalesData[[#This Row],[Sales_amount]]</f>
        <v>1.7785997169463424E-2</v>
      </c>
      <c r="S499" s="2">
        <f>SalesData[[#This Row],[Unit_Price]]-SalesData[[#This Row],[Unit_Cost]]</f>
        <v>192.15000000000009</v>
      </c>
      <c r="T499" s="10">
        <f>SalesData[[#This Row],[Unit_Margin]]/SalesData[[#This Row],[Unit_Price]]</f>
        <v>7.6718837339295728E-2</v>
      </c>
      <c r="U499" s="2" t="str">
        <f>IF(SalesData[[#This Row],[Unit_Margin]]&lt;0, "Negative margin", "Positive margin")</f>
        <v>Positive margin</v>
      </c>
      <c r="V499" s="2" t="str">
        <f>IF(SalesData[[#This Row],[Profit]]&lt;0, "Loss", "Profit")</f>
        <v>Profit</v>
      </c>
      <c r="W499" s="2">
        <f>SalesData[[#This Row],[Unit_Price]]*(1-SalesData[[#This Row],[Discount]])</f>
        <v>2354.3239999999996</v>
      </c>
      <c r="X499" s="2">
        <f>SalesData[[#This Row],[Effective_Unit_Price]]-SalesData[[#This Row],[Unit_Cost]]</f>
        <v>41.873999999999796</v>
      </c>
      <c r="Y499" s="2" t="str">
        <f>IF(SalesData[[#This Row],[Effective_Unit_Margin]]&lt;0,"Loss per Unit","Positive per Unit")</f>
        <v>Positive per Unit</v>
      </c>
    </row>
    <row r="500" spans="1:25" x14ac:dyDescent="0.3">
      <c r="A500">
        <v>1093</v>
      </c>
      <c r="B500" s="1">
        <v>45201</v>
      </c>
      <c r="C500" t="s">
        <v>13</v>
      </c>
      <c r="D500" t="s">
        <v>20</v>
      </c>
      <c r="E500">
        <v>43</v>
      </c>
      <c r="F500" t="s">
        <v>34</v>
      </c>
      <c r="G500">
        <v>1486.76</v>
      </c>
      <c r="H500">
        <v>1505.44</v>
      </c>
      <c r="I500" t="s">
        <v>29</v>
      </c>
      <c r="J500" s="2">
        <v>0.08</v>
      </c>
      <c r="K500" t="s">
        <v>17</v>
      </c>
      <c r="L500" t="s">
        <v>21</v>
      </c>
      <c r="M500" t="s">
        <v>22</v>
      </c>
      <c r="N500">
        <f>SalesData[[#This Row],[Quantity_Sold]]*SalesData[[#This Row],[Unit_Cost]]</f>
        <v>63930.68</v>
      </c>
      <c r="O500">
        <f>SalesData[[#This Row],[Quantity_Sold]]*SalesData[[#This Row],[Unit_Price]]</f>
        <v>64733.920000000006</v>
      </c>
      <c r="P500">
        <f>SalesData[[#This Row],[Gross_sales]]*(1-SalesData[[#This Row],[Discount]])</f>
        <v>59555.20640000001</v>
      </c>
      <c r="Q500" s="2">
        <f>SalesData[[#This Row],[Sales_amount]]-SalesData[[#This Row],[Total_Cost]]</f>
        <v>-4375.4735999999903</v>
      </c>
      <c r="R500" s="2">
        <f>SalesData[[#This Row],[Profit]]/SalesData[[#This Row],[Sales_amount]]</f>
        <v>-7.3469203861242754E-2</v>
      </c>
      <c r="S500" s="2">
        <f>SalesData[[#This Row],[Unit_Price]]-SalesData[[#This Row],[Unit_Cost]]</f>
        <v>18.680000000000064</v>
      </c>
      <c r="T500" s="10">
        <f>SalesData[[#This Row],[Unit_Margin]]/SalesData[[#This Row],[Unit_Price]]</f>
        <v>1.2408332447656541E-2</v>
      </c>
      <c r="U500" s="2" t="str">
        <f>IF(SalesData[[#This Row],[Unit_Margin]]&lt;0, "Negative margin", "Positive margin")</f>
        <v>Positive margin</v>
      </c>
      <c r="V500" s="2" t="str">
        <f>IF(SalesData[[#This Row],[Profit]]&lt;0, "Loss", "Profit")</f>
        <v>Loss</v>
      </c>
      <c r="W500" s="2">
        <f>SalesData[[#This Row],[Unit_Price]]*(1-SalesData[[#This Row],[Discount]])</f>
        <v>1385.0048000000002</v>
      </c>
      <c r="X500" s="2">
        <f>SalesData[[#This Row],[Effective_Unit_Price]]-SalesData[[#This Row],[Unit_Cost]]</f>
        <v>-101.75519999999983</v>
      </c>
      <c r="Y500" s="2" t="str">
        <f>IF(SalesData[[#This Row],[Effective_Unit_Margin]]&lt;0,"Loss per Unit","Positive per Unit")</f>
        <v>Loss per Unit</v>
      </c>
    </row>
    <row r="501" spans="1:25" x14ac:dyDescent="0.3">
      <c r="A501">
        <v>1067</v>
      </c>
      <c r="B501" s="1">
        <v>45027</v>
      </c>
      <c r="C501" t="s">
        <v>13</v>
      </c>
      <c r="D501" t="s">
        <v>33</v>
      </c>
      <c r="E501">
        <v>17</v>
      </c>
      <c r="F501" t="s">
        <v>25</v>
      </c>
      <c r="G501">
        <v>2831.58</v>
      </c>
      <c r="H501">
        <v>3186.15</v>
      </c>
      <c r="I501" t="s">
        <v>29</v>
      </c>
      <c r="J501" s="2">
        <v>0.24</v>
      </c>
      <c r="K501" t="s">
        <v>26</v>
      </c>
      <c r="L501" t="s">
        <v>21</v>
      </c>
      <c r="M501" t="s">
        <v>45</v>
      </c>
      <c r="N501">
        <f>SalesData[[#This Row],[Quantity_Sold]]*SalesData[[#This Row],[Unit_Cost]]</f>
        <v>48136.86</v>
      </c>
      <c r="O501">
        <f>SalesData[[#This Row],[Quantity_Sold]]*SalesData[[#This Row],[Unit_Price]]</f>
        <v>54164.55</v>
      </c>
      <c r="P501">
        <f>SalesData[[#This Row],[Gross_sales]]*(1-SalesData[[#This Row],[Discount]])</f>
        <v>41165.058000000005</v>
      </c>
      <c r="Q501" s="2">
        <f>SalesData[[#This Row],[Sales_amount]]-SalesData[[#This Row],[Total_Cost]]</f>
        <v>-6971.801999999996</v>
      </c>
      <c r="R501" s="2">
        <f>SalesData[[#This Row],[Profit]]/SalesData[[#This Row],[Sales_amount]]</f>
        <v>-0.16936213232105723</v>
      </c>
      <c r="S501" s="2">
        <f>SalesData[[#This Row],[Unit_Price]]-SalesData[[#This Row],[Unit_Cost]]</f>
        <v>354.57000000000016</v>
      </c>
      <c r="T501" s="10">
        <f>SalesData[[#This Row],[Unit_Margin]]/SalesData[[#This Row],[Unit_Price]]</f>
        <v>0.11128477943599648</v>
      </c>
      <c r="U501" s="2" t="str">
        <f>IF(SalesData[[#This Row],[Unit_Margin]]&lt;0, "Negative margin", "Positive margin")</f>
        <v>Positive margin</v>
      </c>
      <c r="V501" s="2" t="str">
        <f>IF(SalesData[[#This Row],[Profit]]&lt;0, "Loss", "Profit")</f>
        <v>Loss</v>
      </c>
      <c r="W501" s="2">
        <f>SalesData[[#This Row],[Unit_Price]]*(1-SalesData[[#This Row],[Discount]])</f>
        <v>2421.4740000000002</v>
      </c>
      <c r="X501" s="2">
        <f>SalesData[[#This Row],[Effective_Unit_Price]]-SalesData[[#This Row],[Unit_Cost]]</f>
        <v>-410.10599999999977</v>
      </c>
      <c r="Y501" s="2" t="str">
        <f>IF(SalesData[[#This Row],[Effective_Unit_Margin]]&lt;0,"Loss per Unit","Positive per Unit")</f>
        <v>Loss per Unit</v>
      </c>
    </row>
    <row r="502" spans="1:25" x14ac:dyDescent="0.3">
      <c r="A502">
        <v>1076</v>
      </c>
      <c r="B502" s="1">
        <v>44970</v>
      </c>
      <c r="C502" t="s">
        <v>37</v>
      </c>
      <c r="D502" t="s">
        <v>14</v>
      </c>
      <c r="E502">
        <v>17</v>
      </c>
      <c r="F502" t="s">
        <v>28</v>
      </c>
      <c r="G502">
        <v>604.08000000000004</v>
      </c>
      <c r="H502">
        <v>624.71</v>
      </c>
      <c r="I502" t="s">
        <v>29</v>
      </c>
      <c r="J502" s="2">
        <v>0.14000000000000001</v>
      </c>
      <c r="K502" t="s">
        <v>26</v>
      </c>
      <c r="L502" t="s">
        <v>21</v>
      </c>
      <c r="M502" t="s">
        <v>39</v>
      </c>
      <c r="N502">
        <f>SalesData[[#This Row],[Quantity_Sold]]*SalesData[[#This Row],[Unit_Cost]]</f>
        <v>10269.36</v>
      </c>
      <c r="O502">
        <f>SalesData[[#This Row],[Quantity_Sold]]*SalesData[[#This Row],[Unit_Price]]</f>
        <v>10620.07</v>
      </c>
      <c r="P502">
        <f>SalesData[[#This Row],[Gross_sales]]*(1-SalesData[[#This Row],[Discount]])</f>
        <v>9133.2601999999988</v>
      </c>
      <c r="Q502" s="2">
        <f>SalesData[[#This Row],[Sales_amount]]-SalesData[[#This Row],[Total_Cost]]</f>
        <v>-1136.0998000000018</v>
      </c>
      <c r="R502" s="2">
        <f>SalesData[[#This Row],[Profit]]/SalesData[[#This Row],[Sales_amount]]</f>
        <v>-0.12439148509094287</v>
      </c>
      <c r="S502" s="2">
        <f>SalesData[[#This Row],[Unit_Price]]-SalesData[[#This Row],[Unit_Cost]]</f>
        <v>20.629999999999995</v>
      </c>
      <c r="T502" s="10">
        <f>SalesData[[#This Row],[Unit_Margin]]/SalesData[[#This Row],[Unit_Price]]</f>
        <v>3.3023322821789304E-2</v>
      </c>
      <c r="U502" s="2" t="str">
        <f>IF(SalesData[[#This Row],[Unit_Margin]]&lt;0, "Negative margin", "Positive margin")</f>
        <v>Positive margin</v>
      </c>
      <c r="V502" s="2" t="str">
        <f>IF(SalesData[[#This Row],[Profit]]&lt;0, "Loss", "Profit")</f>
        <v>Loss</v>
      </c>
      <c r="W502" s="2">
        <f>SalesData[[#This Row],[Unit_Price]]*(1-SalesData[[#This Row],[Discount]])</f>
        <v>537.25060000000008</v>
      </c>
      <c r="X502" s="2">
        <f>SalesData[[#This Row],[Effective_Unit_Price]]-SalesData[[#This Row],[Unit_Cost]]</f>
        <v>-66.829399999999964</v>
      </c>
      <c r="Y502" s="2" t="str">
        <f>IF(SalesData[[#This Row],[Effective_Unit_Margin]]&lt;0,"Loss per Unit","Positive per Unit")</f>
        <v>Loss per Unit</v>
      </c>
    </row>
    <row r="503" spans="1:25" x14ac:dyDescent="0.3">
      <c r="A503">
        <v>1026</v>
      </c>
      <c r="B503" s="1">
        <v>45231</v>
      </c>
      <c r="C503" t="s">
        <v>41</v>
      </c>
      <c r="D503" t="s">
        <v>24</v>
      </c>
      <c r="E503">
        <v>36</v>
      </c>
      <c r="F503" t="s">
        <v>28</v>
      </c>
      <c r="G503">
        <v>3067.05</v>
      </c>
      <c r="H503">
        <v>3386.33</v>
      </c>
      <c r="I503" t="s">
        <v>29</v>
      </c>
      <c r="J503" s="2">
        <v>0.2</v>
      </c>
      <c r="K503" t="s">
        <v>26</v>
      </c>
      <c r="L503" t="s">
        <v>18</v>
      </c>
      <c r="M503" t="s">
        <v>42</v>
      </c>
      <c r="N503">
        <f>SalesData[[#This Row],[Quantity_Sold]]*SalesData[[#This Row],[Unit_Cost]]</f>
        <v>110413.8</v>
      </c>
      <c r="O503">
        <f>SalesData[[#This Row],[Quantity_Sold]]*SalesData[[#This Row],[Unit_Price]]</f>
        <v>121907.88</v>
      </c>
      <c r="P503">
        <f>SalesData[[#This Row],[Gross_sales]]*(1-SalesData[[#This Row],[Discount]])</f>
        <v>97526.304000000004</v>
      </c>
      <c r="Q503" s="2">
        <f>SalesData[[#This Row],[Sales_amount]]-SalesData[[#This Row],[Total_Cost]]</f>
        <v>-12887.495999999999</v>
      </c>
      <c r="R503" s="2">
        <f>SalesData[[#This Row],[Profit]]/SalesData[[#This Row],[Sales_amount]]</f>
        <v>-0.13214379579072327</v>
      </c>
      <c r="S503" s="2">
        <f>SalesData[[#This Row],[Unit_Price]]-SalesData[[#This Row],[Unit_Cost]]</f>
        <v>319.27999999999975</v>
      </c>
      <c r="T503" s="10">
        <f>SalesData[[#This Row],[Unit_Margin]]/SalesData[[#This Row],[Unit_Price]]</f>
        <v>9.4284963367421301E-2</v>
      </c>
      <c r="U503" s="2" t="str">
        <f>IF(SalesData[[#This Row],[Unit_Margin]]&lt;0, "Negative margin", "Positive margin")</f>
        <v>Positive margin</v>
      </c>
      <c r="V503" s="2" t="str">
        <f>IF(SalesData[[#This Row],[Profit]]&lt;0, "Loss", "Profit")</f>
        <v>Loss</v>
      </c>
      <c r="W503" s="2">
        <f>SalesData[[#This Row],[Unit_Price]]*(1-SalesData[[#This Row],[Discount]])</f>
        <v>2709.0640000000003</v>
      </c>
      <c r="X503" s="2">
        <f>SalesData[[#This Row],[Effective_Unit_Price]]-SalesData[[#This Row],[Unit_Cost]]</f>
        <v>-357.98599999999988</v>
      </c>
      <c r="Y503" s="2" t="str">
        <f>IF(SalesData[[#This Row],[Effective_Unit_Margin]]&lt;0,"Loss per Unit","Positive per Unit")</f>
        <v>Loss per Unit</v>
      </c>
    </row>
    <row r="504" spans="1:25" x14ac:dyDescent="0.3">
      <c r="A504">
        <v>1016</v>
      </c>
      <c r="B504" s="1">
        <v>44943</v>
      </c>
      <c r="C504" t="s">
        <v>37</v>
      </c>
      <c r="D504" t="s">
        <v>20</v>
      </c>
      <c r="E504">
        <v>21</v>
      </c>
      <c r="F504" t="s">
        <v>34</v>
      </c>
      <c r="G504">
        <v>2863.74</v>
      </c>
      <c r="H504">
        <v>2953.91</v>
      </c>
      <c r="I504" t="s">
        <v>29</v>
      </c>
      <c r="J504" s="2">
        <v>0.1</v>
      </c>
      <c r="K504" t="s">
        <v>26</v>
      </c>
      <c r="L504" t="s">
        <v>21</v>
      </c>
      <c r="M504" t="s">
        <v>40</v>
      </c>
      <c r="N504">
        <f>SalesData[[#This Row],[Quantity_Sold]]*SalesData[[#This Row],[Unit_Cost]]</f>
        <v>60138.539999999994</v>
      </c>
      <c r="O504">
        <f>SalesData[[#This Row],[Quantity_Sold]]*SalesData[[#This Row],[Unit_Price]]</f>
        <v>62032.11</v>
      </c>
      <c r="P504">
        <f>SalesData[[#This Row],[Gross_sales]]*(1-SalesData[[#This Row],[Discount]])</f>
        <v>55828.899000000005</v>
      </c>
      <c r="Q504" s="2">
        <f>SalesData[[#This Row],[Sales_amount]]-SalesData[[#This Row],[Total_Cost]]</f>
        <v>-4309.6409999999887</v>
      </c>
      <c r="R504" s="2">
        <f>SalesData[[#This Row],[Profit]]/SalesData[[#This Row],[Sales_amount]]</f>
        <v>-7.719373079522826E-2</v>
      </c>
      <c r="S504" s="2">
        <f>SalesData[[#This Row],[Unit_Price]]-SalesData[[#This Row],[Unit_Cost]]</f>
        <v>90.170000000000073</v>
      </c>
      <c r="T504" s="10">
        <f>SalesData[[#This Row],[Unit_Margin]]/SalesData[[#This Row],[Unit_Price]]</f>
        <v>3.0525642284294403E-2</v>
      </c>
      <c r="U504" s="2" t="str">
        <f>IF(SalesData[[#This Row],[Unit_Margin]]&lt;0, "Negative margin", "Positive margin")</f>
        <v>Positive margin</v>
      </c>
      <c r="V504" s="2" t="str">
        <f>IF(SalesData[[#This Row],[Profit]]&lt;0, "Loss", "Profit")</f>
        <v>Loss</v>
      </c>
      <c r="W504" s="2">
        <f>SalesData[[#This Row],[Unit_Price]]*(1-SalesData[[#This Row],[Discount]])</f>
        <v>2658.5189999999998</v>
      </c>
      <c r="X504" s="2">
        <f>SalesData[[#This Row],[Effective_Unit_Price]]-SalesData[[#This Row],[Unit_Cost]]</f>
        <v>-205.221</v>
      </c>
      <c r="Y504" s="2" t="str">
        <f>IF(SalesData[[#This Row],[Effective_Unit_Margin]]&lt;0,"Loss per Unit","Positive per Unit")</f>
        <v>Loss per Unit</v>
      </c>
    </row>
    <row r="505" spans="1:25" x14ac:dyDescent="0.3">
      <c r="A505">
        <v>1051</v>
      </c>
      <c r="B505" s="1">
        <v>45256</v>
      </c>
      <c r="C505" t="s">
        <v>37</v>
      </c>
      <c r="D505" t="s">
        <v>24</v>
      </c>
      <c r="E505">
        <v>8</v>
      </c>
      <c r="F505" t="s">
        <v>25</v>
      </c>
      <c r="G505">
        <v>3970.37</v>
      </c>
      <c r="H505">
        <v>4257.5199999999904</v>
      </c>
      <c r="I505" t="s">
        <v>29</v>
      </c>
      <c r="J505" s="2">
        <v>0.11</v>
      </c>
      <c r="K505" t="s">
        <v>17</v>
      </c>
      <c r="L505" t="s">
        <v>21</v>
      </c>
      <c r="M505" t="s">
        <v>38</v>
      </c>
      <c r="N505">
        <f>SalesData[[#This Row],[Quantity_Sold]]*SalesData[[#This Row],[Unit_Cost]]</f>
        <v>31762.959999999999</v>
      </c>
      <c r="O505">
        <f>SalesData[[#This Row],[Quantity_Sold]]*SalesData[[#This Row],[Unit_Price]]</f>
        <v>34060.159999999923</v>
      </c>
      <c r="P505">
        <f>SalesData[[#This Row],[Gross_sales]]*(1-SalesData[[#This Row],[Discount]])</f>
        <v>30313.542399999933</v>
      </c>
      <c r="Q505" s="2">
        <f>SalesData[[#This Row],[Sales_amount]]-SalesData[[#This Row],[Total_Cost]]</f>
        <v>-1449.4176000000662</v>
      </c>
      <c r="R505" s="2">
        <f>SalesData[[#This Row],[Profit]]/SalesData[[#This Row],[Sales_amount]]</f>
        <v>-4.7814194094322325E-2</v>
      </c>
      <c r="S505" s="2">
        <f>SalesData[[#This Row],[Unit_Price]]-SalesData[[#This Row],[Unit_Cost]]</f>
        <v>287.14999999999054</v>
      </c>
      <c r="T505" s="10">
        <f>SalesData[[#This Row],[Unit_Margin]]/SalesData[[#This Row],[Unit_Price]]</f>
        <v>6.7445367256053101E-2</v>
      </c>
      <c r="U505" s="2" t="str">
        <f>IF(SalesData[[#This Row],[Unit_Margin]]&lt;0, "Negative margin", "Positive margin")</f>
        <v>Positive margin</v>
      </c>
      <c r="V505" s="2" t="str">
        <f>IF(SalesData[[#This Row],[Profit]]&lt;0, "Loss", "Profit")</f>
        <v>Loss</v>
      </c>
      <c r="W505" s="2">
        <f>SalesData[[#This Row],[Unit_Price]]*(1-SalesData[[#This Row],[Discount]])</f>
        <v>3789.1927999999916</v>
      </c>
      <c r="X505" s="2">
        <f>SalesData[[#This Row],[Effective_Unit_Price]]-SalesData[[#This Row],[Unit_Cost]]</f>
        <v>-181.17720000000827</v>
      </c>
      <c r="Y505" s="2" t="str">
        <f>IF(SalesData[[#This Row],[Effective_Unit_Margin]]&lt;0,"Loss per Unit","Positive per Unit")</f>
        <v>Loss per Unit</v>
      </c>
    </row>
    <row r="506" spans="1:25" x14ac:dyDescent="0.3">
      <c r="A506">
        <v>1086</v>
      </c>
      <c r="B506" s="1">
        <v>44983</v>
      </c>
      <c r="C506" t="s">
        <v>13</v>
      </c>
      <c r="D506" t="s">
        <v>20</v>
      </c>
      <c r="E506">
        <v>5</v>
      </c>
      <c r="F506" t="s">
        <v>34</v>
      </c>
      <c r="G506">
        <v>4934.1000000000004</v>
      </c>
      <c r="H506">
        <v>5191.0200000000004</v>
      </c>
      <c r="I506" t="s">
        <v>29</v>
      </c>
      <c r="J506" s="2">
        <v>0.3</v>
      </c>
      <c r="K506" t="s">
        <v>26</v>
      </c>
      <c r="L506" t="s">
        <v>18</v>
      </c>
      <c r="M506" t="s">
        <v>22</v>
      </c>
      <c r="N506">
        <f>SalesData[[#This Row],[Quantity_Sold]]*SalesData[[#This Row],[Unit_Cost]]</f>
        <v>24670.5</v>
      </c>
      <c r="O506">
        <f>SalesData[[#This Row],[Quantity_Sold]]*SalesData[[#This Row],[Unit_Price]]</f>
        <v>25955.100000000002</v>
      </c>
      <c r="P506">
        <f>SalesData[[#This Row],[Gross_sales]]*(1-SalesData[[#This Row],[Discount]])</f>
        <v>18168.57</v>
      </c>
      <c r="Q506" s="2">
        <f>SalesData[[#This Row],[Sales_amount]]-SalesData[[#This Row],[Total_Cost]]</f>
        <v>-6501.93</v>
      </c>
      <c r="R506" s="2">
        <f>SalesData[[#This Row],[Profit]]/SalesData[[#This Row],[Sales_amount]]</f>
        <v>-0.35786690972377022</v>
      </c>
      <c r="S506" s="2">
        <f>SalesData[[#This Row],[Unit_Price]]-SalesData[[#This Row],[Unit_Cost]]</f>
        <v>256.92000000000007</v>
      </c>
      <c r="T506" s="10">
        <f>SalesData[[#This Row],[Unit_Margin]]/SalesData[[#This Row],[Unit_Price]]</f>
        <v>4.9493163193360855E-2</v>
      </c>
      <c r="U506" s="2" t="str">
        <f>IF(SalesData[[#This Row],[Unit_Margin]]&lt;0, "Negative margin", "Positive margin")</f>
        <v>Positive margin</v>
      </c>
      <c r="V506" s="2" t="str">
        <f>IF(SalesData[[#This Row],[Profit]]&lt;0, "Loss", "Profit")</f>
        <v>Loss</v>
      </c>
      <c r="W506" s="2">
        <f>SalesData[[#This Row],[Unit_Price]]*(1-SalesData[[#This Row],[Discount]])</f>
        <v>3633.7139999999999</v>
      </c>
      <c r="X506" s="2">
        <f>SalesData[[#This Row],[Effective_Unit_Price]]-SalesData[[#This Row],[Unit_Cost]]</f>
        <v>-1300.3860000000004</v>
      </c>
      <c r="Y506" s="2" t="str">
        <f>IF(SalesData[[#This Row],[Effective_Unit_Margin]]&lt;0,"Loss per Unit","Positive per Unit")</f>
        <v>Loss per Unit</v>
      </c>
    </row>
    <row r="507" spans="1:25" x14ac:dyDescent="0.3">
      <c r="A507">
        <v>1057</v>
      </c>
      <c r="B507" s="1">
        <v>45237</v>
      </c>
      <c r="C507" t="s">
        <v>13</v>
      </c>
      <c r="D507" t="s">
        <v>33</v>
      </c>
      <c r="E507">
        <v>26</v>
      </c>
      <c r="F507" t="s">
        <v>28</v>
      </c>
      <c r="G507">
        <v>1291.82</v>
      </c>
      <c r="H507">
        <v>1308.4399999999901</v>
      </c>
      <c r="I507" t="s">
        <v>16</v>
      </c>
      <c r="J507" s="2">
        <v>7.0000000000000007E-2</v>
      </c>
      <c r="K507" t="s">
        <v>30</v>
      </c>
      <c r="L507" t="s">
        <v>18</v>
      </c>
      <c r="M507" t="s">
        <v>45</v>
      </c>
      <c r="N507">
        <f>SalesData[[#This Row],[Quantity_Sold]]*SalesData[[#This Row],[Unit_Cost]]</f>
        <v>33587.32</v>
      </c>
      <c r="O507">
        <f>SalesData[[#This Row],[Quantity_Sold]]*SalesData[[#This Row],[Unit_Price]]</f>
        <v>34019.43999999974</v>
      </c>
      <c r="P507">
        <f>SalesData[[#This Row],[Gross_sales]]*(1-SalesData[[#This Row],[Discount]])</f>
        <v>31638.079199999756</v>
      </c>
      <c r="Q507" s="2">
        <f>SalesData[[#This Row],[Sales_amount]]-SalesData[[#This Row],[Total_Cost]]</f>
        <v>-1949.2408000002433</v>
      </c>
      <c r="R507" s="2">
        <f>SalesData[[#This Row],[Profit]]/SalesData[[#This Row],[Sales_amount]]</f>
        <v>-6.1610592339634146E-2</v>
      </c>
      <c r="S507" s="2">
        <f>SalesData[[#This Row],[Unit_Price]]-SalesData[[#This Row],[Unit_Cost]]</f>
        <v>16.619999999990114</v>
      </c>
      <c r="T507" s="10">
        <f>SalesData[[#This Row],[Unit_Margin]]/SalesData[[#This Row],[Unit_Price]]</f>
        <v>1.2702149124140381E-2</v>
      </c>
      <c r="U507" s="2" t="str">
        <f>IF(SalesData[[#This Row],[Unit_Margin]]&lt;0, "Negative margin", "Positive margin")</f>
        <v>Positive margin</v>
      </c>
      <c r="V507" s="2" t="str">
        <f>IF(SalesData[[#This Row],[Profit]]&lt;0, "Loss", "Profit")</f>
        <v>Loss</v>
      </c>
      <c r="W507" s="2">
        <f>SalesData[[#This Row],[Unit_Price]]*(1-SalesData[[#This Row],[Discount]])</f>
        <v>1216.8491999999906</v>
      </c>
      <c r="X507" s="2">
        <f>SalesData[[#This Row],[Effective_Unit_Price]]-SalesData[[#This Row],[Unit_Cost]]</f>
        <v>-74.970800000009376</v>
      </c>
      <c r="Y507" s="2" t="str">
        <f>IF(SalesData[[#This Row],[Effective_Unit_Margin]]&lt;0,"Loss per Unit","Positive per Unit")</f>
        <v>Loss per Unit</v>
      </c>
    </row>
    <row r="508" spans="1:25" x14ac:dyDescent="0.3">
      <c r="A508">
        <v>1029</v>
      </c>
      <c r="B508" s="1">
        <v>45229</v>
      </c>
      <c r="C508" t="s">
        <v>37</v>
      </c>
      <c r="D508" t="s">
        <v>33</v>
      </c>
      <c r="E508">
        <v>16</v>
      </c>
      <c r="F508" t="s">
        <v>34</v>
      </c>
      <c r="G508">
        <v>2572.8000000000002</v>
      </c>
      <c r="H508">
        <v>2760.6</v>
      </c>
      <c r="I508" t="s">
        <v>16</v>
      </c>
      <c r="J508" s="2">
        <v>0.15</v>
      </c>
      <c r="K508" t="s">
        <v>30</v>
      </c>
      <c r="L508" t="s">
        <v>21</v>
      </c>
      <c r="M508" t="s">
        <v>47</v>
      </c>
      <c r="N508">
        <f>SalesData[[#This Row],[Quantity_Sold]]*SalesData[[#This Row],[Unit_Cost]]</f>
        <v>41164.800000000003</v>
      </c>
      <c r="O508">
        <f>SalesData[[#This Row],[Quantity_Sold]]*SalesData[[#This Row],[Unit_Price]]</f>
        <v>44169.599999999999</v>
      </c>
      <c r="P508">
        <f>SalesData[[#This Row],[Gross_sales]]*(1-SalesData[[#This Row],[Discount]])</f>
        <v>37544.159999999996</v>
      </c>
      <c r="Q508" s="2">
        <f>SalesData[[#This Row],[Sales_amount]]-SalesData[[#This Row],[Total_Cost]]</f>
        <v>-3620.6400000000067</v>
      </c>
      <c r="R508" s="2">
        <f>SalesData[[#This Row],[Profit]]/SalesData[[#This Row],[Sales_amount]]</f>
        <v>-9.6436835981947841E-2</v>
      </c>
      <c r="S508" s="2">
        <f>SalesData[[#This Row],[Unit_Price]]-SalesData[[#This Row],[Unit_Cost]]</f>
        <v>187.79999999999973</v>
      </c>
      <c r="T508" s="10">
        <f>SalesData[[#This Row],[Unit_Margin]]/SalesData[[#This Row],[Unit_Price]]</f>
        <v>6.8028689415344387E-2</v>
      </c>
      <c r="U508" s="2" t="str">
        <f>IF(SalesData[[#This Row],[Unit_Margin]]&lt;0, "Negative margin", "Positive margin")</f>
        <v>Positive margin</v>
      </c>
      <c r="V508" s="2" t="str">
        <f>IF(SalesData[[#This Row],[Profit]]&lt;0, "Loss", "Profit")</f>
        <v>Loss</v>
      </c>
      <c r="W508" s="2">
        <f>SalesData[[#This Row],[Unit_Price]]*(1-SalesData[[#This Row],[Discount]])</f>
        <v>2346.5099999999998</v>
      </c>
      <c r="X508" s="2">
        <f>SalesData[[#This Row],[Effective_Unit_Price]]-SalesData[[#This Row],[Unit_Cost]]</f>
        <v>-226.29000000000042</v>
      </c>
      <c r="Y508" s="2" t="str">
        <f>IF(SalesData[[#This Row],[Effective_Unit_Margin]]&lt;0,"Loss per Unit","Positive per Unit")</f>
        <v>Loss per Unit</v>
      </c>
    </row>
    <row r="509" spans="1:25" x14ac:dyDescent="0.3">
      <c r="A509">
        <v>1078</v>
      </c>
      <c r="B509" s="1">
        <v>44938</v>
      </c>
      <c r="C509" t="s">
        <v>37</v>
      </c>
      <c r="D509" t="s">
        <v>33</v>
      </c>
      <c r="E509">
        <v>36</v>
      </c>
      <c r="F509" t="s">
        <v>25</v>
      </c>
      <c r="G509">
        <v>4548.88</v>
      </c>
      <c r="H509">
        <v>4853.41</v>
      </c>
      <c r="I509" t="s">
        <v>16</v>
      </c>
      <c r="J509" s="2">
        <v>0.25</v>
      </c>
      <c r="K509" t="s">
        <v>30</v>
      </c>
      <c r="L509" t="s">
        <v>21</v>
      </c>
      <c r="M509" t="s">
        <v>47</v>
      </c>
      <c r="N509">
        <f>SalesData[[#This Row],[Quantity_Sold]]*SalesData[[#This Row],[Unit_Cost]]</f>
        <v>163759.67999999999</v>
      </c>
      <c r="O509">
        <f>SalesData[[#This Row],[Quantity_Sold]]*SalesData[[#This Row],[Unit_Price]]</f>
        <v>174722.76</v>
      </c>
      <c r="P509">
        <f>SalesData[[#This Row],[Gross_sales]]*(1-SalesData[[#This Row],[Discount]])</f>
        <v>131042.07</v>
      </c>
      <c r="Q509" s="2">
        <f>SalesData[[#This Row],[Sales_amount]]-SalesData[[#This Row],[Total_Cost]]</f>
        <v>-32717.609999999986</v>
      </c>
      <c r="R509" s="2">
        <f>SalesData[[#This Row],[Profit]]/SalesData[[#This Row],[Sales_amount]]</f>
        <v>-0.24967256698554888</v>
      </c>
      <c r="S509" s="2">
        <f>SalesData[[#This Row],[Unit_Price]]-SalesData[[#This Row],[Unit_Cost]]</f>
        <v>304.52999999999975</v>
      </c>
      <c r="T509" s="10">
        <f>SalesData[[#This Row],[Unit_Margin]]/SalesData[[#This Row],[Unit_Price]]</f>
        <v>6.274557476083821E-2</v>
      </c>
      <c r="U509" s="2" t="str">
        <f>IF(SalesData[[#This Row],[Unit_Margin]]&lt;0, "Negative margin", "Positive margin")</f>
        <v>Positive margin</v>
      </c>
      <c r="V509" s="2" t="str">
        <f>IF(SalesData[[#This Row],[Profit]]&lt;0, "Loss", "Profit")</f>
        <v>Loss</v>
      </c>
      <c r="W509" s="2">
        <f>SalesData[[#This Row],[Unit_Price]]*(1-SalesData[[#This Row],[Discount]])</f>
        <v>3640.0574999999999</v>
      </c>
      <c r="X509" s="2">
        <f>SalesData[[#This Row],[Effective_Unit_Price]]-SalesData[[#This Row],[Unit_Cost]]</f>
        <v>-908.82250000000022</v>
      </c>
      <c r="Y509" s="2" t="str">
        <f>IF(SalesData[[#This Row],[Effective_Unit_Margin]]&lt;0,"Loss per Unit","Positive per Unit")</f>
        <v>Loss per Unit</v>
      </c>
    </row>
    <row r="510" spans="1:25" x14ac:dyDescent="0.3">
      <c r="A510">
        <v>1092</v>
      </c>
      <c r="B510" s="1">
        <v>45244</v>
      </c>
      <c r="C510" t="s">
        <v>37</v>
      </c>
      <c r="D510" t="s">
        <v>33</v>
      </c>
      <c r="E510">
        <v>28</v>
      </c>
      <c r="F510" t="s">
        <v>28</v>
      </c>
      <c r="G510">
        <v>3936.69</v>
      </c>
      <c r="H510">
        <v>4362.51</v>
      </c>
      <c r="I510" t="s">
        <v>16</v>
      </c>
      <c r="J510" s="2">
        <v>7.0000000000000007E-2</v>
      </c>
      <c r="K510" t="s">
        <v>30</v>
      </c>
      <c r="L510" t="s">
        <v>21</v>
      </c>
      <c r="M510" t="s">
        <v>47</v>
      </c>
      <c r="N510">
        <f>SalesData[[#This Row],[Quantity_Sold]]*SalesData[[#This Row],[Unit_Cost]]</f>
        <v>110227.32</v>
      </c>
      <c r="O510">
        <f>SalesData[[#This Row],[Quantity_Sold]]*SalesData[[#This Row],[Unit_Price]]</f>
        <v>122150.28</v>
      </c>
      <c r="P510">
        <f>SalesData[[#This Row],[Gross_sales]]*(1-SalesData[[#This Row],[Discount]])</f>
        <v>113599.76039999998</v>
      </c>
      <c r="Q510" s="2">
        <f>SalesData[[#This Row],[Sales_amount]]-SalesData[[#This Row],[Total_Cost]]</f>
        <v>3372.4403999999777</v>
      </c>
      <c r="R510" s="2">
        <f>SalesData[[#This Row],[Profit]]/SalesData[[#This Row],[Sales_amount]]</f>
        <v>2.9687037966674955E-2</v>
      </c>
      <c r="S510" s="2">
        <f>SalesData[[#This Row],[Unit_Price]]-SalesData[[#This Row],[Unit_Cost]]</f>
        <v>425.82000000000016</v>
      </c>
      <c r="T510" s="10">
        <f>SalesData[[#This Row],[Unit_Margin]]/SalesData[[#This Row],[Unit_Price]]</f>
        <v>9.7608945309007919E-2</v>
      </c>
      <c r="U510" s="2" t="str">
        <f>IF(SalesData[[#This Row],[Unit_Margin]]&lt;0, "Negative margin", "Positive margin")</f>
        <v>Positive margin</v>
      </c>
      <c r="V510" s="2" t="str">
        <f>IF(SalesData[[#This Row],[Profit]]&lt;0, "Loss", "Profit")</f>
        <v>Profit</v>
      </c>
      <c r="W510" s="2">
        <f>SalesData[[#This Row],[Unit_Price]]*(1-SalesData[[#This Row],[Discount]])</f>
        <v>4057.1342999999997</v>
      </c>
      <c r="X510" s="2">
        <f>SalesData[[#This Row],[Effective_Unit_Price]]-SalesData[[#This Row],[Unit_Cost]]</f>
        <v>120.44429999999966</v>
      </c>
      <c r="Y510" s="2" t="str">
        <f>IF(SalesData[[#This Row],[Effective_Unit_Margin]]&lt;0,"Loss per Unit","Positive per Unit")</f>
        <v>Positive per Unit</v>
      </c>
    </row>
    <row r="511" spans="1:25" x14ac:dyDescent="0.3">
      <c r="A511">
        <v>1069</v>
      </c>
      <c r="B511" s="1">
        <v>45006</v>
      </c>
      <c r="C511" t="s">
        <v>13</v>
      </c>
      <c r="D511" t="s">
        <v>33</v>
      </c>
      <c r="E511">
        <v>29</v>
      </c>
      <c r="F511" t="s">
        <v>15</v>
      </c>
      <c r="G511">
        <v>2462.66</v>
      </c>
      <c r="H511">
        <v>2908.0899999999901</v>
      </c>
      <c r="I511" t="s">
        <v>29</v>
      </c>
      <c r="J511" s="2">
        <v>0.12</v>
      </c>
      <c r="K511" t="s">
        <v>30</v>
      </c>
      <c r="L511" t="s">
        <v>18</v>
      </c>
      <c r="M511" t="s">
        <v>45</v>
      </c>
      <c r="N511">
        <f>SalesData[[#This Row],[Quantity_Sold]]*SalesData[[#This Row],[Unit_Cost]]</f>
        <v>71417.14</v>
      </c>
      <c r="O511">
        <f>SalesData[[#This Row],[Quantity_Sold]]*SalesData[[#This Row],[Unit_Price]]</f>
        <v>84334.60999999971</v>
      </c>
      <c r="P511">
        <f>SalesData[[#This Row],[Gross_sales]]*(1-SalesData[[#This Row],[Discount]])</f>
        <v>74214.456799999738</v>
      </c>
      <c r="Q511" s="2">
        <f>SalesData[[#This Row],[Sales_amount]]-SalesData[[#This Row],[Total_Cost]]</f>
        <v>2797.3167999997386</v>
      </c>
      <c r="R511" s="2">
        <f>SalesData[[#This Row],[Profit]]/SalesData[[#This Row],[Sales_amount]]</f>
        <v>3.7692343521939627E-2</v>
      </c>
      <c r="S511" s="2">
        <f>SalesData[[#This Row],[Unit_Price]]-SalesData[[#This Row],[Unit_Cost]]</f>
        <v>445.42999999999029</v>
      </c>
      <c r="T511" s="10">
        <f>SalesData[[#This Row],[Unit_Margin]]/SalesData[[#This Row],[Unit_Price]]</f>
        <v>0.15316926229930702</v>
      </c>
      <c r="U511" s="2" t="str">
        <f>IF(SalesData[[#This Row],[Unit_Margin]]&lt;0, "Negative margin", "Positive margin")</f>
        <v>Positive margin</v>
      </c>
      <c r="V511" s="2" t="str">
        <f>IF(SalesData[[#This Row],[Profit]]&lt;0, "Loss", "Profit")</f>
        <v>Profit</v>
      </c>
      <c r="W511" s="2">
        <f>SalesData[[#This Row],[Unit_Price]]*(1-SalesData[[#This Row],[Discount]])</f>
        <v>2559.1191999999915</v>
      </c>
      <c r="X511" s="2">
        <f>SalesData[[#This Row],[Effective_Unit_Price]]-SalesData[[#This Row],[Unit_Cost]]</f>
        <v>96.459199999991597</v>
      </c>
      <c r="Y511" s="2" t="str">
        <f>IF(SalesData[[#This Row],[Effective_Unit_Margin]]&lt;0,"Loss per Unit","Positive per Unit")</f>
        <v>Positive per Unit</v>
      </c>
    </row>
    <row r="512" spans="1:25" x14ac:dyDescent="0.3">
      <c r="A512">
        <v>1047</v>
      </c>
      <c r="B512" s="1">
        <v>45142</v>
      </c>
      <c r="C512" t="s">
        <v>37</v>
      </c>
      <c r="D512" t="s">
        <v>24</v>
      </c>
      <c r="E512">
        <v>47</v>
      </c>
      <c r="F512" t="s">
        <v>28</v>
      </c>
      <c r="G512">
        <v>4729.59</v>
      </c>
      <c r="H512">
        <v>4976.68</v>
      </c>
      <c r="I512" t="s">
        <v>16</v>
      </c>
      <c r="J512" s="2">
        <v>0.18</v>
      </c>
      <c r="K512" t="s">
        <v>30</v>
      </c>
      <c r="L512" t="s">
        <v>21</v>
      </c>
      <c r="M512" t="s">
        <v>38</v>
      </c>
      <c r="N512">
        <f>SalesData[[#This Row],[Quantity_Sold]]*SalesData[[#This Row],[Unit_Cost]]</f>
        <v>222290.73</v>
      </c>
      <c r="O512">
        <f>SalesData[[#This Row],[Quantity_Sold]]*SalesData[[#This Row],[Unit_Price]]</f>
        <v>233903.96000000002</v>
      </c>
      <c r="P512">
        <f>SalesData[[#This Row],[Gross_sales]]*(1-SalesData[[#This Row],[Discount]])</f>
        <v>191801.24720000004</v>
      </c>
      <c r="Q512" s="2">
        <f>SalesData[[#This Row],[Sales_amount]]-SalesData[[#This Row],[Total_Cost]]</f>
        <v>-30489.482799999969</v>
      </c>
      <c r="R512" s="2">
        <f>SalesData[[#This Row],[Profit]]/SalesData[[#This Row],[Sales_amount]]</f>
        <v>-0.15896394442215056</v>
      </c>
      <c r="S512" s="2">
        <f>SalesData[[#This Row],[Unit_Price]]-SalesData[[#This Row],[Unit_Cost]]</f>
        <v>247.09000000000015</v>
      </c>
      <c r="T512" s="10">
        <f>SalesData[[#This Row],[Unit_Margin]]/SalesData[[#This Row],[Unit_Price]]</f>
        <v>4.9649565573836402E-2</v>
      </c>
      <c r="U512" s="2" t="str">
        <f>IF(SalesData[[#This Row],[Unit_Margin]]&lt;0, "Negative margin", "Positive margin")</f>
        <v>Positive margin</v>
      </c>
      <c r="V512" s="2" t="str">
        <f>IF(SalesData[[#This Row],[Profit]]&lt;0, "Loss", "Profit")</f>
        <v>Loss</v>
      </c>
      <c r="W512" s="2">
        <f>SalesData[[#This Row],[Unit_Price]]*(1-SalesData[[#This Row],[Discount]])</f>
        <v>4080.8776000000007</v>
      </c>
      <c r="X512" s="2">
        <f>SalesData[[#This Row],[Effective_Unit_Price]]-SalesData[[#This Row],[Unit_Cost]]</f>
        <v>-648.71239999999943</v>
      </c>
      <c r="Y512" s="2" t="str">
        <f>IF(SalesData[[#This Row],[Effective_Unit_Margin]]&lt;0,"Loss per Unit","Positive per Unit")</f>
        <v>Loss per Unit</v>
      </c>
    </row>
    <row r="513" spans="1:25" x14ac:dyDescent="0.3">
      <c r="A513">
        <v>1094</v>
      </c>
      <c r="B513" s="1">
        <v>45265</v>
      </c>
      <c r="C513" t="s">
        <v>37</v>
      </c>
      <c r="D513" t="s">
        <v>33</v>
      </c>
      <c r="E513">
        <v>12</v>
      </c>
      <c r="F513" t="s">
        <v>15</v>
      </c>
      <c r="G513">
        <v>333.32</v>
      </c>
      <c r="H513">
        <v>700.25</v>
      </c>
      <c r="I513" t="s">
        <v>16</v>
      </c>
      <c r="J513" s="2">
        <v>0.14000000000000001</v>
      </c>
      <c r="K513" t="s">
        <v>17</v>
      </c>
      <c r="L513" t="s">
        <v>18</v>
      </c>
      <c r="M513" t="s">
        <v>47</v>
      </c>
      <c r="N513">
        <f>SalesData[[#This Row],[Quantity_Sold]]*SalesData[[#This Row],[Unit_Cost]]</f>
        <v>3999.84</v>
      </c>
      <c r="O513">
        <f>SalesData[[#This Row],[Quantity_Sold]]*SalesData[[#This Row],[Unit_Price]]</f>
        <v>8403</v>
      </c>
      <c r="P513">
        <f>SalesData[[#This Row],[Gross_sales]]*(1-SalesData[[#This Row],[Discount]])</f>
        <v>7226.58</v>
      </c>
      <c r="Q513" s="2">
        <f>SalesData[[#This Row],[Sales_amount]]-SalesData[[#This Row],[Total_Cost]]</f>
        <v>3226.74</v>
      </c>
      <c r="R513" s="2">
        <f>SalesData[[#This Row],[Profit]]/SalesData[[#This Row],[Sales_amount]]</f>
        <v>0.44650996737045739</v>
      </c>
      <c r="S513" s="2">
        <f>SalesData[[#This Row],[Unit_Price]]-SalesData[[#This Row],[Unit_Cost]]</f>
        <v>366.93</v>
      </c>
      <c r="T513" s="10">
        <f>SalesData[[#This Row],[Unit_Margin]]/SalesData[[#This Row],[Unit_Price]]</f>
        <v>0.52399857193859334</v>
      </c>
      <c r="U513" s="2" t="str">
        <f>IF(SalesData[[#This Row],[Unit_Margin]]&lt;0, "Negative margin", "Positive margin")</f>
        <v>Positive margin</v>
      </c>
      <c r="V513" s="2" t="str">
        <f>IF(SalesData[[#This Row],[Profit]]&lt;0, "Loss", "Profit")</f>
        <v>Profit</v>
      </c>
      <c r="W513" s="2">
        <f>SalesData[[#This Row],[Unit_Price]]*(1-SalesData[[#This Row],[Discount]])</f>
        <v>602.21500000000003</v>
      </c>
      <c r="X513" s="2">
        <f>SalesData[[#This Row],[Effective_Unit_Price]]-SalesData[[#This Row],[Unit_Cost]]</f>
        <v>268.89500000000004</v>
      </c>
      <c r="Y513" s="2" t="str">
        <f>IF(SalesData[[#This Row],[Effective_Unit_Margin]]&lt;0,"Loss per Unit","Positive per Unit")</f>
        <v>Positive per Unit</v>
      </c>
    </row>
    <row r="514" spans="1:25" x14ac:dyDescent="0.3">
      <c r="A514">
        <v>1062</v>
      </c>
      <c r="B514" s="1">
        <v>45190</v>
      </c>
      <c r="C514" t="s">
        <v>23</v>
      </c>
      <c r="D514" t="s">
        <v>14</v>
      </c>
      <c r="E514">
        <v>37</v>
      </c>
      <c r="F514" t="s">
        <v>34</v>
      </c>
      <c r="G514">
        <v>4658.4399999999996</v>
      </c>
      <c r="H514">
        <v>4823.5</v>
      </c>
      <c r="I514" t="s">
        <v>16</v>
      </c>
      <c r="J514" s="2">
        <v>0.14000000000000001</v>
      </c>
      <c r="K514" t="s">
        <v>30</v>
      </c>
      <c r="L514" t="s">
        <v>18</v>
      </c>
      <c r="M514" t="s">
        <v>44</v>
      </c>
      <c r="N514">
        <f>SalesData[[#This Row],[Quantity_Sold]]*SalesData[[#This Row],[Unit_Cost]]</f>
        <v>172362.28</v>
      </c>
      <c r="O514">
        <f>SalesData[[#This Row],[Quantity_Sold]]*SalesData[[#This Row],[Unit_Price]]</f>
        <v>178469.5</v>
      </c>
      <c r="P514">
        <f>SalesData[[#This Row],[Gross_sales]]*(1-SalesData[[#This Row],[Discount]])</f>
        <v>153483.76999999999</v>
      </c>
      <c r="Q514" s="2">
        <f>SalesData[[#This Row],[Sales_amount]]-SalesData[[#This Row],[Total_Cost]]</f>
        <v>-18878.510000000009</v>
      </c>
      <c r="R514" s="2">
        <f>SalesData[[#This Row],[Profit]]/SalesData[[#This Row],[Sales_amount]]</f>
        <v>-0.12300004098153186</v>
      </c>
      <c r="S514" s="2">
        <f>SalesData[[#This Row],[Unit_Price]]-SalesData[[#This Row],[Unit_Cost]]</f>
        <v>165.0600000000004</v>
      </c>
      <c r="T514" s="10">
        <f>SalesData[[#This Row],[Unit_Margin]]/SalesData[[#This Row],[Unit_Price]]</f>
        <v>3.4219964755882744E-2</v>
      </c>
      <c r="U514" s="2" t="str">
        <f>IF(SalesData[[#This Row],[Unit_Margin]]&lt;0, "Negative margin", "Positive margin")</f>
        <v>Positive margin</v>
      </c>
      <c r="V514" s="2" t="str">
        <f>IF(SalesData[[#This Row],[Profit]]&lt;0, "Loss", "Profit")</f>
        <v>Loss</v>
      </c>
      <c r="W514" s="2">
        <f>SalesData[[#This Row],[Unit_Price]]*(1-SalesData[[#This Row],[Discount]])</f>
        <v>4148.21</v>
      </c>
      <c r="X514" s="2">
        <f>SalesData[[#This Row],[Effective_Unit_Price]]-SalesData[[#This Row],[Unit_Cost]]</f>
        <v>-510.22999999999956</v>
      </c>
      <c r="Y514" s="2" t="str">
        <f>IF(SalesData[[#This Row],[Effective_Unit_Margin]]&lt;0,"Loss per Unit","Positive per Unit")</f>
        <v>Loss per Unit</v>
      </c>
    </row>
    <row r="515" spans="1:25" x14ac:dyDescent="0.3">
      <c r="A515">
        <v>1069</v>
      </c>
      <c r="B515" s="1">
        <v>45075</v>
      </c>
      <c r="C515" t="s">
        <v>41</v>
      </c>
      <c r="D515" t="s">
        <v>14</v>
      </c>
      <c r="E515">
        <v>30</v>
      </c>
      <c r="F515" t="s">
        <v>34</v>
      </c>
      <c r="G515">
        <v>300.01</v>
      </c>
      <c r="H515">
        <v>477.67999999999898</v>
      </c>
      <c r="I515" t="s">
        <v>29</v>
      </c>
      <c r="J515" s="2">
        <v>0.11</v>
      </c>
      <c r="K515" t="s">
        <v>26</v>
      </c>
      <c r="L515" t="s">
        <v>21</v>
      </c>
      <c r="M515" t="s">
        <v>48</v>
      </c>
      <c r="N515">
        <f>SalesData[[#This Row],[Quantity_Sold]]*SalesData[[#This Row],[Unit_Cost]]</f>
        <v>9000.2999999999993</v>
      </c>
      <c r="O515">
        <f>SalesData[[#This Row],[Quantity_Sold]]*SalesData[[#This Row],[Unit_Price]]</f>
        <v>14330.399999999969</v>
      </c>
      <c r="P515">
        <f>SalesData[[#This Row],[Gross_sales]]*(1-SalesData[[#This Row],[Discount]])</f>
        <v>12754.055999999973</v>
      </c>
      <c r="Q515" s="2">
        <f>SalesData[[#This Row],[Sales_amount]]-SalesData[[#This Row],[Total_Cost]]</f>
        <v>3753.7559999999739</v>
      </c>
      <c r="R515" s="2">
        <f>SalesData[[#This Row],[Profit]]/SalesData[[#This Row],[Sales_amount]]</f>
        <v>0.29431860735126003</v>
      </c>
      <c r="S515" s="2">
        <f>SalesData[[#This Row],[Unit_Price]]-SalesData[[#This Row],[Unit_Cost]]</f>
        <v>177.66999999999899</v>
      </c>
      <c r="T515" s="10">
        <f>SalesData[[#This Row],[Unit_Margin]]/SalesData[[#This Row],[Unit_Price]]</f>
        <v>0.37194356054262134</v>
      </c>
      <c r="U515" s="2" t="str">
        <f>IF(SalesData[[#This Row],[Unit_Margin]]&lt;0, "Negative margin", "Positive margin")</f>
        <v>Positive margin</v>
      </c>
      <c r="V515" s="2" t="str">
        <f>IF(SalesData[[#This Row],[Profit]]&lt;0, "Loss", "Profit")</f>
        <v>Profit</v>
      </c>
      <c r="W515" s="2">
        <f>SalesData[[#This Row],[Unit_Price]]*(1-SalesData[[#This Row],[Discount]])</f>
        <v>425.13519999999909</v>
      </c>
      <c r="X515" s="2">
        <f>SalesData[[#This Row],[Effective_Unit_Price]]-SalesData[[#This Row],[Unit_Cost]]</f>
        <v>125.1251999999991</v>
      </c>
      <c r="Y515" s="2" t="str">
        <f>IF(SalesData[[#This Row],[Effective_Unit_Margin]]&lt;0,"Loss per Unit","Positive per Unit")</f>
        <v>Positive per Unit</v>
      </c>
    </row>
    <row r="516" spans="1:25" x14ac:dyDescent="0.3">
      <c r="A516">
        <v>1076</v>
      </c>
      <c r="B516" s="1">
        <v>45007</v>
      </c>
      <c r="C516" t="s">
        <v>32</v>
      </c>
      <c r="D516" t="s">
        <v>24</v>
      </c>
      <c r="E516">
        <v>23</v>
      </c>
      <c r="F516" t="s">
        <v>25</v>
      </c>
      <c r="G516">
        <v>2759.16</v>
      </c>
      <c r="H516">
        <v>2864.45</v>
      </c>
      <c r="I516" t="s">
        <v>16</v>
      </c>
      <c r="J516" s="2">
        <v>0.18</v>
      </c>
      <c r="K516" t="s">
        <v>30</v>
      </c>
      <c r="L516" t="s">
        <v>21</v>
      </c>
      <c r="M516" t="s">
        <v>43</v>
      </c>
      <c r="N516">
        <f>SalesData[[#This Row],[Quantity_Sold]]*SalesData[[#This Row],[Unit_Cost]]</f>
        <v>63460.679999999993</v>
      </c>
      <c r="O516">
        <f>SalesData[[#This Row],[Quantity_Sold]]*SalesData[[#This Row],[Unit_Price]]</f>
        <v>65882.349999999991</v>
      </c>
      <c r="P516">
        <f>SalesData[[#This Row],[Gross_sales]]*(1-SalesData[[#This Row],[Discount]])</f>
        <v>54023.526999999995</v>
      </c>
      <c r="Q516" s="2">
        <f>SalesData[[#This Row],[Sales_amount]]-SalesData[[#This Row],[Total_Cost]]</f>
        <v>-9437.1529999999984</v>
      </c>
      <c r="R516" s="2">
        <f>SalesData[[#This Row],[Profit]]/SalesData[[#This Row],[Sales_amount]]</f>
        <v>-0.17468598449708772</v>
      </c>
      <c r="S516" s="2">
        <f>SalesData[[#This Row],[Unit_Price]]-SalesData[[#This Row],[Unit_Cost]]</f>
        <v>105.28999999999996</v>
      </c>
      <c r="T516" s="10">
        <f>SalesData[[#This Row],[Unit_Margin]]/SalesData[[#This Row],[Unit_Price]]</f>
        <v>3.6757492712388054E-2</v>
      </c>
      <c r="U516" s="2" t="str">
        <f>IF(SalesData[[#This Row],[Unit_Margin]]&lt;0, "Negative margin", "Positive margin")</f>
        <v>Positive margin</v>
      </c>
      <c r="V516" s="2" t="str">
        <f>IF(SalesData[[#This Row],[Profit]]&lt;0, "Loss", "Profit")</f>
        <v>Loss</v>
      </c>
      <c r="W516" s="2">
        <f>SalesData[[#This Row],[Unit_Price]]*(1-SalesData[[#This Row],[Discount]])</f>
        <v>2348.8490000000002</v>
      </c>
      <c r="X516" s="2">
        <f>SalesData[[#This Row],[Effective_Unit_Price]]-SalesData[[#This Row],[Unit_Cost]]</f>
        <v>-410.31099999999969</v>
      </c>
      <c r="Y516" s="2" t="str">
        <f>IF(SalesData[[#This Row],[Effective_Unit_Margin]]&lt;0,"Loss per Unit","Positive per Unit")</f>
        <v>Loss per Unit</v>
      </c>
    </row>
    <row r="517" spans="1:25" x14ac:dyDescent="0.3">
      <c r="A517">
        <v>1016</v>
      </c>
      <c r="B517" s="1">
        <v>45141</v>
      </c>
      <c r="C517" t="s">
        <v>41</v>
      </c>
      <c r="D517" t="s">
        <v>20</v>
      </c>
      <c r="E517">
        <v>16</v>
      </c>
      <c r="F517" t="s">
        <v>15</v>
      </c>
      <c r="G517">
        <v>4457.68</v>
      </c>
      <c r="H517">
        <v>4743.03</v>
      </c>
      <c r="I517" t="s">
        <v>16</v>
      </c>
      <c r="J517" s="2">
        <v>0.19</v>
      </c>
      <c r="K517" t="s">
        <v>17</v>
      </c>
      <c r="L517" t="s">
        <v>18</v>
      </c>
      <c r="M517" t="s">
        <v>50</v>
      </c>
      <c r="N517">
        <f>SalesData[[#This Row],[Quantity_Sold]]*SalesData[[#This Row],[Unit_Cost]]</f>
        <v>71322.880000000005</v>
      </c>
      <c r="O517">
        <f>SalesData[[#This Row],[Quantity_Sold]]*SalesData[[#This Row],[Unit_Price]]</f>
        <v>75888.479999999996</v>
      </c>
      <c r="P517">
        <f>SalesData[[#This Row],[Gross_sales]]*(1-SalesData[[#This Row],[Discount]])</f>
        <v>61469.668799999999</v>
      </c>
      <c r="Q517" s="2">
        <f>SalesData[[#This Row],[Sales_amount]]-SalesData[[#This Row],[Total_Cost]]</f>
        <v>-9853.2112000000052</v>
      </c>
      <c r="R517" s="2">
        <f>SalesData[[#This Row],[Profit]]/SalesData[[#This Row],[Sales_amount]]</f>
        <v>-0.16029387163380984</v>
      </c>
      <c r="S517" s="2">
        <f>SalesData[[#This Row],[Unit_Price]]-SalesData[[#This Row],[Unit_Cost]]</f>
        <v>285.34999999999945</v>
      </c>
      <c r="T517" s="10">
        <f>SalesData[[#This Row],[Unit_Margin]]/SalesData[[#This Row],[Unit_Price]]</f>
        <v>6.0161963976613997E-2</v>
      </c>
      <c r="U517" s="2" t="str">
        <f>IF(SalesData[[#This Row],[Unit_Margin]]&lt;0, "Negative margin", "Positive margin")</f>
        <v>Positive margin</v>
      </c>
      <c r="V517" s="2" t="str">
        <f>IF(SalesData[[#This Row],[Profit]]&lt;0, "Loss", "Profit")</f>
        <v>Loss</v>
      </c>
      <c r="W517" s="2">
        <f>SalesData[[#This Row],[Unit_Price]]*(1-SalesData[[#This Row],[Discount]])</f>
        <v>3841.8543</v>
      </c>
      <c r="X517" s="2">
        <f>SalesData[[#This Row],[Effective_Unit_Price]]-SalesData[[#This Row],[Unit_Cost]]</f>
        <v>-615.82570000000032</v>
      </c>
      <c r="Y517" s="2" t="str">
        <f>IF(SalesData[[#This Row],[Effective_Unit_Margin]]&lt;0,"Loss per Unit","Positive per Unit")</f>
        <v>Loss per Unit</v>
      </c>
    </row>
    <row r="518" spans="1:25" x14ac:dyDescent="0.3">
      <c r="A518">
        <v>1090</v>
      </c>
      <c r="B518" s="1">
        <v>45124</v>
      </c>
      <c r="C518" t="s">
        <v>23</v>
      </c>
      <c r="D518" t="s">
        <v>14</v>
      </c>
      <c r="E518">
        <v>14</v>
      </c>
      <c r="F518" t="s">
        <v>34</v>
      </c>
      <c r="G518">
        <v>1350.47</v>
      </c>
      <c r="H518">
        <v>1514.61</v>
      </c>
      <c r="I518" t="s">
        <v>29</v>
      </c>
      <c r="J518" s="2">
        <v>0.2</v>
      </c>
      <c r="K518" t="s">
        <v>30</v>
      </c>
      <c r="L518" t="s">
        <v>21</v>
      </c>
      <c r="M518" t="s">
        <v>44</v>
      </c>
      <c r="N518">
        <f>SalesData[[#This Row],[Quantity_Sold]]*SalesData[[#This Row],[Unit_Cost]]</f>
        <v>18906.580000000002</v>
      </c>
      <c r="O518">
        <f>SalesData[[#This Row],[Quantity_Sold]]*SalesData[[#This Row],[Unit_Price]]</f>
        <v>21204.539999999997</v>
      </c>
      <c r="P518">
        <f>SalesData[[#This Row],[Gross_sales]]*(1-SalesData[[#This Row],[Discount]])</f>
        <v>16963.631999999998</v>
      </c>
      <c r="Q518" s="2">
        <f>SalesData[[#This Row],[Sales_amount]]-SalesData[[#This Row],[Total_Cost]]</f>
        <v>-1942.948000000004</v>
      </c>
      <c r="R518" s="2">
        <f>SalesData[[#This Row],[Profit]]/SalesData[[#This Row],[Sales_amount]]</f>
        <v>-0.1145360851968496</v>
      </c>
      <c r="S518" s="2">
        <f>SalesData[[#This Row],[Unit_Price]]-SalesData[[#This Row],[Unit_Cost]]</f>
        <v>164.13999999999987</v>
      </c>
      <c r="T518" s="10">
        <f>SalesData[[#This Row],[Unit_Margin]]/SalesData[[#This Row],[Unit_Price]]</f>
        <v>0.10837113184252044</v>
      </c>
      <c r="U518" s="2" t="str">
        <f>IF(SalesData[[#This Row],[Unit_Margin]]&lt;0, "Negative margin", "Positive margin")</f>
        <v>Positive margin</v>
      </c>
      <c r="V518" s="2" t="str">
        <f>IF(SalesData[[#This Row],[Profit]]&lt;0, "Loss", "Profit")</f>
        <v>Loss</v>
      </c>
      <c r="W518" s="2">
        <f>SalesData[[#This Row],[Unit_Price]]*(1-SalesData[[#This Row],[Discount]])</f>
        <v>1211.6879999999999</v>
      </c>
      <c r="X518" s="2">
        <f>SalesData[[#This Row],[Effective_Unit_Price]]-SalesData[[#This Row],[Unit_Cost]]</f>
        <v>-138.78200000000015</v>
      </c>
      <c r="Y518" s="2" t="str">
        <f>IF(SalesData[[#This Row],[Effective_Unit_Margin]]&lt;0,"Loss per Unit","Positive per Unit")</f>
        <v>Loss per Unit</v>
      </c>
    </row>
    <row r="519" spans="1:25" x14ac:dyDescent="0.3">
      <c r="A519">
        <v>1090</v>
      </c>
      <c r="B519" s="1">
        <v>45126</v>
      </c>
      <c r="C519" t="s">
        <v>32</v>
      </c>
      <c r="D519" t="s">
        <v>20</v>
      </c>
      <c r="E519">
        <v>10</v>
      </c>
      <c r="F519" t="s">
        <v>15</v>
      </c>
      <c r="G519">
        <v>2387.63</v>
      </c>
      <c r="H519">
        <v>2438.9699999999998</v>
      </c>
      <c r="I519" t="s">
        <v>16</v>
      </c>
      <c r="J519" s="2">
        <v>0.02</v>
      </c>
      <c r="K519" t="s">
        <v>26</v>
      </c>
      <c r="L519" t="s">
        <v>21</v>
      </c>
      <c r="M519" t="s">
        <v>36</v>
      </c>
      <c r="N519">
        <f>SalesData[[#This Row],[Quantity_Sold]]*SalesData[[#This Row],[Unit_Cost]]</f>
        <v>23876.300000000003</v>
      </c>
      <c r="O519">
        <f>SalesData[[#This Row],[Quantity_Sold]]*SalesData[[#This Row],[Unit_Price]]</f>
        <v>24389.699999999997</v>
      </c>
      <c r="P519">
        <f>SalesData[[#This Row],[Gross_sales]]*(1-SalesData[[#This Row],[Discount]])</f>
        <v>23901.905999999995</v>
      </c>
      <c r="Q519" s="2">
        <f>SalesData[[#This Row],[Sales_amount]]-SalesData[[#This Row],[Total_Cost]]</f>
        <v>25.605999999992491</v>
      </c>
      <c r="R519" s="2">
        <f>SalesData[[#This Row],[Profit]]/SalesData[[#This Row],[Sales_amount]]</f>
        <v>1.0712953184567162E-3</v>
      </c>
      <c r="S519" s="2">
        <f>SalesData[[#This Row],[Unit_Price]]-SalesData[[#This Row],[Unit_Cost]]</f>
        <v>51.339999999999691</v>
      </c>
      <c r="T519" s="10">
        <f>SalesData[[#This Row],[Unit_Margin]]/SalesData[[#This Row],[Unit_Price]]</f>
        <v>2.1049869412087766E-2</v>
      </c>
      <c r="U519" s="2" t="str">
        <f>IF(SalesData[[#This Row],[Unit_Margin]]&lt;0, "Negative margin", "Positive margin")</f>
        <v>Positive margin</v>
      </c>
      <c r="V519" s="2" t="str">
        <f>IF(SalesData[[#This Row],[Profit]]&lt;0, "Loss", "Profit")</f>
        <v>Profit</v>
      </c>
      <c r="W519" s="2">
        <f>SalesData[[#This Row],[Unit_Price]]*(1-SalesData[[#This Row],[Discount]])</f>
        <v>2390.1905999999999</v>
      </c>
      <c r="X519" s="2">
        <f>SalesData[[#This Row],[Effective_Unit_Price]]-SalesData[[#This Row],[Unit_Cost]]</f>
        <v>2.5605999999997948</v>
      </c>
      <c r="Y519" s="2" t="str">
        <f>IF(SalesData[[#This Row],[Effective_Unit_Margin]]&lt;0,"Loss per Unit","Positive per Unit")</f>
        <v>Positive per Unit</v>
      </c>
    </row>
    <row r="520" spans="1:25" x14ac:dyDescent="0.3">
      <c r="A520">
        <v>1048</v>
      </c>
      <c r="B520" s="1">
        <v>44951</v>
      </c>
      <c r="C520" t="s">
        <v>37</v>
      </c>
      <c r="D520" t="s">
        <v>24</v>
      </c>
      <c r="E520">
        <v>7</v>
      </c>
      <c r="F520" t="s">
        <v>34</v>
      </c>
      <c r="G520">
        <v>1655.43</v>
      </c>
      <c r="H520">
        <v>2001.08</v>
      </c>
      <c r="I520" t="s">
        <v>29</v>
      </c>
      <c r="J520" s="2">
        <v>0.19</v>
      </c>
      <c r="K520" t="s">
        <v>26</v>
      </c>
      <c r="L520" t="s">
        <v>18</v>
      </c>
      <c r="M520" t="s">
        <v>38</v>
      </c>
      <c r="N520">
        <f>SalesData[[#This Row],[Quantity_Sold]]*SalesData[[#This Row],[Unit_Cost]]</f>
        <v>11588.01</v>
      </c>
      <c r="O520">
        <f>SalesData[[#This Row],[Quantity_Sold]]*SalesData[[#This Row],[Unit_Price]]</f>
        <v>14007.56</v>
      </c>
      <c r="P520">
        <f>SalesData[[#This Row],[Gross_sales]]*(1-SalesData[[#This Row],[Discount]])</f>
        <v>11346.123600000001</v>
      </c>
      <c r="Q520" s="2">
        <f>SalesData[[#This Row],[Sales_amount]]-SalesData[[#This Row],[Total_Cost]]</f>
        <v>-241.88639999999941</v>
      </c>
      <c r="R520" s="2">
        <f>SalesData[[#This Row],[Profit]]/SalesData[[#This Row],[Sales_amount]]</f>
        <v>-2.1318858186949365E-2</v>
      </c>
      <c r="S520" s="2">
        <f>SalesData[[#This Row],[Unit_Price]]-SalesData[[#This Row],[Unit_Cost]]</f>
        <v>345.64999999999986</v>
      </c>
      <c r="T520" s="10">
        <f>SalesData[[#This Row],[Unit_Margin]]/SalesData[[#This Row],[Unit_Price]]</f>
        <v>0.17273172486857091</v>
      </c>
      <c r="U520" s="2" t="str">
        <f>IF(SalesData[[#This Row],[Unit_Margin]]&lt;0, "Negative margin", "Positive margin")</f>
        <v>Positive margin</v>
      </c>
      <c r="V520" s="2" t="str">
        <f>IF(SalesData[[#This Row],[Profit]]&lt;0, "Loss", "Profit")</f>
        <v>Loss</v>
      </c>
      <c r="W520" s="2">
        <f>SalesData[[#This Row],[Unit_Price]]*(1-SalesData[[#This Row],[Discount]])</f>
        <v>1620.8748000000001</v>
      </c>
      <c r="X520" s="2">
        <f>SalesData[[#This Row],[Effective_Unit_Price]]-SalesData[[#This Row],[Unit_Cost]]</f>
        <v>-34.555200000000013</v>
      </c>
      <c r="Y520" s="2" t="str">
        <f>IF(SalesData[[#This Row],[Effective_Unit_Margin]]&lt;0,"Loss per Unit","Positive per Unit")</f>
        <v>Loss per Unit</v>
      </c>
    </row>
    <row r="521" spans="1:25" x14ac:dyDescent="0.3">
      <c r="A521">
        <v>1085</v>
      </c>
      <c r="B521" s="1">
        <v>45015</v>
      </c>
      <c r="C521" t="s">
        <v>23</v>
      </c>
      <c r="D521" t="s">
        <v>20</v>
      </c>
      <c r="E521">
        <v>45</v>
      </c>
      <c r="F521" t="s">
        <v>28</v>
      </c>
      <c r="G521">
        <v>4763.1099999999997</v>
      </c>
      <c r="H521">
        <v>5119.91</v>
      </c>
      <c r="I521" t="s">
        <v>16</v>
      </c>
      <c r="J521" s="2">
        <v>0.28999999999999998</v>
      </c>
      <c r="K521" t="s">
        <v>17</v>
      </c>
      <c r="L521" t="s">
        <v>21</v>
      </c>
      <c r="M521" t="s">
        <v>46</v>
      </c>
      <c r="N521">
        <f>SalesData[[#This Row],[Quantity_Sold]]*SalesData[[#This Row],[Unit_Cost]]</f>
        <v>214339.94999999998</v>
      </c>
      <c r="O521">
        <f>SalesData[[#This Row],[Quantity_Sold]]*SalesData[[#This Row],[Unit_Price]]</f>
        <v>230395.94999999998</v>
      </c>
      <c r="P521">
        <f>SalesData[[#This Row],[Gross_sales]]*(1-SalesData[[#This Row],[Discount]])</f>
        <v>163581.12449999998</v>
      </c>
      <c r="Q521" s="2">
        <f>SalesData[[#This Row],[Sales_amount]]-SalesData[[#This Row],[Total_Cost]]</f>
        <v>-50758.825500000006</v>
      </c>
      <c r="R521" s="2">
        <f>SalesData[[#This Row],[Profit]]/SalesData[[#This Row],[Sales_amount]]</f>
        <v>-0.31029757042659289</v>
      </c>
      <c r="S521" s="2">
        <f>SalesData[[#This Row],[Unit_Price]]-SalesData[[#This Row],[Unit_Cost]]</f>
        <v>356.80000000000018</v>
      </c>
      <c r="T521" s="10">
        <f>SalesData[[#This Row],[Unit_Margin]]/SalesData[[#This Row],[Unit_Price]]</f>
        <v>6.9688724997119131E-2</v>
      </c>
      <c r="U521" s="2" t="str">
        <f>IF(SalesData[[#This Row],[Unit_Margin]]&lt;0, "Negative margin", "Positive margin")</f>
        <v>Positive margin</v>
      </c>
      <c r="V521" s="2" t="str">
        <f>IF(SalesData[[#This Row],[Profit]]&lt;0, "Loss", "Profit")</f>
        <v>Loss</v>
      </c>
      <c r="W521" s="2">
        <f>SalesData[[#This Row],[Unit_Price]]*(1-SalesData[[#This Row],[Discount]])</f>
        <v>3635.1360999999997</v>
      </c>
      <c r="X521" s="2">
        <f>SalesData[[#This Row],[Effective_Unit_Price]]-SalesData[[#This Row],[Unit_Cost]]</f>
        <v>-1127.9739</v>
      </c>
      <c r="Y521" s="2" t="str">
        <f>IF(SalesData[[#This Row],[Effective_Unit_Margin]]&lt;0,"Loss per Unit","Positive per Unit")</f>
        <v>Loss per Unit</v>
      </c>
    </row>
    <row r="522" spans="1:25" x14ac:dyDescent="0.3">
      <c r="A522">
        <v>1039</v>
      </c>
      <c r="B522" s="1">
        <v>45194</v>
      </c>
      <c r="C522" t="s">
        <v>37</v>
      </c>
      <c r="D522" t="s">
        <v>20</v>
      </c>
      <c r="E522">
        <v>37</v>
      </c>
      <c r="F522" t="s">
        <v>34</v>
      </c>
      <c r="G522">
        <v>4127.05</v>
      </c>
      <c r="H522">
        <v>4313.45</v>
      </c>
      <c r="I522" t="s">
        <v>29</v>
      </c>
      <c r="J522" s="2">
        <v>0.16</v>
      </c>
      <c r="K522" t="s">
        <v>17</v>
      </c>
      <c r="L522" t="s">
        <v>18</v>
      </c>
      <c r="M522" t="s">
        <v>40</v>
      </c>
      <c r="N522">
        <f>SalesData[[#This Row],[Quantity_Sold]]*SalesData[[#This Row],[Unit_Cost]]</f>
        <v>152700.85</v>
      </c>
      <c r="O522">
        <f>SalesData[[#This Row],[Quantity_Sold]]*SalesData[[#This Row],[Unit_Price]]</f>
        <v>159597.65</v>
      </c>
      <c r="P522">
        <f>SalesData[[#This Row],[Gross_sales]]*(1-SalesData[[#This Row],[Discount]])</f>
        <v>134062.02599999998</v>
      </c>
      <c r="Q522" s="2">
        <f>SalesData[[#This Row],[Sales_amount]]-SalesData[[#This Row],[Total_Cost]]</f>
        <v>-18638.824000000022</v>
      </c>
      <c r="R522" s="2">
        <f>SalesData[[#This Row],[Profit]]/SalesData[[#This Row],[Sales_amount]]</f>
        <v>-0.13903134657982882</v>
      </c>
      <c r="S522" s="2">
        <f>SalesData[[#This Row],[Unit_Price]]-SalesData[[#This Row],[Unit_Cost]]</f>
        <v>186.39999999999964</v>
      </c>
      <c r="T522" s="10">
        <f>SalesData[[#This Row],[Unit_Margin]]/SalesData[[#This Row],[Unit_Price]]</f>
        <v>4.3213668872943846E-2</v>
      </c>
      <c r="U522" s="2" t="str">
        <f>IF(SalesData[[#This Row],[Unit_Margin]]&lt;0, "Negative margin", "Positive margin")</f>
        <v>Positive margin</v>
      </c>
      <c r="V522" s="2" t="str">
        <f>IF(SalesData[[#This Row],[Profit]]&lt;0, "Loss", "Profit")</f>
        <v>Loss</v>
      </c>
      <c r="W522" s="2">
        <f>SalesData[[#This Row],[Unit_Price]]*(1-SalesData[[#This Row],[Discount]])</f>
        <v>3623.2979999999998</v>
      </c>
      <c r="X522" s="2">
        <f>SalesData[[#This Row],[Effective_Unit_Price]]-SalesData[[#This Row],[Unit_Cost]]</f>
        <v>-503.75200000000041</v>
      </c>
      <c r="Y522" s="2" t="str">
        <f>IF(SalesData[[#This Row],[Effective_Unit_Margin]]&lt;0,"Loss per Unit","Positive per Unit")</f>
        <v>Loss per Unit</v>
      </c>
    </row>
    <row r="523" spans="1:25" x14ac:dyDescent="0.3">
      <c r="A523">
        <v>1100</v>
      </c>
      <c r="B523" s="1">
        <v>45069</v>
      </c>
      <c r="C523" t="s">
        <v>13</v>
      </c>
      <c r="D523" t="s">
        <v>20</v>
      </c>
      <c r="E523">
        <v>29</v>
      </c>
      <c r="F523" t="s">
        <v>25</v>
      </c>
      <c r="G523">
        <v>3559.56</v>
      </c>
      <c r="H523">
        <v>3607.15</v>
      </c>
      <c r="I523" t="s">
        <v>16</v>
      </c>
      <c r="J523" s="2">
        <v>0.21</v>
      </c>
      <c r="K523" t="s">
        <v>17</v>
      </c>
      <c r="L523" t="s">
        <v>21</v>
      </c>
      <c r="M523" t="s">
        <v>22</v>
      </c>
      <c r="N523">
        <f>SalesData[[#This Row],[Quantity_Sold]]*SalesData[[#This Row],[Unit_Cost]]</f>
        <v>103227.24</v>
      </c>
      <c r="O523">
        <f>SalesData[[#This Row],[Quantity_Sold]]*SalesData[[#This Row],[Unit_Price]]</f>
        <v>104607.35</v>
      </c>
      <c r="P523">
        <f>SalesData[[#This Row],[Gross_sales]]*(1-SalesData[[#This Row],[Discount]])</f>
        <v>82639.806500000006</v>
      </c>
      <c r="Q523" s="2">
        <f>SalesData[[#This Row],[Sales_amount]]-SalesData[[#This Row],[Total_Cost]]</f>
        <v>-20587.433499999999</v>
      </c>
      <c r="R523" s="2">
        <f>SalesData[[#This Row],[Profit]]/SalesData[[#This Row],[Sales_amount]]</f>
        <v>-0.24912247949176886</v>
      </c>
      <c r="S523" s="2">
        <f>SalesData[[#This Row],[Unit_Price]]-SalesData[[#This Row],[Unit_Cost]]</f>
        <v>47.590000000000146</v>
      </c>
      <c r="T523" s="10">
        <f>SalesData[[#This Row],[Unit_Margin]]/SalesData[[#This Row],[Unit_Price]]</f>
        <v>1.3193241201502611E-2</v>
      </c>
      <c r="U523" s="2" t="str">
        <f>IF(SalesData[[#This Row],[Unit_Margin]]&lt;0, "Negative margin", "Positive margin")</f>
        <v>Positive margin</v>
      </c>
      <c r="V523" s="2" t="str">
        <f>IF(SalesData[[#This Row],[Profit]]&lt;0, "Loss", "Profit")</f>
        <v>Loss</v>
      </c>
      <c r="W523" s="2">
        <f>SalesData[[#This Row],[Unit_Price]]*(1-SalesData[[#This Row],[Discount]])</f>
        <v>2849.6485000000002</v>
      </c>
      <c r="X523" s="2">
        <f>SalesData[[#This Row],[Effective_Unit_Price]]-SalesData[[#This Row],[Unit_Cost]]</f>
        <v>-709.91149999999971</v>
      </c>
      <c r="Y523" s="2" t="str">
        <f>IF(SalesData[[#This Row],[Effective_Unit_Margin]]&lt;0,"Loss per Unit","Positive per Unit")</f>
        <v>Loss per Unit</v>
      </c>
    </row>
    <row r="524" spans="1:25" x14ac:dyDescent="0.3">
      <c r="A524">
        <v>1033</v>
      </c>
      <c r="B524" s="1">
        <v>44985</v>
      </c>
      <c r="C524" t="s">
        <v>23</v>
      </c>
      <c r="D524" t="s">
        <v>20</v>
      </c>
      <c r="E524">
        <v>3</v>
      </c>
      <c r="F524" t="s">
        <v>28</v>
      </c>
      <c r="G524">
        <v>2958.75</v>
      </c>
      <c r="H524">
        <v>3177.64</v>
      </c>
      <c r="I524" t="s">
        <v>16</v>
      </c>
      <c r="J524" s="2">
        <v>0.17</v>
      </c>
      <c r="K524" t="s">
        <v>17</v>
      </c>
      <c r="L524" t="s">
        <v>18</v>
      </c>
      <c r="M524" t="s">
        <v>46</v>
      </c>
      <c r="N524">
        <f>SalesData[[#This Row],[Quantity_Sold]]*SalesData[[#This Row],[Unit_Cost]]</f>
        <v>8876.25</v>
      </c>
      <c r="O524">
        <f>SalesData[[#This Row],[Quantity_Sold]]*SalesData[[#This Row],[Unit_Price]]</f>
        <v>9532.92</v>
      </c>
      <c r="P524">
        <f>SalesData[[#This Row],[Gross_sales]]*(1-SalesData[[#This Row],[Discount]])</f>
        <v>7912.3235999999997</v>
      </c>
      <c r="Q524" s="2">
        <f>SalesData[[#This Row],[Sales_amount]]-SalesData[[#This Row],[Total_Cost]]</f>
        <v>-963.92640000000029</v>
      </c>
      <c r="R524" s="2">
        <f>SalesData[[#This Row],[Profit]]/SalesData[[#This Row],[Sales_amount]]</f>
        <v>-0.12182595767443084</v>
      </c>
      <c r="S524" s="2">
        <f>SalesData[[#This Row],[Unit_Price]]-SalesData[[#This Row],[Unit_Cost]]</f>
        <v>218.88999999999987</v>
      </c>
      <c r="T524" s="10">
        <f>SalesData[[#This Row],[Unit_Margin]]/SalesData[[#This Row],[Unit_Price]]</f>
        <v>6.8884455130222386E-2</v>
      </c>
      <c r="U524" s="2" t="str">
        <f>IF(SalesData[[#This Row],[Unit_Margin]]&lt;0, "Negative margin", "Positive margin")</f>
        <v>Positive margin</v>
      </c>
      <c r="V524" s="2" t="str">
        <f>IF(SalesData[[#This Row],[Profit]]&lt;0, "Loss", "Profit")</f>
        <v>Loss</v>
      </c>
      <c r="W524" s="2">
        <f>SalesData[[#This Row],[Unit_Price]]*(1-SalesData[[#This Row],[Discount]])</f>
        <v>2637.4411999999998</v>
      </c>
      <c r="X524" s="2">
        <f>SalesData[[#This Row],[Effective_Unit_Price]]-SalesData[[#This Row],[Unit_Cost]]</f>
        <v>-321.30880000000025</v>
      </c>
      <c r="Y524" s="2" t="str">
        <f>IF(SalesData[[#This Row],[Effective_Unit_Margin]]&lt;0,"Loss per Unit","Positive per Unit")</f>
        <v>Loss per Unit</v>
      </c>
    </row>
    <row r="525" spans="1:25" x14ac:dyDescent="0.3">
      <c r="A525">
        <v>1094</v>
      </c>
      <c r="B525" s="1">
        <v>45291</v>
      </c>
      <c r="C525" t="s">
        <v>13</v>
      </c>
      <c r="D525" t="s">
        <v>24</v>
      </c>
      <c r="E525">
        <v>15</v>
      </c>
      <c r="F525" t="s">
        <v>25</v>
      </c>
      <c r="G525">
        <v>4111.93</v>
      </c>
      <c r="H525">
        <v>4338.67</v>
      </c>
      <c r="I525" t="s">
        <v>16</v>
      </c>
      <c r="J525" s="2">
        <v>0.26</v>
      </c>
      <c r="K525" t="s">
        <v>30</v>
      </c>
      <c r="L525" t="s">
        <v>18</v>
      </c>
      <c r="M525" t="s">
        <v>31</v>
      </c>
      <c r="N525">
        <f>SalesData[[#This Row],[Quantity_Sold]]*SalesData[[#This Row],[Unit_Cost]]</f>
        <v>61678.950000000004</v>
      </c>
      <c r="O525">
        <f>SalesData[[#This Row],[Quantity_Sold]]*SalesData[[#This Row],[Unit_Price]]</f>
        <v>65080.05</v>
      </c>
      <c r="P525">
        <f>SalesData[[#This Row],[Gross_sales]]*(1-SalesData[[#This Row],[Discount]])</f>
        <v>48159.237000000001</v>
      </c>
      <c r="Q525" s="2">
        <f>SalesData[[#This Row],[Sales_amount]]-SalesData[[#This Row],[Total_Cost]]</f>
        <v>-13519.713000000003</v>
      </c>
      <c r="R525" s="2">
        <f>SalesData[[#This Row],[Profit]]/SalesData[[#This Row],[Sales_amount]]</f>
        <v>-0.28072938530982133</v>
      </c>
      <c r="S525" s="2">
        <f>SalesData[[#This Row],[Unit_Price]]-SalesData[[#This Row],[Unit_Cost]]</f>
        <v>226.73999999999978</v>
      </c>
      <c r="T525" s="10">
        <f>SalesData[[#This Row],[Unit_Margin]]/SalesData[[#This Row],[Unit_Price]]</f>
        <v>5.2260254870732221E-2</v>
      </c>
      <c r="U525" s="2" t="str">
        <f>IF(SalesData[[#This Row],[Unit_Margin]]&lt;0, "Negative margin", "Positive margin")</f>
        <v>Positive margin</v>
      </c>
      <c r="V525" s="2" t="str">
        <f>IF(SalesData[[#This Row],[Profit]]&lt;0, "Loss", "Profit")</f>
        <v>Loss</v>
      </c>
      <c r="W525" s="2">
        <f>SalesData[[#This Row],[Unit_Price]]*(1-SalesData[[#This Row],[Discount]])</f>
        <v>3210.6158</v>
      </c>
      <c r="X525" s="2">
        <f>SalesData[[#This Row],[Effective_Unit_Price]]-SalesData[[#This Row],[Unit_Cost]]</f>
        <v>-901.31420000000026</v>
      </c>
      <c r="Y525" s="2" t="str">
        <f>IF(SalesData[[#This Row],[Effective_Unit_Margin]]&lt;0,"Loss per Unit","Positive per Unit")</f>
        <v>Loss per Unit</v>
      </c>
    </row>
    <row r="526" spans="1:25" x14ac:dyDescent="0.3">
      <c r="A526">
        <v>1023</v>
      </c>
      <c r="B526" s="1">
        <v>44952</v>
      </c>
      <c r="C526" t="s">
        <v>23</v>
      </c>
      <c r="D526" t="s">
        <v>14</v>
      </c>
      <c r="E526">
        <v>36</v>
      </c>
      <c r="F526" t="s">
        <v>28</v>
      </c>
      <c r="G526">
        <v>1991.72</v>
      </c>
      <c r="H526">
        <v>2329.37</v>
      </c>
      <c r="I526" t="s">
        <v>29</v>
      </c>
      <c r="J526" s="2">
        <v>0.28000000000000003</v>
      </c>
      <c r="K526" t="s">
        <v>30</v>
      </c>
      <c r="L526" t="s">
        <v>21</v>
      </c>
      <c r="M526" t="s">
        <v>44</v>
      </c>
      <c r="N526">
        <f>SalesData[[#This Row],[Quantity_Sold]]*SalesData[[#This Row],[Unit_Cost]]</f>
        <v>71701.919999999998</v>
      </c>
      <c r="O526">
        <f>SalesData[[#This Row],[Quantity_Sold]]*SalesData[[#This Row],[Unit_Price]]</f>
        <v>83857.319999999992</v>
      </c>
      <c r="P526">
        <f>SalesData[[#This Row],[Gross_sales]]*(1-SalesData[[#This Row],[Discount]])</f>
        <v>60377.270399999994</v>
      </c>
      <c r="Q526" s="2">
        <f>SalesData[[#This Row],[Sales_amount]]-SalesData[[#This Row],[Total_Cost]]</f>
        <v>-11324.649600000004</v>
      </c>
      <c r="R526" s="2">
        <f>SalesData[[#This Row],[Profit]]/SalesData[[#This Row],[Sales_amount]]</f>
        <v>-0.18756478265701798</v>
      </c>
      <c r="S526" s="2">
        <f>SalesData[[#This Row],[Unit_Price]]-SalesData[[#This Row],[Unit_Cost]]</f>
        <v>337.64999999999986</v>
      </c>
      <c r="T526" s="10">
        <f>SalesData[[#This Row],[Unit_Margin]]/SalesData[[#This Row],[Unit_Price]]</f>
        <v>0.14495335648694707</v>
      </c>
      <c r="U526" s="2" t="str">
        <f>IF(SalesData[[#This Row],[Unit_Margin]]&lt;0, "Negative margin", "Positive margin")</f>
        <v>Positive margin</v>
      </c>
      <c r="V526" s="2" t="str">
        <f>IF(SalesData[[#This Row],[Profit]]&lt;0, "Loss", "Profit")</f>
        <v>Loss</v>
      </c>
      <c r="W526" s="2">
        <f>SalesData[[#This Row],[Unit_Price]]*(1-SalesData[[#This Row],[Discount]])</f>
        <v>1677.1463999999999</v>
      </c>
      <c r="X526" s="2">
        <f>SalesData[[#This Row],[Effective_Unit_Price]]-SalesData[[#This Row],[Unit_Cost]]</f>
        <v>-314.57360000000017</v>
      </c>
      <c r="Y526" s="2" t="str">
        <f>IF(SalesData[[#This Row],[Effective_Unit_Margin]]&lt;0,"Loss per Unit","Positive per Unit")</f>
        <v>Loss per Unit</v>
      </c>
    </row>
    <row r="527" spans="1:25" x14ac:dyDescent="0.3">
      <c r="A527">
        <v>1010</v>
      </c>
      <c r="B527" s="1">
        <v>44973</v>
      </c>
      <c r="C527" t="s">
        <v>23</v>
      </c>
      <c r="D527" t="s">
        <v>33</v>
      </c>
      <c r="E527">
        <v>47</v>
      </c>
      <c r="F527" t="s">
        <v>15</v>
      </c>
      <c r="G527">
        <v>2265.38</v>
      </c>
      <c r="H527">
        <v>2429.9299999999998</v>
      </c>
      <c r="I527" t="s">
        <v>16</v>
      </c>
      <c r="J527" s="2">
        <v>0.06</v>
      </c>
      <c r="K527" t="s">
        <v>26</v>
      </c>
      <c r="L527" t="s">
        <v>18</v>
      </c>
      <c r="M527" t="s">
        <v>49</v>
      </c>
      <c r="N527">
        <f>SalesData[[#This Row],[Quantity_Sold]]*SalesData[[#This Row],[Unit_Cost]]</f>
        <v>106472.86</v>
      </c>
      <c r="O527">
        <f>SalesData[[#This Row],[Quantity_Sold]]*SalesData[[#This Row],[Unit_Price]]</f>
        <v>114206.70999999999</v>
      </c>
      <c r="P527">
        <f>SalesData[[#This Row],[Gross_sales]]*(1-SalesData[[#This Row],[Discount]])</f>
        <v>107354.30739999999</v>
      </c>
      <c r="Q527" s="2">
        <f>SalesData[[#This Row],[Sales_amount]]-SalesData[[#This Row],[Total_Cost]]</f>
        <v>881.44739999999001</v>
      </c>
      <c r="R527" s="2">
        <f>SalesData[[#This Row],[Profit]]/SalesData[[#This Row],[Sales_amount]]</f>
        <v>8.2106384117009365E-3</v>
      </c>
      <c r="S527" s="2">
        <f>SalesData[[#This Row],[Unit_Price]]-SalesData[[#This Row],[Unit_Cost]]</f>
        <v>164.54999999999973</v>
      </c>
      <c r="T527" s="10">
        <f>SalesData[[#This Row],[Unit_Margin]]/SalesData[[#This Row],[Unit_Price]]</f>
        <v>6.7718000106998855E-2</v>
      </c>
      <c r="U527" s="2" t="str">
        <f>IF(SalesData[[#This Row],[Unit_Margin]]&lt;0, "Negative margin", "Positive margin")</f>
        <v>Positive margin</v>
      </c>
      <c r="V527" s="2" t="str">
        <f>IF(SalesData[[#This Row],[Profit]]&lt;0, "Loss", "Profit")</f>
        <v>Profit</v>
      </c>
      <c r="W527" s="2">
        <f>SalesData[[#This Row],[Unit_Price]]*(1-SalesData[[#This Row],[Discount]])</f>
        <v>2284.1341999999995</v>
      </c>
      <c r="X527" s="2">
        <f>SalesData[[#This Row],[Effective_Unit_Price]]-SalesData[[#This Row],[Unit_Cost]]</f>
        <v>18.7541999999994</v>
      </c>
      <c r="Y527" s="2" t="str">
        <f>IF(SalesData[[#This Row],[Effective_Unit_Margin]]&lt;0,"Loss per Unit","Positive per Unit")</f>
        <v>Positive per Unit</v>
      </c>
    </row>
    <row r="528" spans="1:25" x14ac:dyDescent="0.3">
      <c r="A528">
        <v>1069</v>
      </c>
      <c r="B528" s="1">
        <v>45214</v>
      </c>
      <c r="C528" t="s">
        <v>13</v>
      </c>
      <c r="D528" t="s">
        <v>20</v>
      </c>
      <c r="E528">
        <v>46</v>
      </c>
      <c r="F528" t="s">
        <v>25</v>
      </c>
      <c r="G528">
        <v>3663.51</v>
      </c>
      <c r="H528">
        <v>4007.98</v>
      </c>
      <c r="I528" t="s">
        <v>29</v>
      </c>
      <c r="J528" s="2">
        <v>0.13</v>
      </c>
      <c r="K528" t="s">
        <v>17</v>
      </c>
      <c r="L528" t="s">
        <v>18</v>
      </c>
      <c r="M528" t="s">
        <v>22</v>
      </c>
      <c r="N528">
        <f>SalesData[[#This Row],[Quantity_Sold]]*SalesData[[#This Row],[Unit_Cost]]</f>
        <v>168521.46000000002</v>
      </c>
      <c r="O528">
        <f>SalesData[[#This Row],[Quantity_Sold]]*SalesData[[#This Row],[Unit_Price]]</f>
        <v>184367.08</v>
      </c>
      <c r="P528">
        <f>SalesData[[#This Row],[Gross_sales]]*(1-SalesData[[#This Row],[Discount]])</f>
        <v>160399.3596</v>
      </c>
      <c r="Q528" s="2">
        <f>SalesData[[#This Row],[Sales_amount]]-SalesData[[#This Row],[Total_Cost]]</f>
        <v>-8122.1004000000248</v>
      </c>
      <c r="R528" s="2">
        <f>SalesData[[#This Row],[Profit]]/SalesData[[#This Row],[Sales_amount]]</f>
        <v>-5.0636738327726E-2</v>
      </c>
      <c r="S528" s="2">
        <f>SalesData[[#This Row],[Unit_Price]]-SalesData[[#This Row],[Unit_Cost]]</f>
        <v>344.4699999999998</v>
      </c>
      <c r="T528" s="10">
        <f>SalesData[[#This Row],[Unit_Margin]]/SalesData[[#This Row],[Unit_Price]]</f>
        <v>8.5946037654878474E-2</v>
      </c>
      <c r="U528" s="2" t="str">
        <f>IF(SalesData[[#This Row],[Unit_Margin]]&lt;0, "Negative margin", "Positive margin")</f>
        <v>Positive margin</v>
      </c>
      <c r="V528" s="2" t="str">
        <f>IF(SalesData[[#This Row],[Profit]]&lt;0, "Loss", "Profit")</f>
        <v>Loss</v>
      </c>
      <c r="W528" s="2">
        <f>SalesData[[#This Row],[Unit_Price]]*(1-SalesData[[#This Row],[Discount]])</f>
        <v>3486.9425999999999</v>
      </c>
      <c r="X528" s="2">
        <f>SalesData[[#This Row],[Effective_Unit_Price]]-SalesData[[#This Row],[Unit_Cost]]</f>
        <v>-176.56740000000036</v>
      </c>
      <c r="Y528" s="2" t="str">
        <f>IF(SalesData[[#This Row],[Effective_Unit_Margin]]&lt;0,"Loss per Unit","Positive per Unit")</f>
        <v>Loss per Unit</v>
      </c>
    </row>
    <row r="529" spans="1:25" x14ac:dyDescent="0.3">
      <c r="A529">
        <v>1100</v>
      </c>
      <c r="B529" s="1">
        <v>45192</v>
      </c>
      <c r="C529" t="s">
        <v>32</v>
      </c>
      <c r="D529" t="s">
        <v>14</v>
      </c>
      <c r="E529">
        <v>19</v>
      </c>
      <c r="F529" t="s">
        <v>34</v>
      </c>
      <c r="G529">
        <v>1820.89</v>
      </c>
      <c r="H529">
        <v>2257.92</v>
      </c>
      <c r="I529" t="s">
        <v>29</v>
      </c>
      <c r="J529" s="2">
        <v>0.12</v>
      </c>
      <c r="K529" t="s">
        <v>17</v>
      </c>
      <c r="L529" t="s">
        <v>21</v>
      </c>
      <c r="M529" t="s">
        <v>52</v>
      </c>
      <c r="N529">
        <f>SalesData[[#This Row],[Quantity_Sold]]*SalesData[[#This Row],[Unit_Cost]]</f>
        <v>34596.910000000003</v>
      </c>
      <c r="O529">
        <f>SalesData[[#This Row],[Quantity_Sold]]*SalesData[[#This Row],[Unit_Price]]</f>
        <v>42900.480000000003</v>
      </c>
      <c r="P529">
        <f>SalesData[[#This Row],[Gross_sales]]*(1-SalesData[[#This Row],[Discount]])</f>
        <v>37752.422400000003</v>
      </c>
      <c r="Q529" s="2">
        <f>SalesData[[#This Row],[Sales_amount]]-SalesData[[#This Row],[Total_Cost]]</f>
        <v>3155.5123999999996</v>
      </c>
      <c r="R529" s="2">
        <f>SalesData[[#This Row],[Profit]]/SalesData[[#This Row],[Sales_amount]]</f>
        <v>8.3584368880127796E-2</v>
      </c>
      <c r="S529" s="2">
        <f>SalesData[[#This Row],[Unit_Price]]-SalesData[[#This Row],[Unit_Cost]]</f>
        <v>437.03</v>
      </c>
      <c r="T529" s="10">
        <f>SalesData[[#This Row],[Unit_Margin]]/SalesData[[#This Row],[Unit_Price]]</f>
        <v>0.19355424461451246</v>
      </c>
      <c r="U529" s="2" t="str">
        <f>IF(SalesData[[#This Row],[Unit_Margin]]&lt;0, "Negative margin", "Positive margin")</f>
        <v>Positive margin</v>
      </c>
      <c r="V529" s="2" t="str">
        <f>IF(SalesData[[#This Row],[Profit]]&lt;0, "Loss", "Profit")</f>
        <v>Profit</v>
      </c>
      <c r="W529" s="2">
        <f>SalesData[[#This Row],[Unit_Price]]*(1-SalesData[[#This Row],[Discount]])</f>
        <v>1986.9696000000001</v>
      </c>
      <c r="X529" s="2">
        <f>SalesData[[#This Row],[Effective_Unit_Price]]-SalesData[[#This Row],[Unit_Cost]]</f>
        <v>166.07960000000003</v>
      </c>
      <c r="Y529" s="2" t="str">
        <f>IF(SalesData[[#This Row],[Effective_Unit_Margin]]&lt;0,"Loss per Unit","Positive per Unit")</f>
        <v>Positive per Unit</v>
      </c>
    </row>
    <row r="530" spans="1:25" x14ac:dyDescent="0.3">
      <c r="A530">
        <v>1034</v>
      </c>
      <c r="B530" s="1">
        <v>44942</v>
      </c>
      <c r="C530" t="s">
        <v>41</v>
      </c>
      <c r="D530" t="s">
        <v>14</v>
      </c>
      <c r="E530">
        <v>13</v>
      </c>
      <c r="F530" t="s">
        <v>15</v>
      </c>
      <c r="G530">
        <v>366.31</v>
      </c>
      <c r="H530">
        <v>492.68</v>
      </c>
      <c r="I530" t="s">
        <v>29</v>
      </c>
      <c r="J530" s="2">
        <v>0.12</v>
      </c>
      <c r="K530" t="s">
        <v>30</v>
      </c>
      <c r="L530" t="s">
        <v>21</v>
      </c>
      <c r="M530" t="s">
        <v>48</v>
      </c>
      <c r="N530">
        <f>SalesData[[#This Row],[Quantity_Sold]]*SalesData[[#This Row],[Unit_Cost]]</f>
        <v>4762.03</v>
      </c>
      <c r="O530">
        <f>SalesData[[#This Row],[Quantity_Sold]]*SalesData[[#This Row],[Unit_Price]]</f>
        <v>6404.84</v>
      </c>
      <c r="P530">
        <f>SalesData[[#This Row],[Gross_sales]]*(1-SalesData[[#This Row],[Discount]])</f>
        <v>5636.2592000000004</v>
      </c>
      <c r="Q530" s="2">
        <f>SalesData[[#This Row],[Sales_amount]]-SalesData[[#This Row],[Total_Cost]]</f>
        <v>874.22920000000067</v>
      </c>
      <c r="R530" s="2">
        <f>SalesData[[#This Row],[Profit]]/SalesData[[#This Row],[Sales_amount]]</f>
        <v>0.15510805464730945</v>
      </c>
      <c r="S530" s="2">
        <f>SalesData[[#This Row],[Unit_Price]]-SalesData[[#This Row],[Unit_Cost]]</f>
        <v>126.37</v>
      </c>
      <c r="T530" s="10">
        <f>SalesData[[#This Row],[Unit_Margin]]/SalesData[[#This Row],[Unit_Price]]</f>
        <v>0.25649508808963223</v>
      </c>
      <c r="U530" s="2" t="str">
        <f>IF(SalesData[[#This Row],[Unit_Margin]]&lt;0, "Negative margin", "Positive margin")</f>
        <v>Positive margin</v>
      </c>
      <c r="V530" s="2" t="str">
        <f>IF(SalesData[[#This Row],[Profit]]&lt;0, "Loss", "Profit")</f>
        <v>Profit</v>
      </c>
      <c r="W530" s="2">
        <f>SalesData[[#This Row],[Unit_Price]]*(1-SalesData[[#This Row],[Discount]])</f>
        <v>433.55840000000001</v>
      </c>
      <c r="X530" s="2">
        <f>SalesData[[#This Row],[Effective_Unit_Price]]-SalesData[[#This Row],[Unit_Cost]]</f>
        <v>67.248400000000004</v>
      </c>
      <c r="Y530" s="2" t="str">
        <f>IF(SalesData[[#This Row],[Effective_Unit_Margin]]&lt;0,"Loss per Unit","Positive per Unit")</f>
        <v>Positive per Unit</v>
      </c>
    </row>
    <row r="531" spans="1:25" x14ac:dyDescent="0.3">
      <c r="A531">
        <v>1052</v>
      </c>
      <c r="B531" s="1">
        <v>45125</v>
      </c>
      <c r="C531" t="s">
        <v>37</v>
      </c>
      <c r="D531" t="s">
        <v>24</v>
      </c>
      <c r="E531">
        <v>42</v>
      </c>
      <c r="F531" t="s">
        <v>34</v>
      </c>
      <c r="G531">
        <v>417.96</v>
      </c>
      <c r="H531">
        <v>907.63</v>
      </c>
      <c r="I531" t="s">
        <v>29</v>
      </c>
      <c r="J531" s="2">
        <v>0.04</v>
      </c>
      <c r="K531" t="s">
        <v>17</v>
      </c>
      <c r="L531" t="s">
        <v>21</v>
      </c>
      <c r="M531" t="s">
        <v>38</v>
      </c>
      <c r="N531">
        <f>SalesData[[#This Row],[Quantity_Sold]]*SalesData[[#This Row],[Unit_Cost]]</f>
        <v>17554.32</v>
      </c>
      <c r="O531">
        <f>SalesData[[#This Row],[Quantity_Sold]]*SalesData[[#This Row],[Unit_Price]]</f>
        <v>38120.46</v>
      </c>
      <c r="P531">
        <f>SalesData[[#This Row],[Gross_sales]]*(1-SalesData[[#This Row],[Discount]])</f>
        <v>36595.641599999995</v>
      </c>
      <c r="Q531" s="2">
        <f>SalesData[[#This Row],[Sales_amount]]-SalesData[[#This Row],[Total_Cost]]</f>
        <v>19041.321599999996</v>
      </c>
      <c r="R531" s="2">
        <f>SalesData[[#This Row],[Profit]]/SalesData[[#This Row],[Sales_amount]]</f>
        <v>0.52031664885470952</v>
      </c>
      <c r="S531" s="2">
        <f>SalesData[[#This Row],[Unit_Price]]-SalesData[[#This Row],[Unit_Cost]]</f>
        <v>489.67</v>
      </c>
      <c r="T531" s="10">
        <f>SalesData[[#This Row],[Unit_Margin]]/SalesData[[#This Row],[Unit_Price]]</f>
        <v>0.53950398290052115</v>
      </c>
      <c r="U531" s="2" t="str">
        <f>IF(SalesData[[#This Row],[Unit_Margin]]&lt;0, "Negative margin", "Positive margin")</f>
        <v>Positive margin</v>
      </c>
      <c r="V531" s="2" t="str">
        <f>IF(SalesData[[#This Row],[Profit]]&lt;0, "Loss", "Profit")</f>
        <v>Profit</v>
      </c>
      <c r="W531" s="2">
        <f>SalesData[[#This Row],[Unit_Price]]*(1-SalesData[[#This Row],[Discount]])</f>
        <v>871.32479999999998</v>
      </c>
      <c r="X531" s="2">
        <f>SalesData[[#This Row],[Effective_Unit_Price]]-SalesData[[#This Row],[Unit_Cost]]</f>
        <v>453.3648</v>
      </c>
      <c r="Y531" s="2" t="str">
        <f>IF(SalesData[[#This Row],[Effective_Unit_Margin]]&lt;0,"Loss per Unit","Positive per Unit")</f>
        <v>Positive per Unit</v>
      </c>
    </row>
    <row r="532" spans="1:25" x14ac:dyDescent="0.3">
      <c r="A532">
        <v>1095</v>
      </c>
      <c r="B532" s="1">
        <v>45208</v>
      </c>
      <c r="C532" t="s">
        <v>23</v>
      </c>
      <c r="D532" t="s">
        <v>14</v>
      </c>
      <c r="E532">
        <v>21</v>
      </c>
      <c r="F532" t="s">
        <v>28</v>
      </c>
      <c r="G532">
        <v>621.04999999999995</v>
      </c>
      <c r="H532">
        <v>820.36999999999898</v>
      </c>
      <c r="I532" t="s">
        <v>16</v>
      </c>
      <c r="J532" s="2">
        <v>0.24</v>
      </c>
      <c r="K532" t="s">
        <v>26</v>
      </c>
      <c r="L532" t="s">
        <v>18</v>
      </c>
      <c r="M532" t="s">
        <v>44</v>
      </c>
      <c r="N532">
        <f>SalesData[[#This Row],[Quantity_Sold]]*SalesData[[#This Row],[Unit_Cost]]</f>
        <v>13042.05</v>
      </c>
      <c r="O532">
        <f>SalesData[[#This Row],[Quantity_Sold]]*SalesData[[#This Row],[Unit_Price]]</f>
        <v>17227.769999999979</v>
      </c>
      <c r="P532">
        <f>SalesData[[#This Row],[Gross_sales]]*(1-SalesData[[#This Row],[Discount]])</f>
        <v>13093.105199999984</v>
      </c>
      <c r="Q532" s="2">
        <f>SalesData[[#This Row],[Sales_amount]]-SalesData[[#This Row],[Total_Cost]]</f>
        <v>51.055199999984325</v>
      </c>
      <c r="R532" s="2">
        <f>SalesData[[#This Row],[Profit]]/SalesData[[#This Row],[Sales_amount]]</f>
        <v>3.8993958438510363E-3</v>
      </c>
      <c r="S532" s="2">
        <f>SalesData[[#This Row],[Unit_Price]]-SalesData[[#This Row],[Unit_Cost]]</f>
        <v>199.31999999999903</v>
      </c>
      <c r="T532" s="10">
        <f>SalesData[[#This Row],[Unit_Margin]]/SalesData[[#This Row],[Unit_Price]]</f>
        <v>0.24296354084132682</v>
      </c>
      <c r="U532" s="2" t="str">
        <f>IF(SalesData[[#This Row],[Unit_Margin]]&lt;0, "Negative margin", "Positive margin")</f>
        <v>Positive margin</v>
      </c>
      <c r="V532" s="2" t="str">
        <f>IF(SalesData[[#This Row],[Profit]]&lt;0, "Loss", "Profit")</f>
        <v>Profit</v>
      </c>
      <c r="W532" s="2">
        <f>SalesData[[#This Row],[Unit_Price]]*(1-SalesData[[#This Row],[Discount]])</f>
        <v>623.48119999999926</v>
      </c>
      <c r="X532" s="2">
        <f>SalesData[[#This Row],[Effective_Unit_Price]]-SalesData[[#This Row],[Unit_Cost]]</f>
        <v>2.4311999999993077</v>
      </c>
      <c r="Y532" s="2" t="str">
        <f>IF(SalesData[[#This Row],[Effective_Unit_Margin]]&lt;0,"Loss per Unit","Positive per Unit")</f>
        <v>Positive per Unit</v>
      </c>
    </row>
    <row r="533" spans="1:25" x14ac:dyDescent="0.3">
      <c r="A533">
        <v>1010</v>
      </c>
      <c r="B533" s="1">
        <v>45012</v>
      </c>
      <c r="C533" t="s">
        <v>37</v>
      </c>
      <c r="D533" t="s">
        <v>24</v>
      </c>
      <c r="E533">
        <v>37</v>
      </c>
      <c r="F533" t="s">
        <v>28</v>
      </c>
      <c r="G533">
        <v>4354.92</v>
      </c>
      <c r="H533">
        <v>4495.88</v>
      </c>
      <c r="I533" t="s">
        <v>16</v>
      </c>
      <c r="J533" s="2">
        <v>0.01</v>
      </c>
      <c r="K533" t="s">
        <v>26</v>
      </c>
      <c r="L533" t="s">
        <v>18</v>
      </c>
      <c r="M533" t="s">
        <v>38</v>
      </c>
      <c r="N533">
        <f>SalesData[[#This Row],[Quantity_Sold]]*SalesData[[#This Row],[Unit_Cost]]</f>
        <v>161132.04</v>
      </c>
      <c r="O533">
        <f>SalesData[[#This Row],[Quantity_Sold]]*SalesData[[#This Row],[Unit_Price]]</f>
        <v>166347.56</v>
      </c>
      <c r="P533">
        <f>SalesData[[#This Row],[Gross_sales]]*(1-SalesData[[#This Row],[Discount]])</f>
        <v>164684.08439999999</v>
      </c>
      <c r="Q533" s="2">
        <f>SalesData[[#This Row],[Sales_amount]]-SalesData[[#This Row],[Total_Cost]]</f>
        <v>3552.0443999999843</v>
      </c>
      <c r="R533" s="2">
        <f>SalesData[[#This Row],[Profit]]/SalesData[[#This Row],[Sales_amount]]</f>
        <v>2.1568838378895491E-2</v>
      </c>
      <c r="S533" s="2">
        <f>SalesData[[#This Row],[Unit_Price]]-SalesData[[#This Row],[Unit_Cost]]</f>
        <v>140.96000000000004</v>
      </c>
      <c r="T533" s="10">
        <f>SalesData[[#This Row],[Unit_Margin]]/SalesData[[#This Row],[Unit_Price]]</f>
        <v>3.135314999510664E-2</v>
      </c>
      <c r="U533" s="2" t="str">
        <f>IF(SalesData[[#This Row],[Unit_Margin]]&lt;0, "Negative margin", "Positive margin")</f>
        <v>Positive margin</v>
      </c>
      <c r="V533" s="2" t="str">
        <f>IF(SalesData[[#This Row],[Profit]]&lt;0, "Loss", "Profit")</f>
        <v>Profit</v>
      </c>
      <c r="W533" s="2">
        <f>SalesData[[#This Row],[Unit_Price]]*(1-SalesData[[#This Row],[Discount]])</f>
        <v>4450.9211999999998</v>
      </c>
      <c r="X533" s="2">
        <f>SalesData[[#This Row],[Effective_Unit_Price]]-SalesData[[#This Row],[Unit_Cost]]</f>
        <v>96.001199999999699</v>
      </c>
      <c r="Y533" s="2" t="str">
        <f>IF(SalesData[[#This Row],[Effective_Unit_Margin]]&lt;0,"Loss per Unit","Positive per Unit")</f>
        <v>Positive per Unit</v>
      </c>
    </row>
    <row r="534" spans="1:25" x14ac:dyDescent="0.3">
      <c r="A534">
        <v>1019</v>
      </c>
      <c r="B534" s="1">
        <v>45176</v>
      </c>
      <c r="C534" t="s">
        <v>13</v>
      </c>
      <c r="D534" t="s">
        <v>20</v>
      </c>
      <c r="E534">
        <v>27</v>
      </c>
      <c r="F534" t="s">
        <v>34</v>
      </c>
      <c r="G534">
        <v>2387.52</v>
      </c>
      <c r="H534">
        <v>2604.06</v>
      </c>
      <c r="I534" t="s">
        <v>16</v>
      </c>
      <c r="J534" s="2">
        <v>0.16</v>
      </c>
      <c r="K534" t="s">
        <v>17</v>
      </c>
      <c r="L534" t="s">
        <v>18</v>
      </c>
      <c r="M534" t="s">
        <v>22</v>
      </c>
      <c r="N534">
        <f>SalesData[[#This Row],[Quantity_Sold]]*SalesData[[#This Row],[Unit_Cost]]</f>
        <v>64463.040000000001</v>
      </c>
      <c r="O534">
        <f>SalesData[[#This Row],[Quantity_Sold]]*SalesData[[#This Row],[Unit_Price]]</f>
        <v>70309.62</v>
      </c>
      <c r="P534">
        <f>SalesData[[#This Row],[Gross_sales]]*(1-SalesData[[#This Row],[Discount]])</f>
        <v>59060.080799999996</v>
      </c>
      <c r="Q534" s="2">
        <f>SalesData[[#This Row],[Sales_amount]]-SalesData[[#This Row],[Total_Cost]]</f>
        <v>-5402.9592000000048</v>
      </c>
      <c r="R534" s="2">
        <f>SalesData[[#This Row],[Profit]]/SalesData[[#This Row],[Sales_amount]]</f>
        <v>-9.1482421405695152E-2</v>
      </c>
      <c r="S534" s="2">
        <f>SalesData[[#This Row],[Unit_Price]]-SalesData[[#This Row],[Unit_Cost]]</f>
        <v>216.53999999999996</v>
      </c>
      <c r="T534" s="10">
        <f>SalesData[[#This Row],[Unit_Margin]]/SalesData[[#This Row],[Unit_Price]]</f>
        <v>8.3154766019216134E-2</v>
      </c>
      <c r="U534" s="2" t="str">
        <f>IF(SalesData[[#This Row],[Unit_Margin]]&lt;0, "Negative margin", "Positive margin")</f>
        <v>Positive margin</v>
      </c>
      <c r="V534" s="2" t="str">
        <f>IF(SalesData[[#This Row],[Profit]]&lt;0, "Loss", "Profit")</f>
        <v>Loss</v>
      </c>
      <c r="W534" s="2">
        <f>SalesData[[#This Row],[Unit_Price]]*(1-SalesData[[#This Row],[Discount]])</f>
        <v>2187.4103999999998</v>
      </c>
      <c r="X534" s="2">
        <f>SalesData[[#This Row],[Effective_Unit_Price]]-SalesData[[#This Row],[Unit_Cost]]</f>
        <v>-200.10960000000023</v>
      </c>
      <c r="Y534" s="2" t="str">
        <f>IF(SalesData[[#This Row],[Effective_Unit_Margin]]&lt;0,"Loss per Unit","Positive per Unit")</f>
        <v>Loss per Unit</v>
      </c>
    </row>
    <row r="535" spans="1:25" x14ac:dyDescent="0.3">
      <c r="A535">
        <v>1058</v>
      </c>
      <c r="B535" s="1">
        <v>45196</v>
      </c>
      <c r="C535" t="s">
        <v>37</v>
      </c>
      <c r="D535" t="s">
        <v>20</v>
      </c>
      <c r="E535">
        <v>29</v>
      </c>
      <c r="F535" t="s">
        <v>34</v>
      </c>
      <c r="G535">
        <v>3578.77</v>
      </c>
      <c r="H535">
        <v>3635.02</v>
      </c>
      <c r="I535" t="s">
        <v>29</v>
      </c>
      <c r="J535" s="2">
        <v>0.2</v>
      </c>
      <c r="K535" t="s">
        <v>26</v>
      </c>
      <c r="L535" t="s">
        <v>21</v>
      </c>
      <c r="M535" t="s">
        <v>40</v>
      </c>
      <c r="N535">
        <f>SalesData[[#This Row],[Quantity_Sold]]*SalesData[[#This Row],[Unit_Cost]]</f>
        <v>103784.33</v>
      </c>
      <c r="O535">
        <f>SalesData[[#This Row],[Quantity_Sold]]*SalesData[[#This Row],[Unit_Price]]</f>
        <v>105415.58</v>
      </c>
      <c r="P535">
        <f>SalesData[[#This Row],[Gross_sales]]*(1-SalesData[[#This Row],[Discount]])</f>
        <v>84332.464000000007</v>
      </c>
      <c r="Q535" s="2">
        <f>SalesData[[#This Row],[Sales_amount]]-SalesData[[#This Row],[Total_Cost]]</f>
        <v>-19451.865999999995</v>
      </c>
      <c r="R535" s="2">
        <f>SalesData[[#This Row],[Profit]]/SalesData[[#This Row],[Sales_amount]]</f>
        <v>-0.23065691523017748</v>
      </c>
      <c r="S535" s="2">
        <f>SalesData[[#This Row],[Unit_Price]]-SalesData[[#This Row],[Unit_Cost]]</f>
        <v>56.25</v>
      </c>
      <c r="T535" s="10">
        <f>SalesData[[#This Row],[Unit_Margin]]/SalesData[[#This Row],[Unit_Price]]</f>
        <v>1.547446781585796E-2</v>
      </c>
      <c r="U535" s="2" t="str">
        <f>IF(SalesData[[#This Row],[Unit_Margin]]&lt;0, "Negative margin", "Positive margin")</f>
        <v>Positive margin</v>
      </c>
      <c r="V535" s="2" t="str">
        <f>IF(SalesData[[#This Row],[Profit]]&lt;0, "Loss", "Profit")</f>
        <v>Loss</v>
      </c>
      <c r="W535" s="2">
        <f>SalesData[[#This Row],[Unit_Price]]*(1-SalesData[[#This Row],[Discount]])</f>
        <v>2908.0160000000001</v>
      </c>
      <c r="X535" s="2">
        <f>SalesData[[#This Row],[Effective_Unit_Price]]-SalesData[[#This Row],[Unit_Cost]]</f>
        <v>-670.75399999999991</v>
      </c>
      <c r="Y535" s="2" t="str">
        <f>IF(SalesData[[#This Row],[Effective_Unit_Margin]]&lt;0,"Loss per Unit","Positive per Unit")</f>
        <v>Loss per Unit</v>
      </c>
    </row>
    <row r="536" spans="1:25" x14ac:dyDescent="0.3">
      <c r="A536">
        <v>1096</v>
      </c>
      <c r="B536" s="1">
        <v>45261</v>
      </c>
      <c r="C536" t="s">
        <v>13</v>
      </c>
      <c r="D536" t="s">
        <v>33</v>
      </c>
      <c r="E536">
        <v>20</v>
      </c>
      <c r="F536" t="s">
        <v>15</v>
      </c>
      <c r="G536">
        <v>1994.9</v>
      </c>
      <c r="H536">
        <v>2066.5</v>
      </c>
      <c r="I536" t="s">
        <v>16</v>
      </c>
      <c r="J536" s="2">
        <v>0.06</v>
      </c>
      <c r="K536" t="s">
        <v>26</v>
      </c>
      <c r="L536" t="s">
        <v>18</v>
      </c>
      <c r="M536" t="s">
        <v>45</v>
      </c>
      <c r="N536">
        <f>SalesData[[#This Row],[Quantity_Sold]]*SalesData[[#This Row],[Unit_Cost]]</f>
        <v>39898</v>
      </c>
      <c r="O536">
        <f>SalesData[[#This Row],[Quantity_Sold]]*SalesData[[#This Row],[Unit_Price]]</f>
        <v>41330</v>
      </c>
      <c r="P536">
        <f>SalesData[[#This Row],[Gross_sales]]*(1-SalesData[[#This Row],[Discount]])</f>
        <v>38850.199999999997</v>
      </c>
      <c r="Q536" s="2">
        <f>SalesData[[#This Row],[Sales_amount]]-SalesData[[#This Row],[Total_Cost]]</f>
        <v>-1047.8000000000029</v>
      </c>
      <c r="R536" s="2">
        <f>SalesData[[#This Row],[Profit]]/SalesData[[#This Row],[Sales_amount]]</f>
        <v>-2.6970260127361069E-2</v>
      </c>
      <c r="S536" s="2">
        <f>SalesData[[#This Row],[Unit_Price]]-SalesData[[#This Row],[Unit_Cost]]</f>
        <v>71.599999999999909</v>
      </c>
      <c r="T536" s="10">
        <f>SalesData[[#This Row],[Unit_Margin]]/SalesData[[#This Row],[Unit_Price]]</f>
        <v>3.4647955480280622E-2</v>
      </c>
      <c r="U536" s="2" t="str">
        <f>IF(SalesData[[#This Row],[Unit_Margin]]&lt;0, "Negative margin", "Positive margin")</f>
        <v>Positive margin</v>
      </c>
      <c r="V536" s="2" t="str">
        <f>IF(SalesData[[#This Row],[Profit]]&lt;0, "Loss", "Profit")</f>
        <v>Loss</v>
      </c>
      <c r="W536" s="2">
        <f>SalesData[[#This Row],[Unit_Price]]*(1-SalesData[[#This Row],[Discount]])</f>
        <v>1942.51</v>
      </c>
      <c r="X536" s="2">
        <f>SalesData[[#This Row],[Effective_Unit_Price]]-SalesData[[#This Row],[Unit_Cost]]</f>
        <v>-52.3900000000001</v>
      </c>
      <c r="Y536" s="2" t="str">
        <f>IF(SalesData[[#This Row],[Effective_Unit_Margin]]&lt;0,"Loss per Unit","Positive per Unit")</f>
        <v>Loss per Unit</v>
      </c>
    </row>
    <row r="537" spans="1:25" x14ac:dyDescent="0.3">
      <c r="A537">
        <v>1001</v>
      </c>
      <c r="B537" s="1">
        <v>45043</v>
      </c>
      <c r="C537" t="s">
        <v>37</v>
      </c>
      <c r="D537" t="s">
        <v>33</v>
      </c>
      <c r="E537">
        <v>25</v>
      </c>
      <c r="F537" t="s">
        <v>34</v>
      </c>
      <c r="G537">
        <v>1330.62</v>
      </c>
      <c r="H537">
        <v>1543.6899999999901</v>
      </c>
      <c r="I537" t="s">
        <v>29</v>
      </c>
      <c r="J537" s="2">
        <v>0.27</v>
      </c>
      <c r="K537" t="s">
        <v>30</v>
      </c>
      <c r="L537" t="s">
        <v>18</v>
      </c>
      <c r="M537" t="s">
        <v>47</v>
      </c>
      <c r="N537">
        <f>SalesData[[#This Row],[Quantity_Sold]]*SalesData[[#This Row],[Unit_Cost]]</f>
        <v>33265.5</v>
      </c>
      <c r="O537">
        <f>SalesData[[#This Row],[Quantity_Sold]]*SalesData[[#This Row],[Unit_Price]]</f>
        <v>38592.249999999753</v>
      </c>
      <c r="P537">
        <f>SalesData[[#This Row],[Gross_sales]]*(1-SalesData[[#This Row],[Discount]])</f>
        <v>28172.342499999817</v>
      </c>
      <c r="Q537" s="2">
        <f>SalesData[[#This Row],[Sales_amount]]-SalesData[[#This Row],[Total_Cost]]</f>
        <v>-5093.1575000001831</v>
      </c>
      <c r="R537" s="2">
        <f>SalesData[[#This Row],[Profit]]/SalesData[[#This Row],[Sales_amount]]</f>
        <v>-0.18078572983415264</v>
      </c>
      <c r="S537" s="2">
        <f>SalesData[[#This Row],[Unit_Price]]-SalesData[[#This Row],[Unit_Cost]]</f>
        <v>213.06999999999016</v>
      </c>
      <c r="T537" s="10">
        <f>SalesData[[#This Row],[Unit_Margin]]/SalesData[[#This Row],[Unit_Price]]</f>
        <v>0.1380264172210687</v>
      </c>
      <c r="U537" s="2" t="str">
        <f>IF(SalesData[[#This Row],[Unit_Margin]]&lt;0, "Negative margin", "Positive margin")</f>
        <v>Positive margin</v>
      </c>
      <c r="V537" s="2" t="str">
        <f>IF(SalesData[[#This Row],[Profit]]&lt;0, "Loss", "Profit")</f>
        <v>Loss</v>
      </c>
      <c r="W537" s="2">
        <f>SalesData[[#This Row],[Unit_Price]]*(1-SalesData[[#This Row],[Discount]])</f>
        <v>1126.8936999999928</v>
      </c>
      <c r="X537" s="2">
        <f>SalesData[[#This Row],[Effective_Unit_Price]]-SalesData[[#This Row],[Unit_Cost]]</f>
        <v>-203.72630000000709</v>
      </c>
      <c r="Y537" s="2" t="str">
        <f>IF(SalesData[[#This Row],[Effective_Unit_Margin]]&lt;0,"Loss per Unit","Positive per Unit")</f>
        <v>Loss per Unit</v>
      </c>
    </row>
    <row r="538" spans="1:25" x14ac:dyDescent="0.3">
      <c r="A538">
        <v>1069</v>
      </c>
      <c r="B538" s="1">
        <v>44933</v>
      </c>
      <c r="C538" t="s">
        <v>41</v>
      </c>
      <c r="D538" t="s">
        <v>33</v>
      </c>
      <c r="E538">
        <v>6</v>
      </c>
      <c r="F538" t="s">
        <v>25</v>
      </c>
      <c r="G538">
        <v>1768.6</v>
      </c>
      <c r="H538">
        <v>2152.1999999999998</v>
      </c>
      <c r="I538" t="s">
        <v>29</v>
      </c>
      <c r="J538" s="2">
        <v>0.25</v>
      </c>
      <c r="K538" t="s">
        <v>26</v>
      </c>
      <c r="L538" t="s">
        <v>21</v>
      </c>
      <c r="M538" t="s">
        <v>51</v>
      </c>
      <c r="N538">
        <f>SalesData[[#This Row],[Quantity_Sold]]*SalesData[[#This Row],[Unit_Cost]]</f>
        <v>10611.599999999999</v>
      </c>
      <c r="O538">
        <f>SalesData[[#This Row],[Quantity_Sold]]*SalesData[[#This Row],[Unit_Price]]</f>
        <v>12913.199999999999</v>
      </c>
      <c r="P538">
        <f>SalesData[[#This Row],[Gross_sales]]*(1-SalesData[[#This Row],[Discount]])</f>
        <v>9684.9</v>
      </c>
      <c r="Q538" s="2">
        <f>SalesData[[#This Row],[Sales_amount]]-SalesData[[#This Row],[Total_Cost]]</f>
        <v>-926.69999999999891</v>
      </c>
      <c r="R538" s="2">
        <f>SalesData[[#This Row],[Profit]]/SalesData[[#This Row],[Sales_amount]]</f>
        <v>-9.5685035467583446E-2</v>
      </c>
      <c r="S538" s="2">
        <f>SalesData[[#This Row],[Unit_Price]]-SalesData[[#This Row],[Unit_Cost]]</f>
        <v>383.59999999999991</v>
      </c>
      <c r="T538" s="10">
        <f>SalesData[[#This Row],[Unit_Margin]]/SalesData[[#This Row],[Unit_Price]]</f>
        <v>0.1782362233993123</v>
      </c>
      <c r="U538" s="2" t="str">
        <f>IF(SalesData[[#This Row],[Unit_Margin]]&lt;0, "Negative margin", "Positive margin")</f>
        <v>Positive margin</v>
      </c>
      <c r="V538" s="2" t="str">
        <f>IF(SalesData[[#This Row],[Profit]]&lt;0, "Loss", "Profit")</f>
        <v>Loss</v>
      </c>
      <c r="W538" s="2">
        <f>SalesData[[#This Row],[Unit_Price]]*(1-SalesData[[#This Row],[Discount]])</f>
        <v>1614.1499999999999</v>
      </c>
      <c r="X538" s="2">
        <f>SalesData[[#This Row],[Effective_Unit_Price]]-SalesData[[#This Row],[Unit_Cost]]</f>
        <v>-154.45000000000005</v>
      </c>
      <c r="Y538" s="2" t="str">
        <f>IF(SalesData[[#This Row],[Effective_Unit_Margin]]&lt;0,"Loss per Unit","Positive per Unit")</f>
        <v>Loss per Unit</v>
      </c>
    </row>
    <row r="539" spans="1:25" x14ac:dyDescent="0.3">
      <c r="A539">
        <v>1004</v>
      </c>
      <c r="B539" s="1">
        <v>45063</v>
      </c>
      <c r="C539" t="s">
        <v>41</v>
      </c>
      <c r="D539" t="s">
        <v>14</v>
      </c>
      <c r="E539">
        <v>36</v>
      </c>
      <c r="F539" t="s">
        <v>25</v>
      </c>
      <c r="G539">
        <v>3981.2</v>
      </c>
      <c r="H539">
        <v>4432.3499999999904</v>
      </c>
      <c r="I539" t="s">
        <v>29</v>
      </c>
      <c r="J539" s="2">
        <v>0.14000000000000001</v>
      </c>
      <c r="K539" t="s">
        <v>17</v>
      </c>
      <c r="L539" t="s">
        <v>18</v>
      </c>
      <c r="M539" t="s">
        <v>48</v>
      </c>
      <c r="N539">
        <f>SalesData[[#This Row],[Quantity_Sold]]*SalesData[[#This Row],[Unit_Cost]]</f>
        <v>143323.19999999998</v>
      </c>
      <c r="O539">
        <f>SalesData[[#This Row],[Quantity_Sold]]*SalesData[[#This Row],[Unit_Price]]</f>
        <v>159564.59999999966</v>
      </c>
      <c r="P539">
        <f>SalesData[[#This Row],[Gross_sales]]*(1-SalesData[[#This Row],[Discount]])</f>
        <v>137225.55599999969</v>
      </c>
      <c r="Q539" s="2">
        <f>SalesData[[#This Row],[Sales_amount]]-SalesData[[#This Row],[Total_Cost]]</f>
        <v>-6097.6440000002913</v>
      </c>
      <c r="R539" s="2">
        <f>SalesData[[#This Row],[Profit]]/SalesData[[#This Row],[Sales_amount]]</f>
        <v>-4.4435192523470668E-2</v>
      </c>
      <c r="S539" s="2">
        <f>SalesData[[#This Row],[Unit_Price]]-SalesData[[#This Row],[Unit_Cost]]</f>
        <v>451.14999999999054</v>
      </c>
      <c r="T539" s="10">
        <f>SalesData[[#This Row],[Unit_Margin]]/SalesData[[#This Row],[Unit_Price]]</f>
        <v>0.10178573442981523</v>
      </c>
      <c r="U539" s="2" t="str">
        <f>IF(SalesData[[#This Row],[Unit_Margin]]&lt;0, "Negative margin", "Positive margin")</f>
        <v>Positive margin</v>
      </c>
      <c r="V539" s="2" t="str">
        <f>IF(SalesData[[#This Row],[Profit]]&lt;0, "Loss", "Profit")</f>
        <v>Loss</v>
      </c>
      <c r="W539" s="2">
        <f>SalesData[[#This Row],[Unit_Price]]*(1-SalesData[[#This Row],[Discount]])</f>
        <v>3811.8209999999917</v>
      </c>
      <c r="X539" s="2">
        <f>SalesData[[#This Row],[Effective_Unit_Price]]-SalesData[[#This Row],[Unit_Cost]]</f>
        <v>-169.37900000000809</v>
      </c>
      <c r="Y539" s="2" t="str">
        <f>IF(SalesData[[#This Row],[Effective_Unit_Margin]]&lt;0,"Loss per Unit","Positive per Unit")</f>
        <v>Loss per Unit</v>
      </c>
    </row>
    <row r="540" spans="1:25" x14ac:dyDescent="0.3">
      <c r="A540">
        <v>1016</v>
      </c>
      <c r="B540" s="1">
        <v>45102</v>
      </c>
      <c r="C540" t="s">
        <v>41</v>
      </c>
      <c r="D540" t="s">
        <v>20</v>
      </c>
      <c r="E540">
        <v>2</v>
      </c>
      <c r="F540" t="s">
        <v>34</v>
      </c>
      <c r="G540">
        <v>3144.82</v>
      </c>
      <c r="H540">
        <v>3480.58</v>
      </c>
      <c r="I540" t="s">
        <v>16</v>
      </c>
      <c r="J540" s="2">
        <v>0.12</v>
      </c>
      <c r="K540" t="s">
        <v>17</v>
      </c>
      <c r="L540" t="s">
        <v>21</v>
      </c>
      <c r="M540" t="s">
        <v>50</v>
      </c>
      <c r="N540">
        <f>SalesData[[#This Row],[Quantity_Sold]]*SalesData[[#This Row],[Unit_Cost]]</f>
        <v>6289.64</v>
      </c>
      <c r="O540">
        <f>SalesData[[#This Row],[Quantity_Sold]]*SalesData[[#This Row],[Unit_Price]]</f>
        <v>6961.16</v>
      </c>
      <c r="P540">
        <f>SalesData[[#This Row],[Gross_sales]]*(1-SalesData[[#This Row],[Discount]])</f>
        <v>6125.8207999999995</v>
      </c>
      <c r="Q540" s="2">
        <f>SalesData[[#This Row],[Sales_amount]]-SalesData[[#This Row],[Total_Cost]]</f>
        <v>-163.81920000000082</v>
      </c>
      <c r="R540" s="2">
        <f>SalesData[[#This Row],[Profit]]/SalesData[[#This Row],[Sales_amount]]</f>
        <v>-2.6742408135739269E-2</v>
      </c>
      <c r="S540" s="2">
        <f>SalesData[[#This Row],[Unit_Price]]-SalesData[[#This Row],[Unit_Cost]]</f>
        <v>335.75999999999976</v>
      </c>
      <c r="T540" s="10">
        <f>SalesData[[#This Row],[Unit_Margin]]/SalesData[[#This Row],[Unit_Price]]</f>
        <v>9.6466680840549504E-2</v>
      </c>
      <c r="U540" s="2" t="str">
        <f>IF(SalesData[[#This Row],[Unit_Margin]]&lt;0, "Negative margin", "Positive margin")</f>
        <v>Positive margin</v>
      </c>
      <c r="V540" s="2" t="str">
        <f>IF(SalesData[[#This Row],[Profit]]&lt;0, "Loss", "Profit")</f>
        <v>Loss</v>
      </c>
      <c r="W540" s="2">
        <f>SalesData[[#This Row],[Unit_Price]]*(1-SalesData[[#This Row],[Discount]])</f>
        <v>3062.9103999999998</v>
      </c>
      <c r="X540" s="2">
        <f>SalesData[[#This Row],[Effective_Unit_Price]]-SalesData[[#This Row],[Unit_Cost]]</f>
        <v>-81.90960000000041</v>
      </c>
      <c r="Y540" s="2" t="str">
        <f>IF(SalesData[[#This Row],[Effective_Unit_Margin]]&lt;0,"Loss per Unit","Positive per Unit")</f>
        <v>Loss per Unit</v>
      </c>
    </row>
    <row r="541" spans="1:25" x14ac:dyDescent="0.3">
      <c r="A541">
        <v>1024</v>
      </c>
      <c r="B541" s="1">
        <v>45254</v>
      </c>
      <c r="C541" t="s">
        <v>41</v>
      </c>
      <c r="D541" t="s">
        <v>24</v>
      </c>
      <c r="E541">
        <v>22</v>
      </c>
      <c r="F541" t="s">
        <v>25</v>
      </c>
      <c r="G541">
        <v>4691.32</v>
      </c>
      <c r="H541">
        <v>4752.88</v>
      </c>
      <c r="I541" t="s">
        <v>16</v>
      </c>
      <c r="J541" s="2">
        <v>7.0000000000000007E-2</v>
      </c>
      <c r="K541" t="s">
        <v>26</v>
      </c>
      <c r="L541" t="s">
        <v>21</v>
      </c>
      <c r="M541" t="s">
        <v>42</v>
      </c>
      <c r="N541">
        <f>SalesData[[#This Row],[Quantity_Sold]]*SalesData[[#This Row],[Unit_Cost]]</f>
        <v>103209.04</v>
      </c>
      <c r="O541">
        <f>SalesData[[#This Row],[Quantity_Sold]]*SalesData[[#This Row],[Unit_Price]]</f>
        <v>104563.36</v>
      </c>
      <c r="P541">
        <f>SalesData[[#This Row],[Gross_sales]]*(1-SalesData[[#This Row],[Discount]])</f>
        <v>97243.924799999993</v>
      </c>
      <c r="Q541" s="2">
        <f>SalesData[[#This Row],[Sales_amount]]-SalesData[[#This Row],[Total_Cost]]</f>
        <v>-5965.1152000000002</v>
      </c>
      <c r="R541" s="2">
        <f>SalesData[[#This Row],[Profit]]/SalesData[[#This Row],[Sales_amount]]</f>
        <v>-6.134177751739614E-2</v>
      </c>
      <c r="S541" s="2">
        <f>SalesData[[#This Row],[Unit_Price]]-SalesData[[#This Row],[Unit_Cost]]</f>
        <v>61.5600000000004</v>
      </c>
      <c r="T541" s="10">
        <f>SalesData[[#This Row],[Unit_Margin]]/SalesData[[#This Row],[Unit_Price]]</f>
        <v>1.2952146908821682E-2</v>
      </c>
      <c r="U541" s="2" t="str">
        <f>IF(SalesData[[#This Row],[Unit_Margin]]&lt;0, "Negative margin", "Positive margin")</f>
        <v>Positive margin</v>
      </c>
      <c r="V541" s="2" t="str">
        <f>IF(SalesData[[#This Row],[Profit]]&lt;0, "Loss", "Profit")</f>
        <v>Loss</v>
      </c>
      <c r="W541" s="2">
        <f>SalesData[[#This Row],[Unit_Price]]*(1-SalesData[[#This Row],[Discount]])</f>
        <v>4420.1783999999998</v>
      </c>
      <c r="X541" s="2">
        <f>SalesData[[#This Row],[Effective_Unit_Price]]-SalesData[[#This Row],[Unit_Cost]]</f>
        <v>-271.14159999999993</v>
      </c>
      <c r="Y541" s="2" t="str">
        <f>IF(SalesData[[#This Row],[Effective_Unit_Margin]]&lt;0,"Loss per Unit","Positive per Unit")</f>
        <v>Loss per Unit</v>
      </c>
    </row>
    <row r="542" spans="1:25" x14ac:dyDescent="0.3">
      <c r="A542">
        <v>1080</v>
      </c>
      <c r="B542" s="1">
        <v>45241</v>
      </c>
      <c r="C542" t="s">
        <v>41</v>
      </c>
      <c r="D542" t="s">
        <v>33</v>
      </c>
      <c r="E542">
        <v>32</v>
      </c>
      <c r="F542" t="s">
        <v>34</v>
      </c>
      <c r="G542">
        <v>3414.54</v>
      </c>
      <c r="H542">
        <v>3753.83</v>
      </c>
      <c r="I542" t="s">
        <v>29</v>
      </c>
      <c r="J542" s="2">
        <v>0.22</v>
      </c>
      <c r="K542" t="s">
        <v>17</v>
      </c>
      <c r="L542" t="s">
        <v>21</v>
      </c>
      <c r="M542" t="s">
        <v>51</v>
      </c>
      <c r="N542">
        <f>SalesData[[#This Row],[Quantity_Sold]]*SalesData[[#This Row],[Unit_Cost]]</f>
        <v>109265.28</v>
      </c>
      <c r="O542">
        <f>SalesData[[#This Row],[Quantity_Sold]]*SalesData[[#This Row],[Unit_Price]]</f>
        <v>120122.56</v>
      </c>
      <c r="P542">
        <f>SalesData[[#This Row],[Gross_sales]]*(1-SalesData[[#This Row],[Discount]])</f>
        <v>93695.596799999999</v>
      </c>
      <c r="Q542" s="2">
        <f>SalesData[[#This Row],[Sales_amount]]-SalesData[[#This Row],[Total_Cost]]</f>
        <v>-15569.683199999999</v>
      </c>
      <c r="R542" s="2">
        <f>SalesData[[#This Row],[Profit]]/SalesData[[#This Row],[Sales_amount]]</f>
        <v>-0.16617305115452341</v>
      </c>
      <c r="S542" s="2">
        <f>SalesData[[#This Row],[Unit_Price]]-SalesData[[#This Row],[Unit_Cost]]</f>
        <v>339.28999999999996</v>
      </c>
      <c r="T542" s="10">
        <f>SalesData[[#This Row],[Unit_Margin]]/SalesData[[#This Row],[Unit_Price]]</f>
        <v>9.0385020099471733E-2</v>
      </c>
      <c r="U542" s="2" t="str">
        <f>IF(SalesData[[#This Row],[Unit_Margin]]&lt;0, "Negative margin", "Positive margin")</f>
        <v>Positive margin</v>
      </c>
      <c r="V542" s="2" t="str">
        <f>IF(SalesData[[#This Row],[Profit]]&lt;0, "Loss", "Profit")</f>
        <v>Loss</v>
      </c>
      <c r="W542" s="2">
        <f>SalesData[[#This Row],[Unit_Price]]*(1-SalesData[[#This Row],[Discount]])</f>
        <v>2927.9874</v>
      </c>
      <c r="X542" s="2">
        <f>SalesData[[#This Row],[Effective_Unit_Price]]-SalesData[[#This Row],[Unit_Cost]]</f>
        <v>-486.55259999999998</v>
      </c>
      <c r="Y542" s="2" t="str">
        <f>IF(SalesData[[#This Row],[Effective_Unit_Margin]]&lt;0,"Loss per Unit","Positive per Unit")</f>
        <v>Loss per Unit</v>
      </c>
    </row>
    <row r="543" spans="1:25" x14ac:dyDescent="0.3">
      <c r="A543">
        <v>1002</v>
      </c>
      <c r="B543" s="1">
        <v>45141</v>
      </c>
      <c r="C543" t="s">
        <v>41</v>
      </c>
      <c r="D543" t="s">
        <v>24</v>
      </c>
      <c r="E543">
        <v>16</v>
      </c>
      <c r="F543" t="s">
        <v>15</v>
      </c>
      <c r="G543">
        <v>2872.4</v>
      </c>
      <c r="H543">
        <v>3193.76</v>
      </c>
      <c r="I543" t="s">
        <v>16</v>
      </c>
      <c r="J543" s="2">
        <v>0.04</v>
      </c>
      <c r="K543" t="s">
        <v>30</v>
      </c>
      <c r="L543" t="s">
        <v>18</v>
      </c>
      <c r="M543" t="s">
        <v>42</v>
      </c>
      <c r="N543">
        <f>SalesData[[#This Row],[Quantity_Sold]]*SalesData[[#This Row],[Unit_Cost]]</f>
        <v>45958.400000000001</v>
      </c>
      <c r="O543">
        <f>SalesData[[#This Row],[Quantity_Sold]]*SalesData[[#This Row],[Unit_Price]]</f>
        <v>51100.160000000003</v>
      </c>
      <c r="P543">
        <f>SalesData[[#This Row],[Gross_sales]]*(1-SalesData[[#This Row],[Discount]])</f>
        <v>49056.153600000005</v>
      </c>
      <c r="Q543" s="2">
        <f>SalesData[[#This Row],[Sales_amount]]-SalesData[[#This Row],[Total_Cost]]</f>
        <v>3097.7536000000036</v>
      </c>
      <c r="R543" s="2">
        <f>SalesData[[#This Row],[Profit]]/SalesData[[#This Row],[Sales_amount]]</f>
        <v>6.3147095168912787E-2</v>
      </c>
      <c r="S543" s="2">
        <f>SalesData[[#This Row],[Unit_Price]]-SalesData[[#This Row],[Unit_Cost]]</f>
        <v>321.36000000000013</v>
      </c>
      <c r="T543" s="10">
        <f>SalesData[[#This Row],[Unit_Margin]]/SalesData[[#This Row],[Unit_Price]]</f>
        <v>0.10062121136215624</v>
      </c>
      <c r="U543" s="2" t="str">
        <f>IF(SalesData[[#This Row],[Unit_Margin]]&lt;0, "Negative margin", "Positive margin")</f>
        <v>Positive margin</v>
      </c>
      <c r="V543" s="2" t="str">
        <f>IF(SalesData[[#This Row],[Profit]]&lt;0, "Loss", "Profit")</f>
        <v>Profit</v>
      </c>
      <c r="W543" s="2">
        <f>SalesData[[#This Row],[Unit_Price]]*(1-SalesData[[#This Row],[Discount]])</f>
        <v>3066.0096000000003</v>
      </c>
      <c r="X543" s="2">
        <f>SalesData[[#This Row],[Effective_Unit_Price]]-SalesData[[#This Row],[Unit_Cost]]</f>
        <v>193.60960000000023</v>
      </c>
      <c r="Y543" s="2" t="str">
        <f>IF(SalesData[[#This Row],[Effective_Unit_Margin]]&lt;0,"Loss per Unit","Positive per Unit")</f>
        <v>Positive per Unit</v>
      </c>
    </row>
    <row r="544" spans="1:25" x14ac:dyDescent="0.3">
      <c r="A544">
        <v>1092</v>
      </c>
      <c r="B544" s="1">
        <v>45008</v>
      </c>
      <c r="C544" t="s">
        <v>13</v>
      </c>
      <c r="D544" t="s">
        <v>24</v>
      </c>
      <c r="E544">
        <v>18</v>
      </c>
      <c r="F544" t="s">
        <v>25</v>
      </c>
      <c r="G544">
        <v>3070.47</v>
      </c>
      <c r="H544">
        <v>3475.29</v>
      </c>
      <c r="I544" t="s">
        <v>16</v>
      </c>
      <c r="J544" s="2">
        <v>0.2</v>
      </c>
      <c r="K544" t="s">
        <v>26</v>
      </c>
      <c r="L544" t="s">
        <v>18</v>
      </c>
      <c r="M544" t="s">
        <v>31</v>
      </c>
      <c r="N544">
        <f>SalesData[[#This Row],[Quantity_Sold]]*SalesData[[#This Row],[Unit_Cost]]</f>
        <v>55268.46</v>
      </c>
      <c r="O544">
        <f>SalesData[[#This Row],[Quantity_Sold]]*SalesData[[#This Row],[Unit_Price]]</f>
        <v>62555.22</v>
      </c>
      <c r="P544">
        <f>SalesData[[#This Row],[Gross_sales]]*(1-SalesData[[#This Row],[Discount]])</f>
        <v>50044.176000000007</v>
      </c>
      <c r="Q544" s="2">
        <f>SalesData[[#This Row],[Sales_amount]]-SalesData[[#This Row],[Total_Cost]]</f>
        <v>-5224.2839999999924</v>
      </c>
      <c r="R544" s="2">
        <f>SalesData[[#This Row],[Profit]]/SalesData[[#This Row],[Sales_amount]]</f>
        <v>-0.10439344630232281</v>
      </c>
      <c r="S544" s="2">
        <f>SalesData[[#This Row],[Unit_Price]]-SalesData[[#This Row],[Unit_Cost]]</f>
        <v>404.82000000000016</v>
      </c>
      <c r="T544" s="10">
        <f>SalesData[[#This Row],[Unit_Margin]]/SalesData[[#This Row],[Unit_Price]]</f>
        <v>0.11648524295814167</v>
      </c>
      <c r="U544" s="2" t="str">
        <f>IF(SalesData[[#This Row],[Unit_Margin]]&lt;0, "Negative margin", "Positive margin")</f>
        <v>Positive margin</v>
      </c>
      <c r="V544" s="2" t="str">
        <f>IF(SalesData[[#This Row],[Profit]]&lt;0, "Loss", "Profit")</f>
        <v>Loss</v>
      </c>
      <c r="W544" s="2">
        <f>SalesData[[#This Row],[Unit_Price]]*(1-SalesData[[#This Row],[Discount]])</f>
        <v>2780.232</v>
      </c>
      <c r="X544" s="2">
        <f>SalesData[[#This Row],[Effective_Unit_Price]]-SalesData[[#This Row],[Unit_Cost]]</f>
        <v>-290.23799999999983</v>
      </c>
      <c r="Y544" s="2" t="str">
        <f>IF(SalesData[[#This Row],[Effective_Unit_Margin]]&lt;0,"Loss per Unit","Positive per Unit")</f>
        <v>Loss per Unit</v>
      </c>
    </row>
    <row r="545" spans="1:25" x14ac:dyDescent="0.3">
      <c r="A545">
        <v>1032</v>
      </c>
      <c r="B545" s="1">
        <v>45149</v>
      </c>
      <c r="C545" t="s">
        <v>23</v>
      </c>
      <c r="D545" t="s">
        <v>33</v>
      </c>
      <c r="E545">
        <v>5</v>
      </c>
      <c r="F545" t="s">
        <v>25</v>
      </c>
      <c r="G545">
        <v>4714.74</v>
      </c>
      <c r="H545">
        <v>5129.1099999999997</v>
      </c>
      <c r="I545" t="s">
        <v>29</v>
      </c>
      <c r="J545" s="2">
        <v>0.25</v>
      </c>
      <c r="K545" t="s">
        <v>26</v>
      </c>
      <c r="L545" t="s">
        <v>18</v>
      </c>
      <c r="M545" t="s">
        <v>49</v>
      </c>
      <c r="N545">
        <f>SalesData[[#This Row],[Quantity_Sold]]*SalesData[[#This Row],[Unit_Cost]]</f>
        <v>23573.699999999997</v>
      </c>
      <c r="O545">
        <f>SalesData[[#This Row],[Quantity_Sold]]*SalesData[[#This Row],[Unit_Price]]</f>
        <v>25645.55</v>
      </c>
      <c r="P545">
        <f>SalesData[[#This Row],[Gross_sales]]*(1-SalesData[[#This Row],[Discount]])</f>
        <v>19234.162499999999</v>
      </c>
      <c r="Q545" s="2">
        <f>SalesData[[#This Row],[Sales_amount]]-SalesData[[#This Row],[Total_Cost]]</f>
        <v>-4339.5374999999985</v>
      </c>
      <c r="R545" s="2">
        <f>SalesData[[#This Row],[Profit]]/SalesData[[#This Row],[Sales_amount]]</f>
        <v>-0.22561614003209127</v>
      </c>
      <c r="S545" s="2">
        <f>SalesData[[#This Row],[Unit_Price]]-SalesData[[#This Row],[Unit_Cost]]</f>
        <v>414.36999999999989</v>
      </c>
      <c r="T545" s="10">
        <f>SalesData[[#This Row],[Unit_Margin]]/SalesData[[#This Row],[Unit_Price]]</f>
        <v>8.0787894975931487E-2</v>
      </c>
      <c r="U545" s="2" t="str">
        <f>IF(SalesData[[#This Row],[Unit_Margin]]&lt;0, "Negative margin", "Positive margin")</f>
        <v>Positive margin</v>
      </c>
      <c r="V545" s="2" t="str">
        <f>IF(SalesData[[#This Row],[Profit]]&lt;0, "Loss", "Profit")</f>
        <v>Loss</v>
      </c>
      <c r="W545" s="2">
        <f>SalesData[[#This Row],[Unit_Price]]*(1-SalesData[[#This Row],[Discount]])</f>
        <v>3846.8324999999995</v>
      </c>
      <c r="X545" s="2">
        <f>SalesData[[#This Row],[Effective_Unit_Price]]-SalesData[[#This Row],[Unit_Cost]]</f>
        <v>-867.90750000000025</v>
      </c>
      <c r="Y545" s="2" t="str">
        <f>IF(SalesData[[#This Row],[Effective_Unit_Margin]]&lt;0,"Loss per Unit","Positive per Unit")</f>
        <v>Loss per Unit</v>
      </c>
    </row>
    <row r="546" spans="1:25" x14ac:dyDescent="0.3">
      <c r="A546">
        <v>1091</v>
      </c>
      <c r="B546" s="1">
        <v>45029</v>
      </c>
      <c r="C546" t="s">
        <v>37</v>
      </c>
      <c r="D546" t="s">
        <v>20</v>
      </c>
      <c r="E546">
        <v>36</v>
      </c>
      <c r="F546" t="s">
        <v>34</v>
      </c>
      <c r="G546">
        <v>3951.59</v>
      </c>
      <c r="H546">
        <v>4387.01</v>
      </c>
      <c r="I546" t="s">
        <v>29</v>
      </c>
      <c r="J546" s="2">
        <v>7.0000000000000007E-2</v>
      </c>
      <c r="K546" t="s">
        <v>26</v>
      </c>
      <c r="L546" t="s">
        <v>21</v>
      </c>
      <c r="M546" t="s">
        <v>40</v>
      </c>
      <c r="N546">
        <f>SalesData[[#This Row],[Quantity_Sold]]*SalesData[[#This Row],[Unit_Cost]]</f>
        <v>142257.24</v>
      </c>
      <c r="O546">
        <f>SalesData[[#This Row],[Quantity_Sold]]*SalesData[[#This Row],[Unit_Price]]</f>
        <v>157932.36000000002</v>
      </c>
      <c r="P546">
        <f>SalesData[[#This Row],[Gross_sales]]*(1-SalesData[[#This Row],[Discount]])</f>
        <v>146877.09479999999</v>
      </c>
      <c r="Q546" s="2">
        <f>SalesData[[#This Row],[Sales_amount]]-SalesData[[#This Row],[Total_Cost]]</f>
        <v>4619.854800000001</v>
      </c>
      <c r="R546" s="2">
        <f>SalesData[[#This Row],[Profit]]/SalesData[[#This Row],[Sales_amount]]</f>
        <v>3.1453881943204129E-2</v>
      </c>
      <c r="S546" s="2">
        <f>SalesData[[#This Row],[Unit_Price]]-SalesData[[#This Row],[Unit_Cost]]</f>
        <v>435.42000000000007</v>
      </c>
      <c r="T546" s="10">
        <f>SalesData[[#This Row],[Unit_Margin]]/SalesData[[#This Row],[Unit_Price]]</f>
        <v>9.9252110207179847E-2</v>
      </c>
      <c r="U546" s="2" t="str">
        <f>IF(SalesData[[#This Row],[Unit_Margin]]&lt;0, "Negative margin", "Positive margin")</f>
        <v>Positive margin</v>
      </c>
      <c r="V546" s="2" t="str">
        <f>IF(SalesData[[#This Row],[Profit]]&lt;0, "Loss", "Profit")</f>
        <v>Profit</v>
      </c>
      <c r="W546" s="2">
        <f>SalesData[[#This Row],[Unit_Price]]*(1-SalesData[[#This Row],[Discount]])</f>
        <v>4079.9193</v>
      </c>
      <c r="X546" s="2">
        <f>SalesData[[#This Row],[Effective_Unit_Price]]-SalesData[[#This Row],[Unit_Cost]]</f>
        <v>128.32929999999988</v>
      </c>
      <c r="Y546" s="2" t="str">
        <f>IF(SalesData[[#This Row],[Effective_Unit_Margin]]&lt;0,"Loss per Unit","Positive per Unit")</f>
        <v>Positive per Unit</v>
      </c>
    </row>
    <row r="547" spans="1:25" x14ac:dyDescent="0.3">
      <c r="A547">
        <v>1084</v>
      </c>
      <c r="B547" s="1">
        <v>45199</v>
      </c>
      <c r="C547" t="s">
        <v>41</v>
      </c>
      <c r="D547" t="s">
        <v>33</v>
      </c>
      <c r="E547">
        <v>30</v>
      </c>
      <c r="F547" t="s">
        <v>25</v>
      </c>
      <c r="G547">
        <v>169</v>
      </c>
      <c r="H547">
        <v>381.91999999999899</v>
      </c>
      <c r="I547" t="s">
        <v>16</v>
      </c>
      <c r="J547" s="2">
        <v>0.26</v>
      </c>
      <c r="K547" t="s">
        <v>17</v>
      </c>
      <c r="L547" t="s">
        <v>21</v>
      </c>
      <c r="M547" t="s">
        <v>51</v>
      </c>
      <c r="N547">
        <f>SalesData[[#This Row],[Quantity_Sold]]*SalesData[[#This Row],[Unit_Cost]]</f>
        <v>5070</v>
      </c>
      <c r="O547">
        <f>SalesData[[#This Row],[Quantity_Sold]]*SalesData[[#This Row],[Unit_Price]]</f>
        <v>11457.599999999969</v>
      </c>
      <c r="P547">
        <f>SalesData[[#This Row],[Gross_sales]]*(1-SalesData[[#This Row],[Discount]])</f>
        <v>8478.623999999978</v>
      </c>
      <c r="Q547" s="2">
        <f>SalesData[[#This Row],[Sales_amount]]-SalesData[[#This Row],[Total_Cost]]</f>
        <v>3408.623999999978</v>
      </c>
      <c r="R547" s="2">
        <f>SalesData[[#This Row],[Profit]]/SalesData[[#This Row],[Sales_amount]]</f>
        <v>0.40202561170302953</v>
      </c>
      <c r="S547" s="2">
        <f>SalesData[[#This Row],[Unit_Price]]-SalesData[[#This Row],[Unit_Cost]]</f>
        <v>212.91999999999899</v>
      </c>
      <c r="T547" s="10">
        <f>SalesData[[#This Row],[Unit_Margin]]/SalesData[[#This Row],[Unit_Price]]</f>
        <v>0.55749895266024185</v>
      </c>
      <c r="U547" s="2" t="str">
        <f>IF(SalesData[[#This Row],[Unit_Margin]]&lt;0, "Negative margin", "Positive margin")</f>
        <v>Positive margin</v>
      </c>
      <c r="V547" s="2" t="str">
        <f>IF(SalesData[[#This Row],[Profit]]&lt;0, "Loss", "Profit")</f>
        <v>Profit</v>
      </c>
      <c r="W547" s="2">
        <f>SalesData[[#This Row],[Unit_Price]]*(1-SalesData[[#This Row],[Discount]])</f>
        <v>282.62079999999924</v>
      </c>
      <c r="X547" s="2">
        <f>SalesData[[#This Row],[Effective_Unit_Price]]-SalesData[[#This Row],[Unit_Cost]]</f>
        <v>113.62079999999924</v>
      </c>
      <c r="Y547" s="2" t="str">
        <f>IF(SalesData[[#This Row],[Effective_Unit_Margin]]&lt;0,"Loss per Unit","Positive per Unit")</f>
        <v>Positive per Unit</v>
      </c>
    </row>
    <row r="548" spans="1:25" x14ac:dyDescent="0.3">
      <c r="A548">
        <v>1024</v>
      </c>
      <c r="B548" s="1">
        <v>44940</v>
      </c>
      <c r="C548" t="s">
        <v>13</v>
      </c>
      <c r="D548" t="s">
        <v>24</v>
      </c>
      <c r="E548">
        <v>45</v>
      </c>
      <c r="F548" t="s">
        <v>28</v>
      </c>
      <c r="G548">
        <v>2693.99</v>
      </c>
      <c r="H548">
        <v>3045.9399999999901</v>
      </c>
      <c r="I548" t="s">
        <v>29</v>
      </c>
      <c r="J548" s="2">
        <v>0.01</v>
      </c>
      <c r="K548" t="s">
        <v>17</v>
      </c>
      <c r="L548" t="s">
        <v>21</v>
      </c>
      <c r="M548" t="s">
        <v>31</v>
      </c>
      <c r="N548">
        <f>SalesData[[#This Row],[Quantity_Sold]]*SalesData[[#This Row],[Unit_Cost]]</f>
        <v>121229.54999999999</v>
      </c>
      <c r="O548">
        <f>SalesData[[#This Row],[Quantity_Sold]]*SalesData[[#This Row],[Unit_Price]]</f>
        <v>137067.29999999955</v>
      </c>
      <c r="P548">
        <f>SalesData[[#This Row],[Gross_sales]]*(1-SalesData[[#This Row],[Discount]])</f>
        <v>135696.62699999954</v>
      </c>
      <c r="Q548" s="2">
        <f>SalesData[[#This Row],[Sales_amount]]-SalesData[[#This Row],[Total_Cost]]</f>
        <v>14467.076999999554</v>
      </c>
      <c r="R548" s="2">
        <f>SalesData[[#This Row],[Profit]]/SalesData[[#This Row],[Sales_amount]]</f>
        <v>0.10661338693407318</v>
      </c>
      <c r="S548" s="2">
        <f>SalesData[[#This Row],[Unit_Price]]-SalesData[[#This Row],[Unit_Cost]]</f>
        <v>351.94999999999027</v>
      </c>
      <c r="T548" s="10">
        <f>SalesData[[#This Row],[Unit_Margin]]/SalesData[[#This Row],[Unit_Price]]</f>
        <v>0.11554725306473254</v>
      </c>
      <c r="U548" s="2" t="str">
        <f>IF(SalesData[[#This Row],[Unit_Margin]]&lt;0, "Negative margin", "Positive margin")</f>
        <v>Positive margin</v>
      </c>
      <c r="V548" s="2" t="str">
        <f>IF(SalesData[[#This Row],[Profit]]&lt;0, "Loss", "Profit")</f>
        <v>Profit</v>
      </c>
      <c r="W548" s="2">
        <f>SalesData[[#This Row],[Unit_Price]]*(1-SalesData[[#This Row],[Discount]])</f>
        <v>3015.4805999999903</v>
      </c>
      <c r="X548" s="2">
        <f>SalesData[[#This Row],[Effective_Unit_Price]]-SalesData[[#This Row],[Unit_Cost]]</f>
        <v>321.49059999999054</v>
      </c>
      <c r="Y548" s="2" t="str">
        <f>IF(SalesData[[#This Row],[Effective_Unit_Margin]]&lt;0,"Loss per Unit","Positive per Unit")</f>
        <v>Positive per Unit</v>
      </c>
    </row>
    <row r="549" spans="1:25" x14ac:dyDescent="0.3">
      <c r="A549">
        <v>1012</v>
      </c>
      <c r="B549" s="1">
        <v>45085</v>
      </c>
      <c r="C549" t="s">
        <v>13</v>
      </c>
      <c r="D549" t="s">
        <v>33</v>
      </c>
      <c r="E549">
        <v>19</v>
      </c>
      <c r="F549" t="s">
        <v>15</v>
      </c>
      <c r="G549">
        <v>3457.28</v>
      </c>
      <c r="H549">
        <v>3598.72</v>
      </c>
      <c r="I549" t="s">
        <v>29</v>
      </c>
      <c r="J549" s="2">
        <v>0.27</v>
      </c>
      <c r="K549" t="s">
        <v>26</v>
      </c>
      <c r="L549" t="s">
        <v>18</v>
      </c>
      <c r="M549" t="s">
        <v>45</v>
      </c>
      <c r="N549">
        <f>SalesData[[#This Row],[Quantity_Sold]]*SalesData[[#This Row],[Unit_Cost]]</f>
        <v>65688.320000000007</v>
      </c>
      <c r="O549">
        <f>SalesData[[#This Row],[Quantity_Sold]]*SalesData[[#This Row],[Unit_Price]]</f>
        <v>68375.679999999993</v>
      </c>
      <c r="P549">
        <f>SalesData[[#This Row],[Gross_sales]]*(1-SalesData[[#This Row],[Discount]])</f>
        <v>49914.246399999996</v>
      </c>
      <c r="Q549" s="2">
        <f>SalesData[[#This Row],[Sales_amount]]-SalesData[[#This Row],[Total_Cost]]</f>
        <v>-15774.073600000011</v>
      </c>
      <c r="R549" s="2">
        <f>SalesData[[#This Row],[Profit]]/SalesData[[#This Row],[Sales_amount]]</f>
        <v>-0.31602347501333833</v>
      </c>
      <c r="S549" s="2">
        <f>SalesData[[#This Row],[Unit_Price]]-SalesData[[#This Row],[Unit_Cost]]</f>
        <v>141.4399999999996</v>
      </c>
      <c r="T549" s="10">
        <f>SalesData[[#This Row],[Unit_Margin]]/SalesData[[#This Row],[Unit_Price]]</f>
        <v>3.9302863240263095E-2</v>
      </c>
      <c r="U549" s="2" t="str">
        <f>IF(SalesData[[#This Row],[Unit_Margin]]&lt;0, "Negative margin", "Positive margin")</f>
        <v>Positive margin</v>
      </c>
      <c r="V549" s="2" t="str">
        <f>IF(SalesData[[#This Row],[Profit]]&lt;0, "Loss", "Profit")</f>
        <v>Loss</v>
      </c>
      <c r="W549" s="2">
        <f>SalesData[[#This Row],[Unit_Price]]*(1-SalesData[[#This Row],[Discount]])</f>
        <v>2627.0655999999999</v>
      </c>
      <c r="X549" s="2">
        <f>SalesData[[#This Row],[Effective_Unit_Price]]-SalesData[[#This Row],[Unit_Cost]]</f>
        <v>-830.2144000000003</v>
      </c>
      <c r="Y549" s="2" t="str">
        <f>IF(SalesData[[#This Row],[Effective_Unit_Margin]]&lt;0,"Loss per Unit","Positive per Unit")</f>
        <v>Loss per Unit</v>
      </c>
    </row>
    <row r="550" spans="1:25" x14ac:dyDescent="0.3">
      <c r="A550">
        <v>1050</v>
      </c>
      <c r="B550" s="1">
        <v>45078</v>
      </c>
      <c r="C550" t="s">
        <v>13</v>
      </c>
      <c r="D550" t="s">
        <v>24</v>
      </c>
      <c r="E550">
        <v>23</v>
      </c>
      <c r="F550" t="s">
        <v>15</v>
      </c>
      <c r="G550">
        <v>3756.06</v>
      </c>
      <c r="H550">
        <v>4255.7299999999996</v>
      </c>
      <c r="I550" t="s">
        <v>16</v>
      </c>
      <c r="J550" s="2">
        <v>0.04</v>
      </c>
      <c r="K550" t="s">
        <v>17</v>
      </c>
      <c r="L550" t="s">
        <v>18</v>
      </c>
      <c r="M550" t="s">
        <v>31</v>
      </c>
      <c r="N550">
        <f>SalesData[[#This Row],[Quantity_Sold]]*SalesData[[#This Row],[Unit_Cost]]</f>
        <v>86389.38</v>
      </c>
      <c r="O550">
        <f>SalesData[[#This Row],[Quantity_Sold]]*SalesData[[#This Row],[Unit_Price]]</f>
        <v>97881.79</v>
      </c>
      <c r="P550">
        <f>SalesData[[#This Row],[Gross_sales]]*(1-SalesData[[#This Row],[Discount]])</f>
        <v>93966.518399999986</v>
      </c>
      <c r="Q550" s="2">
        <f>SalesData[[#This Row],[Sales_amount]]-SalesData[[#This Row],[Total_Cost]]</f>
        <v>7577.1383999999816</v>
      </c>
      <c r="R550" s="2">
        <f>SalesData[[#This Row],[Profit]]/SalesData[[#This Row],[Sales_amount]]</f>
        <v>8.0636577038486756E-2</v>
      </c>
      <c r="S550" s="2">
        <f>SalesData[[#This Row],[Unit_Price]]-SalesData[[#This Row],[Unit_Cost]]</f>
        <v>499.66999999999962</v>
      </c>
      <c r="T550" s="10">
        <f>SalesData[[#This Row],[Unit_Margin]]/SalesData[[#This Row],[Unit_Price]]</f>
        <v>0.11741111395694738</v>
      </c>
      <c r="U550" s="2" t="str">
        <f>IF(SalesData[[#This Row],[Unit_Margin]]&lt;0, "Negative margin", "Positive margin")</f>
        <v>Positive margin</v>
      </c>
      <c r="V550" s="2" t="str">
        <f>IF(SalesData[[#This Row],[Profit]]&lt;0, "Loss", "Profit")</f>
        <v>Profit</v>
      </c>
      <c r="W550" s="2">
        <f>SalesData[[#This Row],[Unit_Price]]*(1-SalesData[[#This Row],[Discount]])</f>
        <v>4085.5007999999993</v>
      </c>
      <c r="X550" s="2">
        <f>SalesData[[#This Row],[Effective_Unit_Price]]-SalesData[[#This Row],[Unit_Cost]]</f>
        <v>329.4407999999994</v>
      </c>
      <c r="Y550" s="2" t="str">
        <f>IF(SalesData[[#This Row],[Effective_Unit_Margin]]&lt;0,"Loss per Unit","Positive per Unit")</f>
        <v>Positive per Unit</v>
      </c>
    </row>
    <row r="551" spans="1:25" x14ac:dyDescent="0.3">
      <c r="A551">
        <v>1035</v>
      </c>
      <c r="B551" s="1">
        <v>45034</v>
      </c>
      <c r="C551" t="s">
        <v>23</v>
      </c>
      <c r="D551" t="s">
        <v>24</v>
      </c>
      <c r="E551">
        <v>34</v>
      </c>
      <c r="F551" t="s">
        <v>25</v>
      </c>
      <c r="G551">
        <v>1105.05</v>
      </c>
      <c r="H551">
        <v>1200.96</v>
      </c>
      <c r="I551" t="s">
        <v>16</v>
      </c>
      <c r="J551" s="2">
        <v>0.19</v>
      </c>
      <c r="K551" t="s">
        <v>17</v>
      </c>
      <c r="L551" t="s">
        <v>18</v>
      </c>
      <c r="M551" t="s">
        <v>27</v>
      </c>
      <c r="N551">
        <f>SalesData[[#This Row],[Quantity_Sold]]*SalesData[[#This Row],[Unit_Cost]]</f>
        <v>37571.699999999997</v>
      </c>
      <c r="O551">
        <f>SalesData[[#This Row],[Quantity_Sold]]*SalesData[[#This Row],[Unit_Price]]</f>
        <v>40832.639999999999</v>
      </c>
      <c r="P551">
        <f>SalesData[[#This Row],[Gross_sales]]*(1-SalesData[[#This Row],[Discount]])</f>
        <v>33074.438399999999</v>
      </c>
      <c r="Q551" s="2">
        <f>SalesData[[#This Row],[Sales_amount]]-SalesData[[#This Row],[Total_Cost]]</f>
        <v>-4497.261599999998</v>
      </c>
      <c r="R551" s="2">
        <f>SalesData[[#This Row],[Profit]]/SalesData[[#This Row],[Sales_amount]]</f>
        <v>-0.13597393689986276</v>
      </c>
      <c r="S551" s="2">
        <f>SalesData[[#This Row],[Unit_Price]]-SalesData[[#This Row],[Unit_Cost]]</f>
        <v>95.910000000000082</v>
      </c>
      <c r="T551" s="10">
        <f>SalesData[[#This Row],[Unit_Margin]]/SalesData[[#This Row],[Unit_Price]]</f>
        <v>7.9861111111111174E-2</v>
      </c>
      <c r="U551" s="2" t="str">
        <f>IF(SalesData[[#This Row],[Unit_Margin]]&lt;0, "Negative margin", "Positive margin")</f>
        <v>Positive margin</v>
      </c>
      <c r="V551" s="2" t="str">
        <f>IF(SalesData[[#This Row],[Profit]]&lt;0, "Loss", "Profit")</f>
        <v>Loss</v>
      </c>
      <c r="W551" s="2">
        <f>SalesData[[#This Row],[Unit_Price]]*(1-SalesData[[#This Row],[Discount]])</f>
        <v>972.77760000000012</v>
      </c>
      <c r="X551" s="2">
        <f>SalesData[[#This Row],[Effective_Unit_Price]]-SalesData[[#This Row],[Unit_Cost]]</f>
        <v>-132.27239999999983</v>
      </c>
      <c r="Y551" s="2" t="str">
        <f>IF(SalesData[[#This Row],[Effective_Unit_Margin]]&lt;0,"Loss per Unit","Positive per Unit")</f>
        <v>Loss per Unit</v>
      </c>
    </row>
    <row r="552" spans="1:25" x14ac:dyDescent="0.3">
      <c r="A552">
        <v>1033</v>
      </c>
      <c r="B552" s="1">
        <v>45114</v>
      </c>
      <c r="C552" t="s">
        <v>37</v>
      </c>
      <c r="D552" t="s">
        <v>33</v>
      </c>
      <c r="E552">
        <v>13</v>
      </c>
      <c r="F552" t="s">
        <v>25</v>
      </c>
      <c r="G552">
        <v>4342.53</v>
      </c>
      <c r="H552">
        <v>4357.49</v>
      </c>
      <c r="I552" t="s">
        <v>29</v>
      </c>
      <c r="J552" s="2">
        <v>0.08</v>
      </c>
      <c r="K552" t="s">
        <v>26</v>
      </c>
      <c r="L552" t="s">
        <v>18</v>
      </c>
      <c r="M552" t="s">
        <v>47</v>
      </c>
      <c r="N552">
        <f>SalesData[[#This Row],[Quantity_Sold]]*SalesData[[#This Row],[Unit_Cost]]</f>
        <v>56452.89</v>
      </c>
      <c r="O552">
        <f>SalesData[[#This Row],[Quantity_Sold]]*SalesData[[#This Row],[Unit_Price]]</f>
        <v>56647.369999999995</v>
      </c>
      <c r="P552">
        <f>SalesData[[#This Row],[Gross_sales]]*(1-SalesData[[#This Row],[Discount]])</f>
        <v>52115.580399999999</v>
      </c>
      <c r="Q552" s="2">
        <f>SalesData[[#This Row],[Sales_amount]]-SalesData[[#This Row],[Total_Cost]]</f>
        <v>-4337.3096000000005</v>
      </c>
      <c r="R552" s="2">
        <f>SalesData[[#This Row],[Profit]]/SalesData[[#This Row],[Sales_amount]]</f>
        <v>-8.3224816201029977E-2</v>
      </c>
      <c r="S552" s="2">
        <f>SalesData[[#This Row],[Unit_Price]]-SalesData[[#This Row],[Unit_Cost]]</f>
        <v>14.960000000000036</v>
      </c>
      <c r="T552" s="10">
        <f>SalesData[[#This Row],[Unit_Margin]]/SalesData[[#This Row],[Unit_Price]]</f>
        <v>3.4331690950524353E-3</v>
      </c>
      <c r="U552" s="2" t="str">
        <f>IF(SalesData[[#This Row],[Unit_Margin]]&lt;0, "Negative margin", "Positive margin")</f>
        <v>Positive margin</v>
      </c>
      <c r="V552" s="2" t="str">
        <f>IF(SalesData[[#This Row],[Profit]]&lt;0, "Loss", "Profit")</f>
        <v>Loss</v>
      </c>
      <c r="W552" s="2">
        <f>SalesData[[#This Row],[Unit_Price]]*(1-SalesData[[#This Row],[Discount]])</f>
        <v>4008.8908000000001</v>
      </c>
      <c r="X552" s="2">
        <f>SalesData[[#This Row],[Effective_Unit_Price]]-SalesData[[#This Row],[Unit_Cost]]</f>
        <v>-333.63919999999962</v>
      </c>
      <c r="Y552" s="2" t="str">
        <f>IF(SalesData[[#This Row],[Effective_Unit_Margin]]&lt;0,"Loss per Unit","Positive per Unit")</f>
        <v>Loss per Unit</v>
      </c>
    </row>
    <row r="553" spans="1:25" x14ac:dyDescent="0.3">
      <c r="A553">
        <v>1033</v>
      </c>
      <c r="B553" s="1">
        <v>45227</v>
      </c>
      <c r="C553" t="s">
        <v>23</v>
      </c>
      <c r="D553" t="s">
        <v>14</v>
      </c>
      <c r="E553">
        <v>43</v>
      </c>
      <c r="F553" t="s">
        <v>28</v>
      </c>
      <c r="G553">
        <v>4781.42</v>
      </c>
      <c r="H553">
        <v>4864.34</v>
      </c>
      <c r="I553" t="s">
        <v>16</v>
      </c>
      <c r="J553" s="2">
        <v>0.25</v>
      </c>
      <c r="K553" t="s">
        <v>26</v>
      </c>
      <c r="L553" t="s">
        <v>18</v>
      </c>
      <c r="M553" t="s">
        <v>44</v>
      </c>
      <c r="N553">
        <f>SalesData[[#This Row],[Quantity_Sold]]*SalesData[[#This Row],[Unit_Cost]]</f>
        <v>205601.06</v>
      </c>
      <c r="O553">
        <f>SalesData[[#This Row],[Quantity_Sold]]*SalesData[[#This Row],[Unit_Price]]</f>
        <v>209166.62</v>
      </c>
      <c r="P553">
        <f>SalesData[[#This Row],[Gross_sales]]*(1-SalesData[[#This Row],[Discount]])</f>
        <v>156874.965</v>
      </c>
      <c r="Q553" s="2">
        <f>SalesData[[#This Row],[Sales_amount]]-SalesData[[#This Row],[Total_Cost]]</f>
        <v>-48726.095000000001</v>
      </c>
      <c r="R553" s="2">
        <f>SalesData[[#This Row],[Profit]]/SalesData[[#This Row],[Sales_amount]]</f>
        <v>-0.31060465893968486</v>
      </c>
      <c r="S553" s="2">
        <f>SalesData[[#This Row],[Unit_Price]]-SalesData[[#This Row],[Unit_Cost]]</f>
        <v>82.920000000000073</v>
      </c>
      <c r="T553" s="10">
        <f>SalesData[[#This Row],[Unit_Margin]]/SalesData[[#This Row],[Unit_Price]]</f>
        <v>1.7046505795236366E-2</v>
      </c>
      <c r="U553" s="2" t="str">
        <f>IF(SalesData[[#This Row],[Unit_Margin]]&lt;0, "Negative margin", "Positive margin")</f>
        <v>Positive margin</v>
      </c>
      <c r="V553" s="2" t="str">
        <f>IF(SalesData[[#This Row],[Profit]]&lt;0, "Loss", "Profit")</f>
        <v>Loss</v>
      </c>
      <c r="W553" s="2">
        <f>SalesData[[#This Row],[Unit_Price]]*(1-SalesData[[#This Row],[Discount]])</f>
        <v>3648.2550000000001</v>
      </c>
      <c r="X553" s="2">
        <f>SalesData[[#This Row],[Effective_Unit_Price]]-SalesData[[#This Row],[Unit_Cost]]</f>
        <v>-1133.165</v>
      </c>
      <c r="Y553" s="2" t="str">
        <f>IF(SalesData[[#This Row],[Effective_Unit_Margin]]&lt;0,"Loss per Unit","Positive per Unit")</f>
        <v>Loss per Unit</v>
      </c>
    </row>
    <row r="554" spans="1:25" x14ac:dyDescent="0.3">
      <c r="A554">
        <v>1061</v>
      </c>
      <c r="B554" s="1">
        <v>45024</v>
      </c>
      <c r="C554" t="s">
        <v>32</v>
      </c>
      <c r="D554" t="s">
        <v>33</v>
      </c>
      <c r="E554">
        <v>29</v>
      </c>
      <c r="F554" t="s">
        <v>28</v>
      </c>
      <c r="G554">
        <v>1221.74</v>
      </c>
      <c r="H554">
        <v>1611.92</v>
      </c>
      <c r="I554" t="s">
        <v>29</v>
      </c>
      <c r="J554" s="2">
        <v>0.15</v>
      </c>
      <c r="K554" t="s">
        <v>17</v>
      </c>
      <c r="L554" t="s">
        <v>21</v>
      </c>
      <c r="M554" t="s">
        <v>35</v>
      </c>
      <c r="N554">
        <f>SalesData[[#This Row],[Quantity_Sold]]*SalesData[[#This Row],[Unit_Cost]]</f>
        <v>35430.46</v>
      </c>
      <c r="O554">
        <f>SalesData[[#This Row],[Quantity_Sold]]*SalesData[[#This Row],[Unit_Price]]</f>
        <v>46745.68</v>
      </c>
      <c r="P554">
        <f>SalesData[[#This Row],[Gross_sales]]*(1-SalesData[[#This Row],[Discount]])</f>
        <v>39733.828000000001</v>
      </c>
      <c r="Q554" s="2">
        <f>SalesData[[#This Row],[Sales_amount]]-SalesData[[#This Row],[Total_Cost]]</f>
        <v>4303.3680000000022</v>
      </c>
      <c r="R554" s="2">
        <f>SalesData[[#This Row],[Profit]]/SalesData[[#This Row],[Sales_amount]]</f>
        <v>0.10830489325116126</v>
      </c>
      <c r="S554" s="2">
        <f>SalesData[[#This Row],[Unit_Price]]-SalesData[[#This Row],[Unit_Cost]]</f>
        <v>390.18000000000006</v>
      </c>
      <c r="T554" s="10">
        <f>SalesData[[#This Row],[Unit_Margin]]/SalesData[[#This Row],[Unit_Price]]</f>
        <v>0.24205915926348706</v>
      </c>
      <c r="U554" s="2" t="str">
        <f>IF(SalesData[[#This Row],[Unit_Margin]]&lt;0, "Negative margin", "Positive margin")</f>
        <v>Positive margin</v>
      </c>
      <c r="V554" s="2" t="str">
        <f>IF(SalesData[[#This Row],[Profit]]&lt;0, "Loss", "Profit")</f>
        <v>Profit</v>
      </c>
      <c r="W554" s="2">
        <f>SalesData[[#This Row],[Unit_Price]]*(1-SalesData[[#This Row],[Discount]])</f>
        <v>1370.1320000000001</v>
      </c>
      <c r="X554" s="2">
        <f>SalesData[[#This Row],[Effective_Unit_Price]]-SalesData[[#This Row],[Unit_Cost]]</f>
        <v>148.39200000000005</v>
      </c>
      <c r="Y554" s="2" t="str">
        <f>IF(SalesData[[#This Row],[Effective_Unit_Margin]]&lt;0,"Loss per Unit","Positive per Unit")</f>
        <v>Positive per Unit</v>
      </c>
    </row>
    <row r="555" spans="1:25" x14ac:dyDescent="0.3">
      <c r="A555">
        <v>1051</v>
      </c>
      <c r="B555" s="1">
        <v>45057</v>
      </c>
      <c r="C555" t="s">
        <v>13</v>
      </c>
      <c r="D555" t="s">
        <v>14</v>
      </c>
      <c r="E555">
        <v>36</v>
      </c>
      <c r="F555" t="s">
        <v>25</v>
      </c>
      <c r="G555">
        <v>4418.95</v>
      </c>
      <c r="H555">
        <v>4647.87</v>
      </c>
      <c r="I555" t="s">
        <v>29</v>
      </c>
      <c r="J555" s="2">
        <v>0.04</v>
      </c>
      <c r="K555" t="s">
        <v>26</v>
      </c>
      <c r="L555" t="s">
        <v>18</v>
      </c>
      <c r="M555" t="s">
        <v>19</v>
      </c>
      <c r="N555">
        <f>SalesData[[#This Row],[Quantity_Sold]]*SalesData[[#This Row],[Unit_Cost]]</f>
        <v>159082.19999999998</v>
      </c>
      <c r="O555">
        <f>SalesData[[#This Row],[Quantity_Sold]]*SalesData[[#This Row],[Unit_Price]]</f>
        <v>167323.32</v>
      </c>
      <c r="P555">
        <f>SalesData[[#This Row],[Gross_sales]]*(1-SalesData[[#This Row],[Discount]])</f>
        <v>160630.3872</v>
      </c>
      <c r="Q555" s="2">
        <f>SalesData[[#This Row],[Sales_amount]]-SalesData[[#This Row],[Total_Cost]]</f>
        <v>1548.1872000000149</v>
      </c>
      <c r="R555" s="2">
        <f>SalesData[[#This Row],[Profit]]/SalesData[[#This Row],[Sales_amount]]</f>
        <v>9.6381962777215731E-3</v>
      </c>
      <c r="S555" s="2">
        <f>SalesData[[#This Row],[Unit_Price]]-SalesData[[#This Row],[Unit_Cost]]</f>
        <v>228.92000000000007</v>
      </c>
      <c r="T555" s="10">
        <f>SalesData[[#This Row],[Unit_Margin]]/SalesData[[#This Row],[Unit_Price]]</f>
        <v>4.925266842661264E-2</v>
      </c>
      <c r="U555" s="2" t="str">
        <f>IF(SalesData[[#This Row],[Unit_Margin]]&lt;0, "Negative margin", "Positive margin")</f>
        <v>Positive margin</v>
      </c>
      <c r="V555" s="2" t="str">
        <f>IF(SalesData[[#This Row],[Profit]]&lt;0, "Loss", "Profit")</f>
        <v>Profit</v>
      </c>
      <c r="W555" s="2">
        <f>SalesData[[#This Row],[Unit_Price]]*(1-SalesData[[#This Row],[Discount]])</f>
        <v>4461.9551999999994</v>
      </c>
      <c r="X555" s="2">
        <f>SalesData[[#This Row],[Effective_Unit_Price]]-SalesData[[#This Row],[Unit_Cost]]</f>
        <v>43.005199999999604</v>
      </c>
      <c r="Y555" s="2" t="str">
        <f>IF(SalesData[[#This Row],[Effective_Unit_Margin]]&lt;0,"Loss per Unit","Positive per Unit")</f>
        <v>Positive per Unit</v>
      </c>
    </row>
    <row r="556" spans="1:25" x14ac:dyDescent="0.3">
      <c r="A556">
        <v>1043</v>
      </c>
      <c r="B556" s="1">
        <v>45219</v>
      </c>
      <c r="C556" t="s">
        <v>32</v>
      </c>
      <c r="D556" t="s">
        <v>24</v>
      </c>
      <c r="E556">
        <v>22</v>
      </c>
      <c r="F556" t="s">
        <v>25</v>
      </c>
      <c r="G556">
        <v>530.04</v>
      </c>
      <c r="H556">
        <v>759.31999999999903</v>
      </c>
      <c r="I556" t="s">
        <v>16</v>
      </c>
      <c r="J556" s="2">
        <v>0.17</v>
      </c>
      <c r="K556" t="s">
        <v>26</v>
      </c>
      <c r="L556" t="s">
        <v>21</v>
      </c>
      <c r="M556" t="s">
        <v>43</v>
      </c>
      <c r="N556">
        <f>SalesData[[#This Row],[Quantity_Sold]]*SalesData[[#This Row],[Unit_Cost]]</f>
        <v>11660.88</v>
      </c>
      <c r="O556">
        <f>SalesData[[#This Row],[Quantity_Sold]]*SalesData[[#This Row],[Unit_Price]]</f>
        <v>16705.039999999979</v>
      </c>
      <c r="P556">
        <f>SalesData[[#This Row],[Gross_sales]]*(1-SalesData[[#This Row],[Discount]])</f>
        <v>13865.183199999981</v>
      </c>
      <c r="Q556" s="2">
        <f>SalesData[[#This Row],[Sales_amount]]-SalesData[[#This Row],[Total_Cost]]</f>
        <v>2204.3031999999821</v>
      </c>
      <c r="R556" s="2">
        <f>SalesData[[#This Row],[Profit]]/SalesData[[#This Row],[Sales_amount]]</f>
        <v>0.15898118100595923</v>
      </c>
      <c r="S556" s="2">
        <f>SalesData[[#This Row],[Unit_Price]]-SalesData[[#This Row],[Unit_Cost]]</f>
        <v>229.27999999999906</v>
      </c>
      <c r="T556" s="10">
        <f>SalesData[[#This Row],[Unit_Margin]]/SalesData[[#This Row],[Unit_Price]]</f>
        <v>0.3019543802349462</v>
      </c>
      <c r="U556" s="2" t="str">
        <f>IF(SalesData[[#This Row],[Unit_Margin]]&lt;0, "Negative margin", "Positive margin")</f>
        <v>Positive margin</v>
      </c>
      <c r="V556" s="2" t="str">
        <f>IF(SalesData[[#This Row],[Profit]]&lt;0, "Loss", "Profit")</f>
        <v>Profit</v>
      </c>
      <c r="W556" s="2">
        <f>SalesData[[#This Row],[Unit_Price]]*(1-SalesData[[#This Row],[Discount]])</f>
        <v>630.23559999999918</v>
      </c>
      <c r="X556" s="2">
        <f>SalesData[[#This Row],[Effective_Unit_Price]]-SalesData[[#This Row],[Unit_Cost]]</f>
        <v>100.19559999999922</v>
      </c>
      <c r="Y556" s="2" t="str">
        <f>IF(SalesData[[#This Row],[Effective_Unit_Margin]]&lt;0,"Loss per Unit","Positive per Unit")</f>
        <v>Positive per Unit</v>
      </c>
    </row>
    <row r="557" spans="1:25" x14ac:dyDescent="0.3">
      <c r="A557">
        <v>1012</v>
      </c>
      <c r="B557" s="1">
        <v>45097</v>
      </c>
      <c r="C557" t="s">
        <v>41</v>
      </c>
      <c r="D557" t="s">
        <v>24</v>
      </c>
      <c r="E557">
        <v>47</v>
      </c>
      <c r="F557" t="s">
        <v>28</v>
      </c>
      <c r="G557">
        <v>325.75</v>
      </c>
      <c r="H557">
        <v>803.71</v>
      </c>
      <c r="I557" t="s">
        <v>29</v>
      </c>
      <c r="J557" s="2">
        <v>0.12</v>
      </c>
      <c r="K557" t="s">
        <v>26</v>
      </c>
      <c r="L557" t="s">
        <v>21</v>
      </c>
      <c r="M557" t="s">
        <v>42</v>
      </c>
      <c r="N557">
        <f>SalesData[[#This Row],[Quantity_Sold]]*SalesData[[#This Row],[Unit_Cost]]</f>
        <v>15310.25</v>
      </c>
      <c r="O557">
        <f>SalesData[[#This Row],[Quantity_Sold]]*SalesData[[#This Row],[Unit_Price]]</f>
        <v>37774.370000000003</v>
      </c>
      <c r="P557">
        <f>SalesData[[#This Row],[Gross_sales]]*(1-SalesData[[#This Row],[Discount]])</f>
        <v>33241.445599999999</v>
      </c>
      <c r="Q557" s="2">
        <f>SalesData[[#This Row],[Sales_amount]]-SalesData[[#This Row],[Total_Cost]]</f>
        <v>17931.195599999999</v>
      </c>
      <c r="R557" s="2">
        <f>SalesData[[#This Row],[Profit]]/SalesData[[#This Row],[Sales_amount]]</f>
        <v>0.53942285831275638</v>
      </c>
      <c r="S557" s="2">
        <f>SalesData[[#This Row],[Unit_Price]]-SalesData[[#This Row],[Unit_Cost]]</f>
        <v>477.96000000000004</v>
      </c>
      <c r="T557" s="10">
        <f>SalesData[[#This Row],[Unit_Margin]]/SalesData[[#This Row],[Unit_Price]]</f>
        <v>0.5946921153152257</v>
      </c>
      <c r="U557" s="2" t="str">
        <f>IF(SalesData[[#This Row],[Unit_Margin]]&lt;0, "Negative margin", "Positive margin")</f>
        <v>Positive margin</v>
      </c>
      <c r="V557" s="2" t="str">
        <f>IF(SalesData[[#This Row],[Profit]]&lt;0, "Loss", "Profit")</f>
        <v>Profit</v>
      </c>
      <c r="W557" s="2">
        <f>SalesData[[#This Row],[Unit_Price]]*(1-SalesData[[#This Row],[Discount]])</f>
        <v>707.26480000000004</v>
      </c>
      <c r="X557" s="2">
        <f>SalesData[[#This Row],[Effective_Unit_Price]]-SalesData[[#This Row],[Unit_Cost]]</f>
        <v>381.51480000000004</v>
      </c>
      <c r="Y557" s="2" t="str">
        <f>IF(SalesData[[#This Row],[Effective_Unit_Margin]]&lt;0,"Loss per Unit","Positive per Unit")</f>
        <v>Positive per Unit</v>
      </c>
    </row>
    <row r="558" spans="1:25" x14ac:dyDescent="0.3">
      <c r="A558">
        <v>1067</v>
      </c>
      <c r="B558" s="1">
        <v>45109</v>
      </c>
      <c r="C558" t="s">
        <v>41</v>
      </c>
      <c r="D558" t="s">
        <v>14</v>
      </c>
      <c r="E558">
        <v>36</v>
      </c>
      <c r="F558" t="s">
        <v>34</v>
      </c>
      <c r="G558">
        <v>689.66</v>
      </c>
      <c r="H558">
        <v>1150.28</v>
      </c>
      <c r="I558" t="s">
        <v>29</v>
      </c>
      <c r="J558" s="2">
        <v>0.2</v>
      </c>
      <c r="K558" t="s">
        <v>26</v>
      </c>
      <c r="L558" t="s">
        <v>18</v>
      </c>
      <c r="M558" t="s">
        <v>48</v>
      </c>
      <c r="N558">
        <f>SalesData[[#This Row],[Quantity_Sold]]*SalesData[[#This Row],[Unit_Cost]]</f>
        <v>24827.759999999998</v>
      </c>
      <c r="O558">
        <f>SalesData[[#This Row],[Quantity_Sold]]*SalesData[[#This Row],[Unit_Price]]</f>
        <v>41410.080000000002</v>
      </c>
      <c r="P558">
        <f>SalesData[[#This Row],[Gross_sales]]*(1-SalesData[[#This Row],[Discount]])</f>
        <v>33128.064000000006</v>
      </c>
      <c r="Q558" s="2">
        <f>SalesData[[#This Row],[Sales_amount]]-SalesData[[#This Row],[Total_Cost]]</f>
        <v>8300.3040000000074</v>
      </c>
      <c r="R558" s="2">
        <f>SalesData[[#This Row],[Profit]]/SalesData[[#This Row],[Sales_amount]]</f>
        <v>0.25055203950342542</v>
      </c>
      <c r="S558" s="2">
        <f>SalesData[[#This Row],[Unit_Price]]-SalesData[[#This Row],[Unit_Cost]]</f>
        <v>460.62</v>
      </c>
      <c r="T558" s="10">
        <f>SalesData[[#This Row],[Unit_Margin]]/SalesData[[#This Row],[Unit_Price]]</f>
        <v>0.40044163160274021</v>
      </c>
      <c r="U558" s="2" t="str">
        <f>IF(SalesData[[#This Row],[Unit_Margin]]&lt;0, "Negative margin", "Positive margin")</f>
        <v>Positive margin</v>
      </c>
      <c r="V558" s="2" t="str">
        <f>IF(SalesData[[#This Row],[Profit]]&lt;0, "Loss", "Profit")</f>
        <v>Profit</v>
      </c>
      <c r="W558" s="2">
        <f>SalesData[[#This Row],[Unit_Price]]*(1-SalesData[[#This Row],[Discount]])</f>
        <v>920.22400000000005</v>
      </c>
      <c r="X558" s="2">
        <f>SalesData[[#This Row],[Effective_Unit_Price]]-SalesData[[#This Row],[Unit_Cost]]</f>
        <v>230.56400000000008</v>
      </c>
      <c r="Y558" s="2" t="str">
        <f>IF(SalesData[[#This Row],[Effective_Unit_Margin]]&lt;0,"Loss per Unit","Positive per Unit")</f>
        <v>Positive per Unit</v>
      </c>
    </row>
    <row r="559" spans="1:25" x14ac:dyDescent="0.3">
      <c r="A559">
        <v>1065</v>
      </c>
      <c r="B559" s="1">
        <v>45290</v>
      </c>
      <c r="C559" t="s">
        <v>23</v>
      </c>
      <c r="D559" t="s">
        <v>24</v>
      </c>
      <c r="E559">
        <v>9</v>
      </c>
      <c r="F559" t="s">
        <v>28</v>
      </c>
      <c r="G559">
        <v>335.82</v>
      </c>
      <c r="H559">
        <v>498.31</v>
      </c>
      <c r="I559" t="s">
        <v>29</v>
      </c>
      <c r="J559" s="2">
        <v>0.26</v>
      </c>
      <c r="K559" t="s">
        <v>17</v>
      </c>
      <c r="L559" t="s">
        <v>21</v>
      </c>
      <c r="M559" t="s">
        <v>27</v>
      </c>
      <c r="N559">
        <f>SalesData[[#This Row],[Quantity_Sold]]*SalesData[[#This Row],[Unit_Cost]]</f>
        <v>3022.38</v>
      </c>
      <c r="O559">
        <f>SalesData[[#This Row],[Quantity_Sold]]*SalesData[[#This Row],[Unit_Price]]</f>
        <v>4484.79</v>
      </c>
      <c r="P559">
        <f>SalesData[[#This Row],[Gross_sales]]*(1-SalesData[[#This Row],[Discount]])</f>
        <v>3318.7446</v>
      </c>
      <c r="Q559" s="2">
        <f>SalesData[[#This Row],[Sales_amount]]-SalesData[[#This Row],[Total_Cost]]</f>
        <v>296.36459999999988</v>
      </c>
      <c r="R559" s="2">
        <f>SalesData[[#This Row],[Profit]]/SalesData[[#This Row],[Sales_amount]]</f>
        <v>8.9300213098651784E-2</v>
      </c>
      <c r="S559" s="2">
        <f>SalesData[[#This Row],[Unit_Price]]-SalesData[[#This Row],[Unit_Cost]]</f>
        <v>162.49</v>
      </c>
      <c r="T559" s="10">
        <f>SalesData[[#This Row],[Unit_Margin]]/SalesData[[#This Row],[Unit_Price]]</f>
        <v>0.32608215769300236</v>
      </c>
      <c r="U559" s="2" t="str">
        <f>IF(SalesData[[#This Row],[Unit_Margin]]&lt;0, "Negative margin", "Positive margin")</f>
        <v>Positive margin</v>
      </c>
      <c r="V559" s="2" t="str">
        <f>IF(SalesData[[#This Row],[Profit]]&lt;0, "Loss", "Profit")</f>
        <v>Profit</v>
      </c>
      <c r="W559" s="2">
        <f>SalesData[[#This Row],[Unit_Price]]*(1-SalesData[[#This Row],[Discount]])</f>
        <v>368.74939999999998</v>
      </c>
      <c r="X559" s="2">
        <f>SalesData[[#This Row],[Effective_Unit_Price]]-SalesData[[#This Row],[Unit_Cost]]</f>
        <v>32.929399999999987</v>
      </c>
      <c r="Y559" s="2" t="str">
        <f>IF(SalesData[[#This Row],[Effective_Unit_Margin]]&lt;0,"Loss per Unit","Positive per Unit")</f>
        <v>Positive per Unit</v>
      </c>
    </row>
    <row r="560" spans="1:25" x14ac:dyDescent="0.3">
      <c r="A560">
        <v>1033</v>
      </c>
      <c r="B560" s="1">
        <v>44965</v>
      </c>
      <c r="C560" t="s">
        <v>37</v>
      </c>
      <c r="D560" t="s">
        <v>14</v>
      </c>
      <c r="E560">
        <v>39</v>
      </c>
      <c r="F560" t="s">
        <v>34</v>
      </c>
      <c r="G560">
        <v>4232.8100000000004</v>
      </c>
      <c r="H560">
        <v>4345.25</v>
      </c>
      <c r="I560" t="s">
        <v>16</v>
      </c>
      <c r="J560" s="2">
        <v>0.12</v>
      </c>
      <c r="K560" t="s">
        <v>26</v>
      </c>
      <c r="L560" t="s">
        <v>18</v>
      </c>
      <c r="M560" t="s">
        <v>39</v>
      </c>
      <c r="N560">
        <f>SalesData[[#This Row],[Quantity_Sold]]*SalesData[[#This Row],[Unit_Cost]]</f>
        <v>165079.59000000003</v>
      </c>
      <c r="O560">
        <f>SalesData[[#This Row],[Quantity_Sold]]*SalesData[[#This Row],[Unit_Price]]</f>
        <v>169464.75</v>
      </c>
      <c r="P560">
        <f>SalesData[[#This Row],[Gross_sales]]*(1-SalesData[[#This Row],[Discount]])</f>
        <v>149128.98000000001</v>
      </c>
      <c r="Q560" s="2">
        <f>SalesData[[#This Row],[Sales_amount]]-SalesData[[#This Row],[Total_Cost]]</f>
        <v>-15950.610000000015</v>
      </c>
      <c r="R560" s="2">
        <f>SalesData[[#This Row],[Profit]]/SalesData[[#This Row],[Sales_amount]]</f>
        <v>-0.10695848653963846</v>
      </c>
      <c r="S560" s="2">
        <f>SalesData[[#This Row],[Unit_Price]]-SalesData[[#This Row],[Unit_Cost]]</f>
        <v>112.4399999999996</v>
      </c>
      <c r="T560" s="10">
        <f>SalesData[[#This Row],[Unit_Margin]]/SalesData[[#This Row],[Unit_Price]]</f>
        <v>2.587653184511814E-2</v>
      </c>
      <c r="U560" s="2" t="str">
        <f>IF(SalesData[[#This Row],[Unit_Margin]]&lt;0, "Negative margin", "Positive margin")</f>
        <v>Positive margin</v>
      </c>
      <c r="V560" s="2" t="str">
        <f>IF(SalesData[[#This Row],[Profit]]&lt;0, "Loss", "Profit")</f>
        <v>Loss</v>
      </c>
      <c r="W560" s="2">
        <f>SalesData[[#This Row],[Unit_Price]]*(1-SalesData[[#This Row],[Discount]])</f>
        <v>3823.82</v>
      </c>
      <c r="X560" s="2">
        <f>SalesData[[#This Row],[Effective_Unit_Price]]-SalesData[[#This Row],[Unit_Cost]]</f>
        <v>-408.99000000000024</v>
      </c>
      <c r="Y560" s="2" t="str">
        <f>IF(SalesData[[#This Row],[Effective_Unit_Margin]]&lt;0,"Loss per Unit","Positive per Unit")</f>
        <v>Loss per Unit</v>
      </c>
    </row>
    <row r="561" spans="1:25" x14ac:dyDescent="0.3">
      <c r="A561">
        <v>1040</v>
      </c>
      <c r="B561" s="1">
        <v>44941</v>
      </c>
      <c r="C561" t="s">
        <v>32</v>
      </c>
      <c r="D561" t="s">
        <v>14</v>
      </c>
      <c r="E561">
        <v>19</v>
      </c>
      <c r="F561" t="s">
        <v>15</v>
      </c>
      <c r="G561">
        <v>342.3</v>
      </c>
      <c r="H561">
        <v>768.06</v>
      </c>
      <c r="I561" t="s">
        <v>16</v>
      </c>
      <c r="J561" s="2">
        <v>0.09</v>
      </c>
      <c r="K561" t="s">
        <v>30</v>
      </c>
      <c r="L561" t="s">
        <v>18</v>
      </c>
      <c r="M561" t="s">
        <v>52</v>
      </c>
      <c r="N561">
        <f>SalesData[[#This Row],[Quantity_Sold]]*SalesData[[#This Row],[Unit_Cost]]</f>
        <v>6503.7</v>
      </c>
      <c r="O561">
        <f>SalesData[[#This Row],[Quantity_Sold]]*SalesData[[#This Row],[Unit_Price]]</f>
        <v>14593.14</v>
      </c>
      <c r="P561">
        <f>SalesData[[#This Row],[Gross_sales]]*(1-SalesData[[#This Row],[Discount]])</f>
        <v>13279.7574</v>
      </c>
      <c r="Q561" s="2">
        <f>SalesData[[#This Row],[Sales_amount]]-SalesData[[#This Row],[Total_Cost]]</f>
        <v>6776.0574000000006</v>
      </c>
      <c r="R561" s="2">
        <f>SalesData[[#This Row],[Profit]]/SalesData[[#This Row],[Sales_amount]]</f>
        <v>0.5102546075126343</v>
      </c>
      <c r="S561" s="2">
        <f>SalesData[[#This Row],[Unit_Price]]-SalesData[[#This Row],[Unit_Cost]]</f>
        <v>425.75999999999993</v>
      </c>
      <c r="T561" s="10">
        <f>SalesData[[#This Row],[Unit_Margin]]/SalesData[[#This Row],[Unit_Price]]</f>
        <v>0.55433169283649708</v>
      </c>
      <c r="U561" s="2" t="str">
        <f>IF(SalesData[[#This Row],[Unit_Margin]]&lt;0, "Negative margin", "Positive margin")</f>
        <v>Positive margin</v>
      </c>
      <c r="V561" s="2" t="str">
        <f>IF(SalesData[[#This Row],[Profit]]&lt;0, "Loss", "Profit")</f>
        <v>Profit</v>
      </c>
      <c r="W561" s="2">
        <f>SalesData[[#This Row],[Unit_Price]]*(1-SalesData[[#This Row],[Discount]])</f>
        <v>698.93459999999993</v>
      </c>
      <c r="X561" s="2">
        <f>SalesData[[#This Row],[Effective_Unit_Price]]-SalesData[[#This Row],[Unit_Cost]]</f>
        <v>356.63459999999992</v>
      </c>
      <c r="Y561" s="2" t="str">
        <f>IF(SalesData[[#This Row],[Effective_Unit_Margin]]&lt;0,"Loss per Unit","Positive per Unit")</f>
        <v>Positive per Unit</v>
      </c>
    </row>
    <row r="562" spans="1:25" x14ac:dyDescent="0.3">
      <c r="A562">
        <v>1074</v>
      </c>
      <c r="B562" s="1">
        <v>44930</v>
      </c>
      <c r="C562" t="s">
        <v>37</v>
      </c>
      <c r="D562" t="s">
        <v>24</v>
      </c>
      <c r="E562">
        <v>38</v>
      </c>
      <c r="F562" t="s">
        <v>15</v>
      </c>
      <c r="G562">
        <v>1394.74</v>
      </c>
      <c r="H562">
        <v>1848.69</v>
      </c>
      <c r="I562" t="s">
        <v>16</v>
      </c>
      <c r="J562" s="2">
        <v>0</v>
      </c>
      <c r="K562" t="s">
        <v>26</v>
      </c>
      <c r="L562" t="s">
        <v>21</v>
      </c>
      <c r="M562" t="s">
        <v>38</v>
      </c>
      <c r="N562">
        <f>SalesData[[#This Row],[Quantity_Sold]]*SalesData[[#This Row],[Unit_Cost]]</f>
        <v>53000.12</v>
      </c>
      <c r="O562">
        <f>SalesData[[#This Row],[Quantity_Sold]]*SalesData[[#This Row],[Unit_Price]]</f>
        <v>70250.22</v>
      </c>
      <c r="P562">
        <f>SalesData[[#This Row],[Gross_sales]]*(1-SalesData[[#This Row],[Discount]])</f>
        <v>70250.22</v>
      </c>
      <c r="Q562" s="2">
        <f>SalesData[[#This Row],[Sales_amount]]-SalesData[[#This Row],[Total_Cost]]</f>
        <v>17250.099999999999</v>
      </c>
      <c r="R562" s="2">
        <f>SalesData[[#This Row],[Profit]]/SalesData[[#This Row],[Sales_amount]]</f>
        <v>0.24555225592176078</v>
      </c>
      <c r="S562" s="2">
        <f>SalesData[[#This Row],[Unit_Price]]-SalesData[[#This Row],[Unit_Cost]]</f>
        <v>453.95000000000005</v>
      </c>
      <c r="T562" s="10">
        <f>SalesData[[#This Row],[Unit_Margin]]/SalesData[[#This Row],[Unit_Price]]</f>
        <v>0.24555225592176083</v>
      </c>
      <c r="U562" s="2" t="str">
        <f>IF(SalesData[[#This Row],[Unit_Margin]]&lt;0, "Negative margin", "Positive margin")</f>
        <v>Positive margin</v>
      </c>
      <c r="V562" s="2" t="str">
        <f>IF(SalesData[[#This Row],[Profit]]&lt;0, "Loss", "Profit")</f>
        <v>Profit</v>
      </c>
      <c r="W562" s="2">
        <f>SalesData[[#This Row],[Unit_Price]]*(1-SalesData[[#This Row],[Discount]])</f>
        <v>1848.69</v>
      </c>
      <c r="X562" s="2">
        <f>SalesData[[#This Row],[Effective_Unit_Price]]-SalesData[[#This Row],[Unit_Cost]]</f>
        <v>453.95000000000005</v>
      </c>
      <c r="Y562" s="2" t="str">
        <f>IF(SalesData[[#This Row],[Effective_Unit_Margin]]&lt;0,"Loss per Unit","Positive per Unit")</f>
        <v>Positive per Unit</v>
      </c>
    </row>
    <row r="563" spans="1:25" x14ac:dyDescent="0.3">
      <c r="A563">
        <v>1043</v>
      </c>
      <c r="B563" s="1">
        <v>45275</v>
      </c>
      <c r="C563" t="s">
        <v>23</v>
      </c>
      <c r="D563" t="s">
        <v>20</v>
      </c>
      <c r="E563">
        <v>6</v>
      </c>
      <c r="F563" t="s">
        <v>28</v>
      </c>
      <c r="G563">
        <v>563.59</v>
      </c>
      <c r="H563">
        <v>838.97</v>
      </c>
      <c r="I563" t="s">
        <v>29</v>
      </c>
      <c r="J563" s="2">
        <v>0.17</v>
      </c>
      <c r="K563" t="s">
        <v>30</v>
      </c>
      <c r="L563" t="s">
        <v>18</v>
      </c>
      <c r="M563" t="s">
        <v>46</v>
      </c>
      <c r="N563">
        <f>SalesData[[#This Row],[Quantity_Sold]]*SalesData[[#This Row],[Unit_Cost]]</f>
        <v>3381.54</v>
      </c>
      <c r="O563">
        <f>SalesData[[#This Row],[Quantity_Sold]]*SalesData[[#This Row],[Unit_Price]]</f>
        <v>5033.82</v>
      </c>
      <c r="P563">
        <f>SalesData[[#This Row],[Gross_sales]]*(1-SalesData[[#This Row],[Discount]])</f>
        <v>4178.0705999999991</v>
      </c>
      <c r="Q563" s="2">
        <f>SalesData[[#This Row],[Sales_amount]]-SalesData[[#This Row],[Total_Cost]]</f>
        <v>796.53059999999914</v>
      </c>
      <c r="R563" s="2">
        <f>SalesData[[#This Row],[Profit]]/SalesData[[#This Row],[Sales_amount]]</f>
        <v>0.19064555778449491</v>
      </c>
      <c r="S563" s="2">
        <f>SalesData[[#This Row],[Unit_Price]]-SalesData[[#This Row],[Unit_Cost]]</f>
        <v>275.38</v>
      </c>
      <c r="T563" s="10">
        <f>SalesData[[#This Row],[Unit_Margin]]/SalesData[[#This Row],[Unit_Price]]</f>
        <v>0.32823581296113091</v>
      </c>
      <c r="U563" s="2" t="str">
        <f>IF(SalesData[[#This Row],[Unit_Margin]]&lt;0, "Negative margin", "Positive margin")</f>
        <v>Positive margin</v>
      </c>
      <c r="V563" s="2" t="str">
        <f>IF(SalesData[[#This Row],[Profit]]&lt;0, "Loss", "Profit")</f>
        <v>Profit</v>
      </c>
      <c r="W563" s="2">
        <f>SalesData[[#This Row],[Unit_Price]]*(1-SalesData[[#This Row],[Discount]])</f>
        <v>696.3451</v>
      </c>
      <c r="X563" s="2">
        <f>SalesData[[#This Row],[Effective_Unit_Price]]-SalesData[[#This Row],[Unit_Cost]]</f>
        <v>132.75509999999997</v>
      </c>
      <c r="Y563" s="2" t="str">
        <f>IF(SalesData[[#This Row],[Effective_Unit_Margin]]&lt;0,"Loss per Unit","Positive per Unit")</f>
        <v>Positive per Unit</v>
      </c>
    </row>
    <row r="564" spans="1:25" x14ac:dyDescent="0.3">
      <c r="A564">
        <v>1044</v>
      </c>
      <c r="B564" s="1">
        <v>45136</v>
      </c>
      <c r="C564" t="s">
        <v>41</v>
      </c>
      <c r="D564" t="s">
        <v>14</v>
      </c>
      <c r="E564">
        <v>47</v>
      </c>
      <c r="F564" t="s">
        <v>34</v>
      </c>
      <c r="G564">
        <v>1512.34</v>
      </c>
      <c r="H564">
        <v>1830.76</v>
      </c>
      <c r="I564" t="s">
        <v>29</v>
      </c>
      <c r="J564" s="2">
        <v>0.12</v>
      </c>
      <c r="K564" t="s">
        <v>26</v>
      </c>
      <c r="L564" t="s">
        <v>18</v>
      </c>
      <c r="M564" t="s">
        <v>48</v>
      </c>
      <c r="N564">
        <f>SalesData[[#This Row],[Quantity_Sold]]*SalesData[[#This Row],[Unit_Cost]]</f>
        <v>71079.98</v>
      </c>
      <c r="O564">
        <f>SalesData[[#This Row],[Quantity_Sold]]*SalesData[[#This Row],[Unit_Price]]</f>
        <v>86045.72</v>
      </c>
      <c r="P564">
        <f>SalesData[[#This Row],[Gross_sales]]*(1-SalesData[[#This Row],[Discount]])</f>
        <v>75720.233600000007</v>
      </c>
      <c r="Q564" s="2">
        <f>SalesData[[#This Row],[Sales_amount]]-SalesData[[#This Row],[Total_Cost]]</f>
        <v>4640.2536000000109</v>
      </c>
      <c r="R564" s="2">
        <f>SalesData[[#This Row],[Profit]]/SalesData[[#This Row],[Sales_amount]]</f>
        <v>6.1281554207989267E-2</v>
      </c>
      <c r="S564" s="2">
        <f>SalesData[[#This Row],[Unit_Price]]-SalesData[[#This Row],[Unit_Cost]]</f>
        <v>318.42000000000007</v>
      </c>
      <c r="T564" s="10">
        <f>SalesData[[#This Row],[Unit_Margin]]/SalesData[[#This Row],[Unit_Price]]</f>
        <v>0.17392776770303048</v>
      </c>
      <c r="U564" s="2" t="str">
        <f>IF(SalesData[[#This Row],[Unit_Margin]]&lt;0, "Negative margin", "Positive margin")</f>
        <v>Positive margin</v>
      </c>
      <c r="V564" s="2" t="str">
        <f>IF(SalesData[[#This Row],[Profit]]&lt;0, "Loss", "Profit")</f>
        <v>Profit</v>
      </c>
      <c r="W564" s="2">
        <f>SalesData[[#This Row],[Unit_Price]]*(1-SalesData[[#This Row],[Discount]])</f>
        <v>1611.0688</v>
      </c>
      <c r="X564" s="2">
        <f>SalesData[[#This Row],[Effective_Unit_Price]]-SalesData[[#This Row],[Unit_Cost]]</f>
        <v>98.728800000000092</v>
      </c>
      <c r="Y564" s="2" t="str">
        <f>IF(SalesData[[#This Row],[Effective_Unit_Margin]]&lt;0,"Loss per Unit","Positive per Unit")</f>
        <v>Positive per Unit</v>
      </c>
    </row>
    <row r="565" spans="1:25" x14ac:dyDescent="0.3">
      <c r="A565">
        <v>1029</v>
      </c>
      <c r="B565" s="1">
        <v>45087</v>
      </c>
      <c r="C565" t="s">
        <v>37</v>
      </c>
      <c r="D565" t="s">
        <v>33</v>
      </c>
      <c r="E565">
        <v>15</v>
      </c>
      <c r="F565" t="s">
        <v>28</v>
      </c>
      <c r="G565">
        <v>498.27</v>
      </c>
      <c r="H565">
        <v>634.16</v>
      </c>
      <c r="I565" t="s">
        <v>16</v>
      </c>
      <c r="J565" s="2">
        <v>0.11</v>
      </c>
      <c r="K565" t="s">
        <v>30</v>
      </c>
      <c r="L565" t="s">
        <v>21</v>
      </c>
      <c r="M565" t="s">
        <v>47</v>
      </c>
      <c r="N565">
        <f>SalesData[[#This Row],[Quantity_Sold]]*SalesData[[#This Row],[Unit_Cost]]</f>
        <v>7474.0499999999993</v>
      </c>
      <c r="O565">
        <f>SalesData[[#This Row],[Quantity_Sold]]*SalesData[[#This Row],[Unit_Price]]</f>
        <v>9512.4</v>
      </c>
      <c r="P565">
        <f>SalesData[[#This Row],[Gross_sales]]*(1-SalesData[[#This Row],[Discount]])</f>
        <v>8466.0360000000001</v>
      </c>
      <c r="Q565" s="2">
        <f>SalesData[[#This Row],[Sales_amount]]-SalesData[[#This Row],[Total_Cost]]</f>
        <v>991.98600000000079</v>
      </c>
      <c r="R565" s="2">
        <f>SalesData[[#This Row],[Profit]]/SalesData[[#This Row],[Sales_amount]]</f>
        <v>0.11717242874941718</v>
      </c>
      <c r="S565" s="2">
        <f>SalesData[[#This Row],[Unit_Price]]-SalesData[[#This Row],[Unit_Cost]]</f>
        <v>135.88999999999999</v>
      </c>
      <c r="T565" s="10">
        <f>SalesData[[#This Row],[Unit_Margin]]/SalesData[[#This Row],[Unit_Price]]</f>
        <v>0.21428346158698119</v>
      </c>
      <c r="U565" s="2" t="str">
        <f>IF(SalesData[[#This Row],[Unit_Margin]]&lt;0, "Negative margin", "Positive margin")</f>
        <v>Positive margin</v>
      </c>
      <c r="V565" s="2" t="str">
        <f>IF(SalesData[[#This Row],[Profit]]&lt;0, "Loss", "Profit")</f>
        <v>Profit</v>
      </c>
      <c r="W565" s="2">
        <f>SalesData[[#This Row],[Unit_Price]]*(1-SalesData[[#This Row],[Discount]])</f>
        <v>564.40239999999994</v>
      </c>
      <c r="X565" s="2">
        <f>SalesData[[#This Row],[Effective_Unit_Price]]-SalesData[[#This Row],[Unit_Cost]]</f>
        <v>66.132399999999961</v>
      </c>
      <c r="Y565" s="2" t="str">
        <f>IF(SalesData[[#This Row],[Effective_Unit_Margin]]&lt;0,"Loss per Unit","Positive per Unit")</f>
        <v>Positive per Unit</v>
      </c>
    </row>
    <row r="566" spans="1:25" x14ac:dyDescent="0.3">
      <c r="A566">
        <v>1013</v>
      </c>
      <c r="B566" s="1">
        <v>44942</v>
      </c>
      <c r="C566" t="s">
        <v>37</v>
      </c>
      <c r="D566" t="s">
        <v>33</v>
      </c>
      <c r="E566">
        <v>20</v>
      </c>
      <c r="F566" t="s">
        <v>28</v>
      </c>
      <c r="G566">
        <v>3356.62</v>
      </c>
      <c r="H566">
        <v>3759.0099999999902</v>
      </c>
      <c r="I566" t="s">
        <v>16</v>
      </c>
      <c r="J566" s="2">
        <v>0.05</v>
      </c>
      <c r="K566" t="s">
        <v>30</v>
      </c>
      <c r="L566" t="s">
        <v>21</v>
      </c>
      <c r="M566" t="s">
        <v>47</v>
      </c>
      <c r="N566">
        <f>SalesData[[#This Row],[Quantity_Sold]]*SalesData[[#This Row],[Unit_Cost]]</f>
        <v>67132.399999999994</v>
      </c>
      <c r="O566">
        <f>SalesData[[#This Row],[Quantity_Sold]]*SalesData[[#This Row],[Unit_Price]]</f>
        <v>75180.199999999808</v>
      </c>
      <c r="P566">
        <f>SalesData[[#This Row],[Gross_sales]]*(1-SalesData[[#This Row],[Discount]])</f>
        <v>71421.189999999813</v>
      </c>
      <c r="Q566" s="2">
        <f>SalesData[[#This Row],[Sales_amount]]-SalesData[[#This Row],[Total_Cost]]</f>
        <v>4288.789999999819</v>
      </c>
      <c r="R566" s="2">
        <f>SalesData[[#This Row],[Profit]]/SalesData[[#This Row],[Sales_amount]]</f>
        <v>6.0049265491093469E-2</v>
      </c>
      <c r="S566" s="2">
        <f>SalesData[[#This Row],[Unit_Price]]-SalesData[[#This Row],[Unit_Cost]]</f>
        <v>402.38999999999032</v>
      </c>
      <c r="T566" s="10">
        <f>SalesData[[#This Row],[Unit_Margin]]/SalesData[[#This Row],[Unit_Price]]</f>
        <v>0.10704680221653876</v>
      </c>
      <c r="U566" s="2" t="str">
        <f>IF(SalesData[[#This Row],[Unit_Margin]]&lt;0, "Negative margin", "Positive margin")</f>
        <v>Positive margin</v>
      </c>
      <c r="V566" s="2" t="str">
        <f>IF(SalesData[[#This Row],[Profit]]&lt;0, "Loss", "Profit")</f>
        <v>Profit</v>
      </c>
      <c r="W566" s="2">
        <f>SalesData[[#This Row],[Unit_Price]]*(1-SalesData[[#This Row],[Discount]])</f>
        <v>3571.0594999999907</v>
      </c>
      <c r="X566" s="2">
        <f>SalesData[[#This Row],[Effective_Unit_Price]]-SalesData[[#This Row],[Unit_Cost]]</f>
        <v>214.43949999999086</v>
      </c>
      <c r="Y566" s="2" t="str">
        <f>IF(SalesData[[#This Row],[Effective_Unit_Margin]]&lt;0,"Loss per Unit","Positive per Unit")</f>
        <v>Positive per Unit</v>
      </c>
    </row>
    <row r="567" spans="1:25" x14ac:dyDescent="0.3">
      <c r="A567">
        <v>1012</v>
      </c>
      <c r="B567" s="1">
        <v>45034</v>
      </c>
      <c r="C567" t="s">
        <v>41</v>
      </c>
      <c r="D567" t="s">
        <v>24</v>
      </c>
      <c r="E567">
        <v>9</v>
      </c>
      <c r="F567" t="s">
        <v>34</v>
      </c>
      <c r="G567">
        <v>709.97</v>
      </c>
      <c r="H567">
        <v>1029.71</v>
      </c>
      <c r="I567" t="s">
        <v>16</v>
      </c>
      <c r="J567" s="2">
        <v>0.13</v>
      </c>
      <c r="K567" t="s">
        <v>26</v>
      </c>
      <c r="L567" t="s">
        <v>21</v>
      </c>
      <c r="M567" t="s">
        <v>42</v>
      </c>
      <c r="N567">
        <f>SalesData[[#This Row],[Quantity_Sold]]*SalesData[[#This Row],[Unit_Cost]]</f>
        <v>6389.7300000000005</v>
      </c>
      <c r="O567">
        <f>SalesData[[#This Row],[Quantity_Sold]]*SalesData[[#This Row],[Unit_Price]]</f>
        <v>9267.39</v>
      </c>
      <c r="P567">
        <f>SalesData[[#This Row],[Gross_sales]]*(1-SalesData[[#This Row],[Discount]])</f>
        <v>8062.6292999999996</v>
      </c>
      <c r="Q567" s="2">
        <f>SalesData[[#This Row],[Sales_amount]]-SalesData[[#This Row],[Total_Cost]]</f>
        <v>1672.8992999999991</v>
      </c>
      <c r="R567" s="2">
        <f>SalesData[[#This Row],[Profit]]/SalesData[[#This Row],[Sales_amount]]</f>
        <v>0.20748805851708935</v>
      </c>
      <c r="S567" s="2">
        <f>SalesData[[#This Row],[Unit_Price]]-SalesData[[#This Row],[Unit_Cost]]</f>
        <v>319.74</v>
      </c>
      <c r="T567" s="10">
        <f>SalesData[[#This Row],[Unit_Margin]]/SalesData[[#This Row],[Unit_Price]]</f>
        <v>0.31051461090986782</v>
      </c>
      <c r="U567" s="2" t="str">
        <f>IF(SalesData[[#This Row],[Unit_Margin]]&lt;0, "Negative margin", "Positive margin")</f>
        <v>Positive margin</v>
      </c>
      <c r="V567" s="2" t="str">
        <f>IF(SalesData[[#This Row],[Profit]]&lt;0, "Loss", "Profit")</f>
        <v>Profit</v>
      </c>
      <c r="W567" s="2">
        <f>SalesData[[#This Row],[Unit_Price]]*(1-SalesData[[#This Row],[Discount]])</f>
        <v>895.84770000000003</v>
      </c>
      <c r="X567" s="2">
        <f>SalesData[[#This Row],[Effective_Unit_Price]]-SalesData[[#This Row],[Unit_Cost]]</f>
        <v>185.8777</v>
      </c>
      <c r="Y567" s="2" t="str">
        <f>IF(SalesData[[#This Row],[Effective_Unit_Margin]]&lt;0,"Loss per Unit","Positive per Unit")</f>
        <v>Positive per Unit</v>
      </c>
    </row>
    <row r="568" spans="1:25" x14ac:dyDescent="0.3">
      <c r="A568">
        <v>1095</v>
      </c>
      <c r="B568" s="1">
        <v>45237</v>
      </c>
      <c r="C568" t="s">
        <v>32</v>
      </c>
      <c r="D568" t="s">
        <v>20</v>
      </c>
      <c r="E568">
        <v>32</v>
      </c>
      <c r="F568" t="s">
        <v>28</v>
      </c>
      <c r="G568">
        <v>4266.6400000000003</v>
      </c>
      <c r="H568">
        <v>4523.3599999999997</v>
      </c>
      <c r="I568" t="s">
        <v>29</v>
      </c>
      <c r="J568" s="2">
        <v>0.3</v>
      </c>
      <c r="K568" t="s">
        <v>26</v>
      </c>
      <c r="L568" t="s">
        <v>21</v>
      </c>
      <c r="M568" t="s">
        <v>36</v>
      </c>
      <c r="N568">
        <f>SalesData[[#This Row],[Quantity_Sold]]*SalesData[[#This Row],[Unit_Cost]]</f>
        <v>136532.48000000001</v>
      </c>
      <c r="O568">
        <f>SalesData[[#This Row],[Quantity_Sold]]*SalesData[[#This Row],[Unit_Price]]</f>
        <v>144747.51999999999</v>
      </c>
      <c r="P568">
        <f>SalesData[[#This Row],[Gross_sales]]*(1-SalesData[[#This Row],[Discount]])</f>
        <v>101323.26399999998</v>
      </c>
      <c r="Q568" s="2">
        <f>SalesData[[#This Row],[Sales_amount]]-SalesData[[#This Row],[Total_Cost]]</f>
        <v>-35209.216000000029</v>
      </c>
      <c r="R568" s="2">
        <f>SalesData[[#This Row],[Profit]]/SalesData[[#This Row],[Sales_amount]]</f>
        <v>-0.34749389834105654</v>
      </c>
      <c r="S568" s="2">
        <f>SalesData[[#This Row],[Unit_Price]]-SalesData[[#This Row],[Unit_Cost]]</f>
        <v>256.71999999999935</v>
      </c>
      <c r="T568" s="10">
        <f>SalesData[[#This Row],[Unit_Margin]]/SalesData[[#This Row],[Unit_Price]]</f>
        <v>5.6754271161260514E-2</v>
      </c>
      <c r="U568" s="2" t="str">
        <f>IF(SalesData[[#This Row],[Unit_Margin]]&lt;0, "Negative margin", "Positive margin")</f>
        <v>Positive margin</v>
      </c>
      <c r="V568" s="2" t="str">
        <f>IF(SalesData[[#This Row],[Profit]]&lt;0, "Loss", "Profit")</f>
        <v>Loss</v>
      </c>
      <c r="W568" s="2">
        <f>SalesData[[#This Row],[Unit_Price]]*(1-SalesData[[#This Row],[Discount]])</f>
        <v>3166.3519999999994</v>
      </c>
      <c r="X568" s="2">
        <f>SalesData[[#This Row],[Effective_Unit_Price]]-SalesData[[#This Row],[Unit_Cost]]</f>
        <v>-1100.2880000000009</v>
      </c>
      <c r="Y568" s="2" t="str">
        <f>IF(SalesData[[#This Row],[Effective_Unit_Margin]]&lt;0,"Loss per Unit","Positive per Unit")</f>
        <v>Loss per Unit</v>
      </c>
    </row>
    <row r="569" spans="1:25" x14ac:dyDescent="0.3">
      <c r="A569">
        <v>1046</v>
      </c>
      <c r="B569" s="1">
        <v>45153</v>
      </c>
      <c r="C569" t="s">
        <v>41</v>
      </c>
      <c r="D569" t="s">
        <v>24</v>
      </c>
      <c r="E569">
        <v>4</v>
      </c>
      <c r="F569" t="s">
        <v>15</v>
      </c>
      <c r="G569">
        <v>4095.1</v>
      </c>
      <c r="H569">
        <v>4134.55</v>
      </c>
      <c r="I569" t="s">
        <v>16</v>
      </c>
      <c r="J569" s="2">
        <v>0.09</v>
      </c>
      <c r="K569" t="s">
        <v>26</v>
      </c>
      <c r="L569" t="s">
        <v>21</v>
      </c>
      <c r="M569" t="s">
        <v>42</v>
      </c>
      <c r="N569">
        <f>SalesData[[#This Row],[Quantity_Sold]]*SalesData[[#This Row],[Unit_Cost]]</f>
        <v>16380.4</v>
      </c>
      <c r="O569">
        <f>SalesData[[#This Row],[Quantity_Sold]]*SalesData[[#This Row],[Unit_Price]]</f>
        <v>16538.2</v>
      </c>
      <c r="P569">
        <f>SalesData[[#This Row],[Gross_sales]]*(1-SalesData[[#This Row],[Discount]])</f>
        <v>15049.762000000001</v>
      </c>
      <c r="Q569" s="2">
        <f>SalesData[[#This Row],[Sales_amount]]-SalesData[[#This Row],[Total_Cost]]</f>
        <v>-1330.637999999999</v>
      </c>
      <c r="R569" s="2">
        <f>SalesData[[#This Row],[Profit]]/SalesData[[#This Row],[Sales_amount]]</f>
        <v>-8.8415883254499242E-2</v>
      </c>
      <c r="S569" s="2">
        <f>SalesData[[#This Row],[Unit_Price]]-SalesData[[#This Row],[Unit_Cost]]</f>
        <v>39.450000000000273</v>
      </c>
      <c r="T569" s="10">
        <f>SalesData[[#This Row],[Unit_Margin]]/SalesData[[#This Row],[Unit_Price]]</f>
        <v>9.5415462384056959E-3</v>
      </c>
      <c r="U569" s="2" t="str">
        <f>IF(SalesData[[#This Row],[Unit_Margin]]&lt;0, "Negative margin", "Positive margin")</f>
        <v>Positive margin</v>
      </c>
      <c r="V569" s="2" t="str">
        <f>IF(SalesData[[#This Row],[Profit]]&lt;0, "Loss", "Profit")</f>
        <v>Loss</v>
      </c>
      <c r="W569" s="2">
        <f>SalesData[[#This Row],[Unit_Price]]*(1-SalesData[[#This Row],[Discount]])</f>
        <v>3762.4405000000002</v>
      </c>
      <c r="X569" s="2">
        <f>SalesData[[#This Row],[Effective_Unit_Price]]-SalesData[[#This Row],[Unit_Cost]]</f>
        <v>-332.65949999999975</v>
      </c>
      <c r="Y569" s="2" t="str">
        <f>IF(SalesData[[#This Row],[Effective_Unit_Margin]]&lt;0,"Loss per Unit","Positive per Unit")</f>
        <v>Loss per Unit</v>
      </c>
    </row>
    <row r="570" spans="1:25" x14ac:dyDescent="0.3">
      <c r="A570">
        <v>1002</v>
      </c>
      <c r="B570" s="1">
        <v>45096</v>
      </c>
      <c r="C570" t="s">
        <v>37</v>
      </c>
      <c r="D570" t="s">
        <v>20</v>
      </c>
      <c r="E570">
        <v>18</v>
      </c>
      <c r="F570" t="s">
        <v>25</v>
      </c>
      <c r="G570">
        <v>117.63</v>
      </c>
      <c r="H570">
        <v>576.44000000000005</v>
      </c>
      <c r="I570" t="s">
        <v>29</v>
      </c>
      <c r="J570" s="2">
        <v>0.18</v>
      </c>
      <c r="K570" t="s">
        <v>30</v>
      </c>
      <c r="L570" t="s">
        <v>21</v>
      </c>
      <c r="M570" t="s">
        <v>40</v>
      </c>
      <c r="N570">
        <f>SalesData[[#This Row],[Quantity_Sold]]*SalesData[[#This Row],[Unit_Cost]]</f>
        <v>2117.34</v>
      </c>
      <c r="O570">
        <f>SalesData[[#This Row],[Quantity_Sold]]*SalesData[[#This Row],[Unit_Price]]</f>
        <v>10375.920000000002</v>
      </c>
      <c r="P570">
        <f>SalesData[[#This Row],[Gross_sales]]*(1-SalesData[[#This Row],[Discount]])</f>
        <v>8508.2544000000016</v>
      </c>
      <c r="Q570" s="2">
        <f>SalesData[[#This Row],[Sales_amount]]-SalesData[[#This Row],[Total_Cost]]</f>
        <v>6390.9144000000015</v>
      </c>
      <c r="R570" s="2">
        <f>SalesData[[#This Row],[Profit]]/SalesData[[#This Row],[Sales_amount]]</f>
        <v>0.75114284311950053</v>
      </c>
      <c r="S570" s="2">
        <f>SalesData[[#This Row],[Unit_Price]]-SalesData[[#This Row],[Unit_Cost]]</f>
        <v>458.81000000000006</v>
      </c>
      <c r="T570" s="10">
        <f>SalesData[[#This Row],[Unit_Margin]]/SalesData[[#This Row],[Unit_Price]]</f>
        <v>0.79593713135799049</v>
      </c>
      <c r="U570" s="2" t="str">
        <f>IF(SalesData[[#This Row],[Unit_Margin]]&lt;0, "Negative margin", "Positive margin")</f>
        <v>Positive margin</v>
      </c>
      <c r="V570" s="2" t="str">
        <f>IF(SalesData[[#This Row],[Profit]]&lt;0, "Loss", "Profit")</f>
        <v>Profit</v>
      </c>
      <c r="W570" s="2">
        <f>SalesData[[#This Row],[Unit_Price]]*(1-SalesData[[#This Row],[Discount]])</f>
        <v>472.68080000000009</v>
      </c>
      <c r="X570" s="2">
        <f>SalesData[[#This Row],[Effective_Unit_Price]]-SalesData[[#This Row],[Unit_Cost]]</f>
        <v>355.05080000000009</v>
      </c>
      <c r="Y570" s="2" t="str">
        <f>IF(SalesData[[#This Row],[Effective_Unit_Margin]]&lt;0,"Loss per Unit","Positive per Unit")</f>
        <v>Positive per Unit</v>
      </c>
    </row>
    <row r="571" spans="1:25" x14ac:dyDescent="0.3">
      <c r="A571">
        <v>1035</v>
      </c>
      <c r="B571" s="1">
        <v>44960</v>
      </c>
      <c r="C571" t="s">
        <v>32</v>
      </c>
      <c r="D571" t="s">
        <v>14</v>
      </c>
      <c r="E571">
        <v>5</v>
      </c>
      <c r="F571" t="s">
        <v>25</v>
      </c>
      <c r="G571">
        <v>4483.8500000000004</v>
      </c>
      <c r="H571">
        <v>4795.42</v>
      </c>
      <c r="I571" t="s">
        <v>16</v>
      </c>
      <c r="J571" s="2">
        <v>0.23</v>
      </c>
      <c r="K571" t="s">
        <v>17</v>
      </c>
      <c r="L571" t="s">
        <v>18</v>
      </c>
      <c r="M571" t="s">
        <v>52</v>
      </c>
      <c r="N571">
        <f>SalesData[[#This Row],[Quantity_Sold]]*SalesData[[#This Row],[Unit_Cost]]</f>
        <v>22419.25</v>
      </c>
      <c r="O571">
        <f>SalesData[[#This Row],[Quantity_Sold]]*SalesData[[#This Row],[Unit_Price]]</f>
        <v>23977.1</v>
      </c>
      <c r="P571">
        <f>SalesData[[#This Row],[Gross_sales]]*(1-SalesData[[#This Row],[Discount]])</f>
        <v>18462.366999999998</v>
      </c>
      <c r="Q571" s="2">
        <f>SalesData[[#This Row],[Sales_amount]]-SalesData[[#This Row],[Total_Cost]]</f>
        <v>-3956.8830000000016</v>
      </c>
      <c r="R571" s="2">
        <f>SalesData[[#This Row],[Profit]]/SalesData[[#This Row],[Sales_amount]]</f>
        <v>-0.21432154392770991</v>
      </c>
      <c r="S571" s="2">
        <f>SalesData[[#This Row],[Unit_Price]]-SalesData[[#This Row],[Unit_Cost]]</f>
        <v>311.56999999999971</v>
      </c>
      <c r="T571" s="10">
        <f>SalesData[[#This Row],[Unit_Margin]]/SalesData[[#This Row],[Unit_Price]]</f>
        <v>6.497241117566338E-2</v>
      </c>
      <c r="U571" s="2" t="str">
        <f>IF(SalesData[[#This Row],[Unit_Margin]]&lt;0, "Negative margin", "Positive margin")</f>
        <v>Positive margin</v>
      </c>
      <c r="V571" s="2" t="str">
        <f>IF(SalesData[[#This Row],[Profit]]&lt;0, "Loss", "Profit")</f>
        <v>Loss</v>
      </c>
      <c r="W571" s="2">
        <f>SalesData[[#This Row],[Unit_Price]]*(1-SalesData[[#This Row],[Discount]])</f>
        <v>3692.4734000000003</v>
      </c>
      <c r="X571" s="2">
        <f>SalesData[[#This Row],[Effective_Unit_Price]]-SalesData[[#This Row],[Unit_Cost]]</f>
        <v>-791.37660000000005</v>
      </c>
      <c r="Y571" s="2" t="str">
        <f>IF(SalesData[[#This Row],[Effective_Unit_Margin]]&lt;0,"Loss per Unit","Positive per Unit")</f>
        <v>Loss per Unit</v>
      </c>
    </row>
    <row r="572" spans="1:25" x14ac:dyDescent="0.3">
      <c r="A572">
        <v>1087</v>
      </c>
      <c r="B572" s="1">
        <v>45177</v>
      </c>
      <c r="C572" t="s">
        <v>32</v>
      </c>
      <c r="D572" t="s">
        <v>14</v>
      </c>
      <c r="E572">
        <v>20</v>
      </c>
      <c r="F572" t="s">
        <v>28</v>
      </c>
      <c r="G572">
        <v>193.27</v>
      </c>
      <c r="H572">
        <v>297.69</v>
      </c>
      <c r="I572" t="s">
        <v>29</v>
      </c>
      <c r="J572" s="2">
        <v>0.22</v>
      </c>
      <c r="K572" t="s">
        <v>17</v>
      </c>
      <c r="L572" t="s">
        <v>18</v>
      </c>
      <c r="M572" t="s">
        <v>52</v>
      </c>
      <c r="N572">
        <f>SalesData[[#This Row],[Quantity_Sold]]*SalesData[[#This Row],[Unit_Cost]]</f>
        <v>3865.4</v>
      </c>
      <c r="O572">
        <f>SalesData[[#This Row],[Quantity_Sold]]*SalesData[[#This Row],[Unit_Price]]</f>
        <v>5953.8</v>
      </c>
      <c r="P572">
        <f>SalesData[[#This Row],[Gross_sales]]*(1-SalesData[[#This Row],[Discount]])</f>
        <v>4643.9639999999999</v>
      </c>
      <c r="Q572" s="2">
        <f>SalesData[[#This Row],[Sales_amount]]-SalesData[[#This Row],[Total_Cost]]</f>
        <v>778.56399999999985</v>
      </c>
      <c r="R572" s="2">
        <f>SalesData[[#This Row],[Profit]]/SalesData[[#This Row],[Sales_amount]]</f>
        <v>0.16765073975594985</v>
      </c>
      <c r="S572" s="2">
        <f>SalesData[[#This Row],[Unit_Price]]-SalesData[[#This Row],[Unit_Cost]]</f>
        <v>104.41999999999999</v>
      </c>
      <c r="T572" s="10">
        <f>SalesData[[#This Row],[Unit_Margin]]/SalesData[[#This Row],[Unit_Price]]</f>
        <v>0.35076757700964084</v>
      </c>
      <c r="U572" s="2" t="str">
        <f>IF(SalesData[[#This Row],[Unit_Margin]]&lt;0, "Negative margin", "Positive margin")</f>
        <v>Positive margin</v>
      </c>
      <c r="V572" s="2" t="str">
        <f>IF(SalesData[[#This Row],[Profit]]&lt;0, "Loss", "Profit")</f>
        <v>Profit</v>
      </c>
      <c r="W572" s="2">
        <f>SalesData[[#This Row],[Unit_Price]]*(1-SalesData[[#This Row],[Discount]])</f>
        <v>232.19820000000001</v>
      </c>
      <c r="X572" s="2">
        <f>SalesData[[#This Row],[Effective_Unit_Price]]-SalesData[[#This Row],[Unit_Cost]]</f>
        <v>38.928200000000004</v>
      </c>
      <c r="Y572" s="2" t="str">
        <f>IF(SalesData[[#This Row],[Effective_Unit_Margin]]&lt;0,"Loss per Unit","Positive per Unit")</f>
        <v>Positive per Unit</v>
      </c>
    </row>
    <row r="573" spans="1:25" x14ac:dyDescent="0.3">
      <c r="A573">
        <v>1081</v>
      </c>
      <c r="B573" s="1">
        <v>45173</v>
      </c>
      <c r="C573" t="s">
        <v>41</v>
      </c>
      <c r="D573" t="s">
        <v>14</v>
      </c>
      <c r="E573">
        <v>23</v>
      </c>
      <c r="F573" t="s">
        <v>34</v>
      </c>
      <c r="G573">
        <v>1236.25</v>
      </c>
      <c r="H573">
        <v>1543.38</v>
      </c>
      <c r="I573" t="s">
        <v>29</v>
      </c>
      <c r="J573" s="2">
        <v>0.1</v>
      </c>
      <c r="K573" t="s">
        <v>26</v>
      </c>
      <c r="L573" t="s">
        <v>18</v>
      </c>
      <c r="M573" t="s">
        <v>48</v>
      </c>
      <c r="N573">
        <f>SalesData[[#This Row],[Quantity_Sold]]*SalesData[[#This Row],[Unit_Cost]]</f>
        <v>28433.75</v>
      </c>
      <c r="O573">
        <f>SalesData[[#This Row],[Quantity_Sold]]*SalesData[[#This Row],[Unit_Price]]</f>
        <v>35497.740000000005</v>
      </c>
      <c r="P573">
        <f>SalesData[[#This Row],[Gross_sales]]*(1-SalesData[[#This Row],[Discount]])</f>
        <v>31947.966000000004</v>
      </c>
      <c r="Q573" s="2">
        <f>SalesData[[#This Row],[Sales_amount]]-SalesData[[#This Row],[Total_Cost]]</f>
        <v>3514.216000000004</v>
      </c>
      <c r="R573" s="2">
        <f>SalesData[[#This Row],[Profit]]/SalesData[[#This Row],[Sales_amount]]</f>
        <v>0.10999811380793392</v>
      </c>
      <c r="S573" s="2">
        <f>SalesData[[#This Row],[Unit_Price]]-SalesData[[#This Row],[Unit_Cost]]</f>
        <v>307.13000000000011</v>
      </c>
      <c r="T573" s="10">
        <f>SalesData[[#This Row],[Unit_Margin]]/SalesData[[#This Row],[Unit_Price]]</f>
        <v>0.19899830242714048</v>
      </c>
      <c r="U573" s="2" t="str">
        <f>IF(SalesData[[#This Row],[Unit_Margin]]&lt;0, "Negative margin", "Positive margin")</f>
        <v>Positive margin</v>
      </c>
      <c r="V573" s="2" t="str">
        <f>IF(SalesData[[#This Row],[Profit]]&lt;0, "Loss", "Profit")</f>
        <v>Profit</v>
      </c>
      <c r="W573" s="2">
        <f>SalesData[[#This Row],[Unit_Price]]*(1-SalesData[[#This Row],[Discount]])</f>
        <v>1389.0420000000001</v>
      </c>
      <c r="X573" s="2">
        <f>SalesData[[#This Row],[Effective_Unit_Price]]-SalesData[[#This Row],[Unit_Cost]]</f>
        <v>152.79200000000014</v>
      </c>
      <c r="Y573" s="2" t="str">
        <f>IF(SalesData[[#This Row],[Effective_Unit_Margin]]&lt;0,"Loss per Unit","Positive per Unit")</f>
        <v>Positive per Unit</v>
      </c>
    </row>
    <row r="574" spans="1:25" x14ac:dyDescent="0.3">
      <c r="A574">
        <v>1090</v>
      </c>
      <c r="B574" s="1">
        <v>45195</v>
      </c>
      <c r="C574" t="s">
        <v>37</v>
      </c>
      <c r="D574" t="s">
        <v>14</v>
      </c>
      <c r="E574">
        <v>11</v>
      </c>
      <c r="F574" t="s">
        <v>34</v>
      </c>
      <c r="G574">
        <v>210.33</v>
      </c>
      <c r="H574">
        <v>552.29</v>
      </c>
      <c r="I574" t="s">
        <v>16</v>
      </c>
      <c r="J574" s="2">
        <v>0.18</v>
      </c>
      <c r="K574" t="s">
        <v>17</v>
      </c>
      <c r="L574" t="s">
        <v>21</v>
      </c>
      <c r="M574" t="s">
        <v>39</v>
      </c>
      <c r="N574">
        <f>SalesData[[#This Row],[Quantity_Sold]]*SalesData[[#This Row],[Unit_Cost]]</f>
        <v>2313.63</v>
      </c>
      <c r="O574">
        <f>SalesData[[#This Row],[Quantity_Sold]]*SalesData[[#This Row],[Unit_Price]]</f>
        <v>6075.19</v>
      </c>
      <c r="P574">
        <f>SalesData[[#This Row],[Gross_sales]]*(1-SalesData[[#This Row],[Discount]])</f>
        <v>4981.6558000000005</v>
      </c>
      <c r="Q574" s="2">
        <f>SalesData[[#This Row],[Sales_amount]]-SalesData[[#This Row],[Total_Cost]]</f>
        <v>2668.0258000000003</v>
      </c>
      <c r="R574" s="2">
        <f>SalesData[[#This Row],[Profit]]/SalesData[[#This Row],[Sales_amount]]</f>
        <v>0.53557008093574032</v>
      </c>
      <c r="S574" s="2">
        <f>SalesData[[#This Row],[Unit_Price]]-SalesData[[#This Row],[Unit_Cost]]</f>
        <v>341.95999999999992</v>
      </c>
      <c r="T574" s="10">
        <f>SalesData[[#This Row],[Unit_Margin]]/SalesData[[#This Row],[Unit_Price]]</f>
        <v>0.61916746636730691</v>
      </c>
      <c r="U574" s="2" t="str">
        <f>IF(SalesData[[#This Row],[Unit_Margin]]&lt;0, "Negative margin", "Positive margin")</f>
        <v>Positive margin</v>
      </c>
      <c r="V574" s="2" t="str">
        <f>IF(SalesData[[#This Row],[Profit]]&lt;0, "Loss", "Profit")</f>
        <v>Profit</v>
      </c>
      <c r="W574" s="2">
        <f>SalesData[[#This Row],[Unit_Price]]*(1-SalesData[[#This Row],[Discount]])</f>
        <v>452.87779999999998</v>
      </c>
      <c r="X574" s="2">
        <f>SalesData[[#This Row],[Effective_Unit_Price]]-SalesData[[#This Row],[Unit_Cost]]</f>
        <v>242.54779999999997</v>
      </c>
      <c r="Y574" s="2" t="str">
        <f>IF(SalesData[[#This Row],[Effective_Unit_Margin]]&lt;0,"Loss per Unit","Positive per Unit")</f>
        <v>Positive per Unit</v>
      </c>
    </row>
    <row r="575" spans="1:25" x14ac:dyDescent="0.3">
      <c r="A575">
        <v>1008</v>
      </c>
      <c r="B575" s="1">
        <v>45067</v>
      </c>
      <c r="C575" t="s">
        <v>23</v>
      </c>
      <c r="D575" t="s">
        <v>33</v>
      </c>
      <c r="E575">
        <v>37</v>
      </c>
      <c r="F575" t="s">
        <v>15</v>
      </c>
      <c r="G575">
        <v>1712.43</v>
      </c>
      <c r="H575">
        <v>1980.06</v>
      </c>
      <c r="I575" t="s">
        <v>29</v>
      </c>
      <c r="J575" s="2">
        <v>0.26</v>
      </c>
      <c r="K575" t="s">
        <v>17</v>
      </c>
      <c r="L575" t="s">
        <v>18</v>
      </c>
      <c r="M575" t="s">
        <v>49</v>
      </c>
      <c r="N575">
        <f>SalesData[[#This Row],[Quantity_Sold]]*SalesData[[#This Row],[Unit_Cost]]</f>
        <v>63359.91</v>
      </c>
      <c r="O575">
        <f>SalesData[[#This Row],[Quantity_Sold]]*SalesData[[#This Row],[Unit_Price]]</f>
        <v>73262.22</v>
      </c>
      <c r="P575">
        <f>SalesData[[#This Row],[Gross_sales]]*(1-SalesData[[#This Row],[Discount]])</f>
        <v>54214.042800000003</v>
      </c>
      <c r="Q575" s="2">
        <f>SalesData[[#This Row],[Sales_amount]]-SalesData[[#This Row],[Total_Cost]]</f>
        <v>-9145.8672000000006</v>
      </c>
      <c r="R575" s="2">
        <f>SalesData[[#This Row],[Profit]]/SalesData[[#This Row],[Sales_amount]]</f>
        <v>-0.16869922860650416</v>
      </c>
      <c r="S575" s="2">
        <f>SalesData[[#This Row],[Unit_Price]]-SalesData[[#This Row],[Unit_Cost]]</f>
        <v>267.62999999999988</v>
      </c>
      <c r="T575" s="10">
        <f>SalesData[[#This Row],[Unit_Margin]]/SalesData[[#This Row],[Unit_Price]]</f>
        <v>0.13516257083118688</v>
      </c>
      <c r="U575" s="2" t="str">
        <f>IF(SalesData[[#This Row],[Unit_Margin]]&lt;0, "Negative margin", "Positive margin")</f>
        <v>Positive margin</v>
      </c>
      <c r="V575" s="2" t="str">
        <f>IF(SalesData[[#This Row],[Profit]]&lt;0, "Loss", "Profit")</f>
        <v>Loss</v>
      </c>
      <c r="W575" s="2">
        <f>SalesData[[#This Row],[Unit_Price]]*(1-SalesData[[#This Row],[Discount]])</f>
        <v>1465.2444</v>
      </c>
      <c r="X575" s="2">
        <f>SalesData[[#This Row],[Effective_Unit_Price]]-SalesData[[#This Row],[Unit_Cost]]</f>
        <v>-247.18560000000002</v>
      </c>
      <c r="Y575" s="2" t="str">
        <f>IF(SalesData[[#This Row],[Effective_Unit_Margin]]&lt;0,"Loss per Unit","Positive per Unit")</f>
        <v>Loss per Unit</v>
      </c>
    </row>
    <row r="576" spans="1:25" x14ac:dyDescent="0.3">
      <c r="A576">
        <v>1093</v>
      </c>
      <c r="B576" s="1">
        <v>45200</v>
      </c>
      <c r="C576" t="s">
        <v>37</v>
      </c>
      <c r="D576" t="s">
        <v>33</v>
      </c>
      <c r="E576">
        <v>22</v>
      </c>
      <c r="F576" t="s">
        <v>34</v>
      </c>
      <c r="G576">
        <v>2593.64</v>
      </c>
      <c r="H576">
        <v>2955.5099999999902</v>
      </c>
      <c r="I576" t="s">
        <v>16</v>
      </c>
      <c r="J576" s="2">
        <v>0</v>
      </c>
      <c r="K576" t="s">
        <v>26</v>
      </c>
      <c r="L576" t="s">
        <v>21</v>
      </c>
      <c r="M576" t="s">
        <v>47</v>
      </c>
      <c r="N576">
        <f>SalesData[[#This Row],[Quantity_Sold]]*SalesData[[#This Row],[Unit_Cost]]</f>
        <v>57060.079999999994</v>
      </c>
      <c r="O576">
        <f>SalesData[[#This Row],[Quantity_Sold]]*SalesData[[#This Row],[Unit_Price]]</f>
        <v>65021.219999999783</v>
      </c>
      <c r="P576">
        <f>SalesData[[#This Row],[Gross_sales]]*(1-SalesData[[#This Row],[Discount]])</f>
        <v>65021.219999999783</v>
      </c>
      <c r="Q576" s="2">
        <f>SalesData[[#This Row],[Sales_amount]]-SalesData[[#This Row],[Total_Cost]]</f>
        <v>7961.1399999997884</v>
      </c>
      <c r="R576" s="2">
        <f>SalesData[[#This Row],[Profit]]/SalesData[[#This Row],[Sales_amount]]</f>
        <v>0.1224391052644016</v>
      </c>
      <c r="S576" s="2">
        <f>SalesData[[#This Row],[Unit_Price]]-SalesData[[#This Row],[Unit_Cost]]</f>
        <v>361.86999999999034</v>
      </c>
      <c r="T576" s="10">
        <f>SalesData[[#This Row],[Unit_Margin]]/SalesData[[#This Row],[Unit_Price]]</f>
        <v>0.12243910526440159</v>
      </c>
      <c r="U576" s="2" t="str">
        <f>IF(SalesData[[#This Row],[Unit_Margin]]&lt;0, "Negative margin", "Positive margin")</f>
        <v>Positive margin</v>
      </c>
      <c r="V576" s="2" t="str">
        <f>IF(SalesData[[#This Row],[Profit]]&lt;0, "Loss", "Profit")</f>
        <v>Profit</v>
      </c>
      <c r="W576" s="2">
        <f>SalesData[[#This Row],[Unit_Price]]*(1-SalesData[[#This Row],[Discount]])</f>
        <v>2955.5099999999902</v>
      </c>
      <c r="X576" s="2">
        <f>SalesData[[#This Row],[Effective_Unit_Price]]-SalesData[[#This Row],[Unit_Cost]]</f>
        <v>361.86999999999034</v>
      </c>
      <c r="Y576" s="2" t="str">
        <f>IF(SalesData[[#This Row],[Effective_Unit_Margin]]&lt;0,"Loss per Unit","Positive per Unit")</f>
        <v>Positive per Unit</v>
      </c>
    </row>
    <row r="577" spans="1:25" x14ac:dyDescent="0.3">
      <c r="A577">
        <v>1026</v>
      </c>
      <c r="B577" s="1">
        <v>45022</v>
      </c>
      <c r="C577" t="s">
        <v>13</v>
      </c>
      <c r="D577" t="s">
        <v>24</v>
      </c>
      <c r="E577">
        <v>4</v>
      </c>
      <c r="F577" t="s">
        <v>34</v>
      </c>
      <c r="G577">
        <v>3993.39</v>
      </c>
      <c r="H577">
        <v>4288.3</v>
      </c>
      <c r="I577" t="s">
        <v>29</v>
      </c>
      <c r="J577" s="2">
        <v>0.13</v>
      </c>
      <c r="K577" t="s">
        <v>30</v>
      </c>
      <c r="L577" t="s">
        <v>18</v>
      </c>
      <c r="M577" t="s">
        <v>31</v>
      </c>
      <c r="N577">
        <f>SalesData[[#This Row],[Quantity_Sold]]*SalesData[[#This Row],[Unit_Cost]]</f>
        <v>15973.56</v>
      </c>
      <c r="O577">
        <f>SalesData[[#This Row],[Quantity_Sold]]*SalesData[[#This Row],[Unit_Price]]</f>
        <v>17153.2</v>
      </c>
      <c r="P577">
        <f>SalesData[[#This Row],[Gross_sales]]*(1-SalesData[[#This Row],[Discount]])</f>
        <v>14923.284</v>
      </c>
      <c r="Q577" s="2">
        <f>SalesData[[#This Row],[Sales_amount]]-SalesData[[#This Row],[Total_Cost]]</f>
        <v>-1050.2759999999998</v>
      </c>
      <c r="R577" s="2">
        <f>SalesData[[#This Row],[Profit]]/SalesData[[#This Row],[Sales_amount]]</f>
        <v>-7.0378342997426027E-2</v>
      </c>
      <c r="S577" s="2">
        <f>SalesData[[#This Row],[Unit_Price]]-SalesData[[#This Row],[Unit_Cost]]</f>
        <v>294.91000000000031</v>
      </c>
      <c r="T577" s="10">
        <f>SalesData[[#This Row],[Unit_Margin]]/SalesData[[#This Row],[Unit_Price]]</f>
        <v>6.8770841592239423E-2</v>
      </c>
      <c r="U577" s="2" t="str">
        <f>IF(SalesData[[#This Row],[Unit_Margin]]&lt;0, "Negative margin", "Positive margin")</f>
        <v>Positive margin</v>
      </c>
      <c r="V577" s="2" t="str">
        <f>IF(SalesData[[#This Row],[Profit]]&lt;0, "Loss", "Profit")</f>
        <v>Loss</v>
      </c>
      <c r="W577" s="2">
        <f>SalesData[[#This Row],[Unit_Price]]*(1-SalesData[[#This Row],[Discount]])</f>
        <v>3730.8209999999999</v>
      </c>
      <c r="X577" s="2">
        <f>SalesData[[#This Row],[Effective_Unit_Price]]-SalesData[[#This Row],[Unit_Cost]]</f>
        <v>-262.56899999999996</v>
      </c>
      <c r="Y577" s="2" t="str">
        <f>IF(SalesData[[#This Row],[Effective_Unit_Margin]]&lt;0,"Loss per Unit","Positive per Unit")</f>
        <v>Loss per Unit</v>
      </c>
    </row>
    <row r="578" spans="1:25" x14ac:dyDescent="0.3">
      <c r="A578">
        <v>1074</v>
      </c>
      <c r="B578" s="1">
        <v>45153</v>
      </c>
      <c r="C578" t="s">
        <v>23</v>
      </c>
      <c r="D578" t="s">
        <v>20</v>
      </c>
      <c r="E578">
        <v>29</v>
      </c>
      <c r="F578" t="s">
        <v>15</v>
      </c>
      <c r="G578">
        <v>1723.01</v>
      </c>
      <c r="H578">
        <v>2197.42</v>
      </c>
      <c r="I578" t="s">
        <v>29</v>
      </c>
      <c r="J578" s="2">
        <v>7.0000000000000007E-2</v>
      </c>
      <c r="K578" t="s">
        <v>26</v>
      </c>
      <c r="L578" t="s">
        <v>21</v>
      </c>
      <c r="M578" t="s">
        <v>46</v>
      </c>
      <c r="N578">
        <f>SalesData[[#This Row],[Quantity_Sold]]*SalesData[[#This Row],[Unit_Cost]]</f>
        <v>49967.29</v>
      </c>
      <c r="O578">
        <f>SalesData[[#This Row],[Quantity_Sold]]*SalesData[[#This Row],[Unit_Price]]</f>
        <v>63725.18</v>
      </c>
      <c r="P578">
        <f>SalesData[[#This Row],[Gross_sales]]*(1-SalesData[[#This Row],[Discount]])</f>
        <v>59264.417399999998</v>
      </c>
      <c r="Q578" s="2">
        <f>SalesData[[#This Row],[Sales_amount]]-SalesData[[#This Row],[Total_Cost]]</f>
        <v>9297.1273999999976</v>
      </c>
      <c r="R578" s="2">
        <f>SalesData[[#This Row],[Profit]]/SalesData[[#This Row],[Sales_amount]]</f>
        <v>0.15687536987413289</v>
      </c>
      <c r="S578" s="2">
        <f>SalesData[[#This Row],[Unit_Price]]-SalesData[[#This Row],[Unit_Cost]]</f>
        <v>474.41000000000008</v>
      </c>
      <c r="T578" s="10">
        <f>SalesData[[#This Row],[Unit_Margin]]/SalesData[[#This Row],[Unit_Price]]</f>
        <v>0.21589409398294365</v>
      </c>
      <c r="U578" s="2" t="str">
        <f>IF(SalesData[[#This Row],[Unit_Margin]]&lt;0, "Negative margin", "Positive margin")</f>
        <v>Positive margin</v>
      </c>
      <c r="V578" s="2" t="str">
        <f>IF(SalesData[[#This Row],[Profit]]&lt;0, "Loss", "Profit")</f>
        <v>Profit</v>
      </c>
      <c r="W578" s="2">
        <f>SalesData[[#This Row],[Unit_Price]]*(1-SalesData[[#This Row],[Discount]])</f>
        <v>2043.6006</v>
      </c>
      <c r="X578" s="2">
        <f>SalesData[[#This Row],[Effective_Unit_Price]]-SalesData[[#This Row],[Unit_Cost]]</f>
        <v>320.59059999999999</v>
      </c>
      <c r="Y578" s="2" t="str">
        <f>IF(SalesData[[#This Row],[Effective_Unit_Margin]]&lt;0,"Loss per Unit","Positive per Unit")</f>
        <v>Positive per Unit</v>
      </c>
    </row>
    <row r="579" spans="1:25" x14ac:dyDescent="0.3">
      <c r="A579">
        <v>1090</v>
      </c>
      <c r="B579" s="1">
        <v>44965</v>
      </c>
      <c r="C579" t="s">
        <v>32</v>
      </c>
      <c r="D579" t="s">
        <v>14</v>
      </c>
      <c r="E579">
        <v>44</v>
      </c>
      <c r="F579" t="s">
        <v>28</v>
      </c>
      <c r="G579">
        <v>3542.18</v>
      </c>
      <c r="H579">
        <v>3578.49</v>
      </c>
      <c r="I579" t="s">
        <v>16</v>
      </c>
      <c r="J579" s="2">
        <v>0.12</v>
      </c>
      <c r="K579" t="s">
        <v>17</v>
      </c>
      <c r="L579" t="s">
        <v>18</v>
      </c>
      <c r="M579" t="s">
        <v>52</v>
      </c>
      <c r="N579">
        <f>SalesData[[#This Row],[Quantity_Sold]]*SalesData[[#This Row],[Unit_Cost]]</f>
        <v>155855.91999999998</v>
      </c>
      <c r="O579">
        <f>SalesData[[#This Row],[Quantity_Sold]]*SalesData[[#This Row],[Unit_Price]]</f>
        <v>157453.56</v>
      </c>
      <c r="P579">
        <f>SalesData[[#This Row],[Gross_sales]]*(1-SalesData[[#This Row],[Discount]])</f>
        <v>138559.13279999999</v>
      </c>
      <c r="Q579" s="2">
        <f>SalesData[[#This Row],[Sales_amount]]-SalesData[[#This Row],[Total_Cost]]</f>
        <v>-17296.787199999992</v>
      </c>
      <c r="R579" s="2">
        <f>SalesData[[#This Row],[Profit]]/SalesData[[#This Row],[Sales_amount]]</f>
        <v>-0.1248332524205867</v>
      </c>
      <c r="S579" s="2">
        <f>SalesData[[#This Row],[Unit_Price]]-SalesData[[#This Row],[Unit_Cost]]</f>
        <v>36.309999999999945</v>
      </c>
      <c r="T579" s="10">
        <f>SalesData[[#This Row],[Unit_Margin]]/SalesData[[#This Row],[Unit_Price]]</f>
        <v>1.0146737869883651E-2</v>
      </c>
      <c r="U579" s="2" t="str">
        <f>IF(SalesData[[#This Row],[Unit_Margin]]&lt;0, "Negative margin", "Positive margin")</f>
        <v>Positive margin</v>
      </c>
      <c r="V579" s="2" t="str">
        <f>IF(SalesData[[#This Row],[Profit]]&lt;0, "Loss", "Profit")</f>
        <v>Loss</v>
      </c>
      <c r="W579" s="2">
        <f>SalesData[[#This Row],[Unit_Price]]*(1-SalesData[[#This Row],[Discount]])</f>
        <v>3149.0711999999999</v>
      </c>
      <c r="X579" s="2">
        <f>SalesData[[#This Row],[Effective_Unit_Price]]-SalesData[[#This Row],[Unit_Cost]]</f>
        <v>-393.10879999999997</v>
      </c>
      <c r="Y579" s="2" t="str">
        <f>IF(SalesData[[#This Row],[Effective_Unit_Margin]]&lt;0,"Loss per Unit","Positive per Unit")</f>
        <v>Loss per Unit</v>
      </c>
    </row>
    <row r="580" spans="1:25" x14ac:dyDescent="0.3">
      <c r="A580">
        <v>1034</v>
      </c>
      <c r="B580" s="1">
        <v>45228</v>
      </c>
      <c r="C580" t="s">
        <v>23</v>
      </c>
      <c r="D580" t="s">
        <v>14</v>
      </c>
      <c r="E580">
        <v>34</v>
      </c>
      <c r="F580" t="s">
        <v>25</v>
      </c>
      <c r="G580">
        <v>978.15</v>
      </c>
      <c r="H580">
        <v>1040.21</v>
      </c>
      <c r="I580" t="s">
        <v>29</v>
      </c>
      <c r="J580" s="2">
        <v>0.12</v>
      </c>
      <c r="K580" t="s">
        <v>30</v>
      </c>
      <c r="L580" t="s">
        <v>21</v>
      </c>
      <c r="M580" t="s">
        <v>44</v>
      </c>
      <c r="N580">
        <f>SalesData[[#This Row],[Quantity_Sold]]*SalesData[[#This Row],[Unit_Cost]]</f>
        <v>33257.1</v>
      </c>
      <c r="O580">
        <f>SalesData[[#This Row],[Quantity_Sold]]*SalesData[[#This Row],[Unit_Price]]</f>
        <v>35367.14</v>
      </c>
      <c r="P580">
        <f>SalesData[[#This Row],[Gross_sales]]*(1-SalesData[[#This Row],[Discount]])</f>
        <v>31123.083200000001</v>
      </c>
      <c r="Q580" s="2">
        <f>SalesData[[#This Row],[Sales_amount]]-SalesData[[#This Row],[Total_Cost]]</f>
        <v>-2134.0167999999976</v>
      </c>
      <c r="R580" s="2">
        <f>SalesData[[#This Row],[Profit]]/SalesData[[#This Row],[Sales_amount]]</f>
        <v>-6.8567011381442999E-2</v>
      </c>
      <c r="S580" s="2">
        <f>SalesData[[#This Row],[Unit_Price]]-SalesData[[#This Row],[Unit_Cost]]</f>
        <v>62.060000000000059</v>
      </c>
      <c r="T580" s="10">
        <f>SalesData[[#This Row],[Unit_Margin]]/SalesData[[#This Row],[Unit_Price]]</f>
        <v>5.9661029984330143E-2</v>
      </c>
      <c r="U580" s="2" t="str">
        <f>IF(SalesData[[#This Row],[Unit_Margin]]&lt;0, "Negative margin", "Positive margin")</f>
        <v>Positive margin</v>
      </c>
      <c r="V580" s="2" t="str">
        <f>IF(SalesData[[#This Row],[Profit]]&lt;0, "Loss", "Profit")</f>
        <v>Loss</v>
      </c>
      <c r="W580" s="2">
        <f>SalesData[[#This Row],[Unit_Price]]*(1-SalesData[[#This Row],[Discount]])</f>
        <v>915.38480000000004</v>
      </c>
      <c r="X580" s="2">
        <f>SalesData[[#This Row],[Effective_Unit_Price]]-SalesData[[#This Row],[Unit_Cost]]</f>
        <v>-62.765199999999936</v>
      </c>
      <c r="Y580" s="2" t="str">
        <f>IF(SalesData[[#This Row],[Effective_Unit_Margin]]&lt;0,"Loss per Unit","Positive per Unit")</f>
        <v>Loss per Unit</v>
      </c>
    </row>
    <row r="581" spans="1:25" x14ac:dyDescent="0.3">
      <c r="A581">
        <v>1007</v>
      </c>
      <c r="B581" s="1">
        <v>44955</v>
      </c>
      <c r="C581" t="s">
        <v>32</v>
      </c>
      <c r="D581" t="s">
        <v>20</v>
      </c>
      <c r="E581">
        <v>13</v>
      </c>
      <c r="F581" t="s">
        <v>15</v>
      </c>
      <c r="G581">
        <v>3765.46</v>
      </c>
      <c r="H581">
        <v>3860.56</v>
      </c>
      <c r="I581" t="s">
        <v>16</v>
      </c>
      <c r="J581" s="2">
        <v>0.22</v>
      </c>
      <c r="K581" t="s">
        <v>17</v>
      </c>
      <c r="L581" t="s">
        <v>21</v>
      </c>
      <c r="M581" t="s">
        <v>36</v>
      </c>
      <c r="N581">
        <f>SalesData[[#This Row],[Quantity_Sold]]*SalesData[[#This Row],[Unit_Cost]]</f>
        <v>48950.98</v>
      </c>
      <c r="O581">
        <f>SalesData[[#This Row],[Quantity_Sold]]*SalesData[[#This Row],[Unit_Price]]</f>
        <v>50187.28</v>
      </c>
      <c r="P581">
        <f>SalesData[[#This Row],[Gross_sales]]*(1-SalesData[[#This Row],[Discount]])</f>
        <v>39146.078399999999</v>
      </c>
      <c r="Q581" s="2">
        <f>SalesData[[#This Row],[Sales_amount]]-SalesData[[#This Row],[Total_Cost]]</f>
        <v>-9804.9016000000047</v>
      </c>
      <c r="R581" s="2">
        <f>SalesData[[#This Row],[Profit]]/SalesData[[#This Row],[Sales_amount]]</f>
        <v>-0.2504695744951046</v>
      </c>
      <c r="S581" s="2">
        <f>SalesData[[#This Row],[Unit_Price]]-SalesData[[#This Row],[Unit_Cost]]</f>
        <v>95.099999999999909</v>
      </c>
      <c r="T581" s="10">
        <f>SalesData[[#This Row],[Unit_Margin]]/SalesData[[#This Row],[Unit_Price]]</f>
        <v>2.463373189381849E-2</v>
      </c>
      <c r="U581" s="2" t="str">
        <f>IF(SalesData[[#This Row],[Unit_Margin]]&lt;0, "Negative margin", "Positive margin")</f>
        <v>Positive margin</v>
      </c>
      <c r="V581" s="2" t="str">
        <f>IF(SalesData[[#This Row],[Profit]]&lt;0, "Loss", "Profit")</f>
        <v>Loss</v>
      </c>
      <c r="W581" s="2">
        <f>SalesData[[#This Row],[Unit_Price]]*(1-SalesData[[#This Row],[Discount]])</f>
        <v>3011.2368000000001</v>
      </c>
      <c r="X581" s="2">
        <f>SalesData[[#This Row],[Effective_Unit_Price]]-SalesData[[#This Row],[Unit_Cost]]</f>
        <v>-754.22319999999991</v>
      </c>
      <c r="Y581" s="2" t="str">
        <f>IF(SalesData[[#This Row],[Effective_Unit_Margin]]&lt;0,"Loss per Unit","Positive per Unit")</f>
        <v>Loss per Unit</v>
      </c>
    </row>
    <row r="582" spans="1:25" x14ac:dyDescent="0.3">
      <c r="A582">
        <v>1068</v>
      </c>
      <c r="B582" s="1">
        <v>45244</v>
      </c>
      <c r="C582" t="s">
        <v>32</v>
      </c>
      <c r="D582" t="s">
        <v>20</v>
      </c>
      <c r="E582">
        <v>42</v>
      </c>
      <c r="F582" t="s">
        <v>28</v>
      </c>
      <c r="G582">
        <v>1218.18</v>
      </c>
      <c r="H582">
        <v>1566.36</v>
      </c>
      <c r="I582" t="s">
        <v>16</v>
      </c>
      <c r="J582" s="2">
        <v>0.03</v>
      </c>
      <c r="K582" t="s">
        <v>30</v>
      </c>
      <c r="L582" t="s">
        <v>21</v>
      </c>
      <c r="M582" t="s">
        <v>36</v>
      </c>
      <c r="N582">
        <f>SalesData[[#This Row],[Quantity_Sold]]*SalesData[[#This Row],[Unit_Cost]]</f>
        <v>51163.560000000005</v>
      </c>
      <c r="O582">
        <f>SalesData[[#This Row],[Quantity_Sold]]*SalesData[[#This Row],[Unit_Price]]</f>
        <v>65787.12</v>
      </c>
      <c r="P582">
        <f>SalesData[[#This Row],[Gross_sales]]*(1-SalesData[[#This Row],[Discount]])</f>
        <v>63813.506399999991</v>
      </c>
      <c r="Q582" s="2">
        <f>SalesData[[#This Row],[Sales_amount]]-SalesData[[#This Row],[Total_Cost]]</f>
        <v>12649.946399999986</v>
      </c>
      <c r="R582" s="2">
        <f>SalesData[[#This Row],[Profit]]/SalesData[[#This Row],[Sales_amount]]</f>
        <v>0.19823305619200371</v>
      </c>
      <c r="S582" s="2">
        <f>SalesData[[#This Row],[Unit_Price]]-SalesData[[#This Row],[Unit_Cost]]</f>
        <v>348.17999999999984</v>
      </c>
      <c r="T582" s="10">
        <f>SalesData[[#This Row],[Unit_Margin]]/SalesData[[#This Row],[Unit_Price]]</f>
        <v>0.22228606450624369</v>
      </c>
      <c r="U582" s="2" t="str">
        <f>IF(SalesData[[#This Row],[Unit_Margin]]&lt;0, "Negative margin", "Positive margin")</f>
        <v>Positive margin</v>
      </c>
      <c r="V582" s="2" t="str">
        <f>IF(SalesData[[#This Row],[Profit]]&lt;0, "Loss", "Profit")</f>
        <v>Profit</v>
      </c>
      <c r="W582" s="2">
        <f>SalesData[[#This Row],[Unit_Price]]*(1-SalesData[[#This Row],[Discount]])</f>
        <v>1519.3691999999999</v>
      </c>
      <c r="X582" s="2">
        <f>SalesData[[#This Row],[Effective_Unit_Price]]-SalesData[[#This Row],[Unit_Cost]]</f>
        <v>301.1891999999998</v>
      </c>
      <c r="Y582" s="2" t="str">
        <f>IF(SalesData[[#This Row],[Effective_Unit_Margin]]&lt;0,"Loss per Unit","Positive per Unit")</f>
        <v>Positive per Unit</v>
      </c>
    </row>
    <row r="583" spans="1:25" x14ac:dyDescent="0.3">
      <c r="A583">
        <v>1058</v>
      </c>
      <c r="B583" s="1">
        <v>45171</v>
      </c>
      <c r="C583" t="s">
        <v>23</v>
      </c>
      <c r="D583" t="s">
        <v>24</v>
      </c>
      <c r="E583">
        <v>9</v>
      </c>
      <c r="F583" t="s">
        <v>15</v>
      </c>
      <c r="G583">
        <v>760.55</v>
      </c>
      <c r="H583">
        <v>1086.8899999999901</v>
      </c>
      <c r="I583" t="s">
        <v>16</v>
      </c>
      <c r="J583" s="2">
        <v>0.15</v>
      </c>
      <c r="K583" t="s">
        <v>17</v>
      </c>
      <c r="L583" t="s">
        <v>21</v>
      </c>
      <c r="M583" t="s">
        <v>27</v>
      </c>
      <c r="N583">
        <f>SalesData[[#This Row],[Quantity_Sold]]*SalesData[[#This Row],[Unit_Cost]]</f>
        <v>6844.95</v>
      </c>
      <c r="O583">
        <f>SalesData[[#This Row],[Quantity_Sold]]*SalesData[[#This Row],[Unit_Price]]</f>
        <v>9782.0099999999111</v>
      </c>
      <c r="P583">
        <f>SalesData[[#This Row],[Gross_sales]]*(1-SalesData[[#This Row],[Discount]])</f>
        <v>8314.7084999999242</v>
      </c>
      <c r="Q583" s="2">
        <f>SalesData[[#This Row],[Sales_amount]]-SalesData[[#This Row],[Total_Cost]]</f>
        <v>1469.7584999999244</v>
      </c>
      <c r="R583" s="2">
        <f>SalesData[[#This Row],[Profit]]/SalesData[[#This Row],[Sales_amount]]</f>
        <v>0.17676608867285459</v>
      </c>
      <c r="S583" s="2">
        <f>SalesData[[#This Row],[Unit_Price]]-SalesData[[#This Row],[Unit_Cost]]</f>
        <v>326.33999999999014</v>
      </c>
      <c r="T583" s="10">
        <f>SalesData[[#This Row],[Unit_Margin]]/SalesData[[#This Row],[Unit_Price]]</f>
        <v>0.30025117537192642</v>
      </c>
      <c r="U583" s="2" t="str">
        <f>IF(SalesData[[#This Row],[Unit_Margin]]&lt;0, "Negative margin", "Positive margin")</f>
        <v>Positive margin</v>
      </c>
      <c r="V583" s="2" t="str">
        <f>IF(SalesData[[#This Row],[Profit]]&lt;0, "Loss", "Profit")</f>
        <v>Profit</v>
      </c>
      <c r="W583" s="2">
        <f>SalesData[[#This Row],[Unit_Price]]*(1-SalesData[[#This Row],[Discount]])</f>
        <v>923.85649999999157</v>
      </c>
      <c r="X583" s="2">
        <f>SalesData[[#This Row],[Effective_Unit_Price]]-SalesData[[#This Row],[Unit_Cost]]</f>
        <v>163.30649999999162</v>
      </c>
      <c r="Y583" s="2" t="str">
        <f>IF(SalesData[[#This Row],[Effective_Unit_Margin]]&lt;0,"Loss per Unit","Positive per Unit")</f>
        <v>Positive per Unit</v>
      </c>
    </row>
    <row r="584" spans="1:25" x14ac:dyDescent="0.3">
      <c r="A584">
        <v>1075</v>
      </c>
      <c r="B584" s="1">
        <v>45162</v>
      </c>
      <c r="C584" t="s">
        <v>32</v>
      </c>
      <c r="D584" t="s">
        <v>20</v>
      </c>
      <c r="E584">
        <v>42</v>
      </c>
      <c r="F584" t="s">
        <v>28</v>
      </c>
      <c r="G584">
        <v>967.77</v>
      </c>
      <c r="H584">
        <v>1414.88</v>
      </c>
      <c r="I584" t="s">
        <v>29</v>
      </c>
      <c r="J584" s="2">
        <v>0.17</v>
      </c>
      <c r="K584" t="s">
        <v>26</v>
      </c>
      <c r="L584" t="s">
        <v>18</v>
      </c>
      <c r="M584" t="s">
        <v>36</v>
      </c>
      <c r="N584">
        <f>SalesData[[#This Row],[Quantity_Sold]]*SalesData[[#This Row],[Unit_Cost]]</f>
        <v>40646.339999999997</v>
      </c>
      <c r="O584">
        <f>SalesData[[#This Row],[Quantity_Sold]]*SalesData[[#This Row],[Unit_Price]]</f>
        <v>59424.960000000006</v>
      </c>
      <c r="P584">
        <f>SalesData[[#This Row],[Gross_sales]]*(1-SalesData[[#This Row],[Discount]])</f>
        <v>49322.716800000002</v>
      </c>
      <c r="Q584" s="2">
        <f>SalesData[[#This Row],[Sales_amount]]-SalesData[[#This Row],[Total_Cost]]</f>
        <v>8676.3768000000055</v>
      </c>
      <c r="R584" s="2">
        <f>SalesData[[#This Row],[Profit]]/SalesData[[#This Row],[Sales_amount]]</f>
        <v>0.17591035861187609</v>
      </c>
      <c r="S584" s="2">
        <f>SalesData[[#This Row],[Unit_Price]]-SalesData[[#This Row],[Unit_Cost]]</f>
        <v>447.11000000000013</v>
      </c>
      <c r="T584" s="10">
        <f>SalesData[[#This Row],[Unit_Margin]]/SalesData[[#This Row],[Unit_Price]]</f>
        <v>0.31600559764785713</v>
      </c>
      <c r="U584" s="2" t="str">
        <f>IF(SalesData[[#This Row],[Unit_Margin]]&lt;0, "Negative margin", "Positive margin")</f>
        <v>Positive margin</v>
      </c>
      <c r="V584" s="2" t="str">
        <f>IF(SalesData[[#This Row],[Profit]]&lt;0, "Loss", "Profit")</f>
        <v>Profit</v>
      </c>
      <c r="W584" s="2">
        <f>SalesData[[#This Row],[Unit_Price]]*(1-SalesData[[#This Row],[Discount]])</f>
        <v>1174.3504</v>
      </c>
      <c r="X584" s="2">
        <f>SalesData[[#This Row],[Effective_Unit_Price]]-SalesData[[#This Row],[Unit_Cost]]</f>
        <v>206.58040000000005</v>
      </c>
      <c r="Y584" s="2" t="str">
        <f>IF(SalesData[[#This Row],[Effective_Unit_Margin]]&lt;0,"Loss per Unit","Positive per Unit")</f>
        <v>Positive per Unit</v>
      </c>
    </row>
    <row r="585" spans="1:25" x14ac:dyDescent="0.3">
      <c r="A585">
        <v>1029</v>
      </c>
      <c r="B585" s="1">
        <v>45111</v>
      </c>
      <c r="C585" t="s">
        <v>32</v>
      </c>
      <c r="D585" t="s">
        <v>14</v>
      </c>
      <c r="E585">
        <v>31</v>
      </c>
      <c r="F585" t="s">
        <v>15</v>
      </c>
      <c r="G585">
        <v>951.21</v>
      </c>
      <c r="H585">
        <v>1320.32</v>
      </c>
      <c r="I585" t="s">
        <v>29</v>
      </c>
      <c r="J585" s="2">
        <v>0.15</v>
      </c>
      <c r="K585" t="s">
        <v>17</v>
      </c>
      <c r="L585" t="s">
        <v>18</v>
      </c>
      <c r="M585" t="s">
        <v>52</v>
      </c>
      <c r="N585">
        <f>SalesData[[#This Row],[Quantity_Sold]]*SalesData[[#This Row],[Unit_Cost]]</f>
        <v>29487.510000000002</v>
      </c>
      <c r="O585">
        <f>SalesData[[#This Row],[Quantity_Sold]]*SalesData[[#This Row],[Unit_Price]]</f>
        <v>40929.919999999998</v>
      </c>
      <c r="P585">
        <f>SalesData[[#This Row],[Gross_sales]]*(1-SalesData[[#This Row],[Discount]])</f>
        <v>34790.432000000001</v>
      </c>
      <c r="Q585" s="2">
        <f>SalesData[[#This Row],[Sales_amount]]-SalesData[[#This Row],[Total_Cost]]</f>
        <v>5302.9219999999987</v>
      </c>
      <c r="R585" s="2">
        <f>SalesData[[#This Row],[Profit]]/SalesData[[#This Row],[Sales_amount]]</f>
        <v>0.15242472413104841</v>
      </c>
      <c r="S585" s="2">
        <f>SalesData[[#This Row],[Unit_Price]]-SalesData[[#This Row],[Unit_Cost]]</f>
        <v>369.1099999999999</v>
      </c>
      <c r="T585" s="10">
        <f>SalesData[[#This Row],[Unit_Margin]]/SalesData[[#This Row],[Unit_Price]]</f>
        <v>0.27956101551139112</v>
      </c>
      <c r="U585" s="2" t="str">
        <f>IF(SalesData[[#This Row],[Unit_Margin]]&lt;0, "Negative margin", "Positive margin")</f>
        <v>Positive margin</v>
      </c>
      <c r="V585" s="2" t="str">
        <f>IF(SalesData[[#This Row],[Profit]]&lt;0, "Loss", "Profit")</f>
        <v>Profit</v>
      </c>
      <c r="W585" s="2">
        <f>SalesData[[#This Row],[Unit_Price]]*(1-SalesData[[#This Row],[Discount]])</f>
        <v>1122.2719999999999</v>
      </c>
      <c r="X585" s="2">
        <f>SalesData[[#This Row],[Effective_Unit_Price]]-SalesData[[#This Row],[Unit_Cost]]</f>
        <v>171.0619999999999</v>
      </c>
      <c r="Y585" s="2" t="str">
        <f>IF(SalesData[[#This Row],[Effective_Unit_Margin]]&lt;0,"Loss per Unit","Positive per Unit")</f>
        <v>Positive per Unit</v>
      </c>
    </row>
    <row r="586" spans="1:25" x14ac:dyDescent="0.3">
      <c r="A586">
        <v>1036</v>
      </c>
      <c r="B586" s="1">
        <v>45198</v>
      </c>
      <c r="C586" t="s">
        <v>13</v>
      </c>
      <c r="D586" t="s">
        <v>14</v>
      </c>
      <c r="E586">
        <v>7</v>
      </c>
      <c r="F586" t="s">
        <v>28</v>
      </c>
      <c r="G586">
        <v>2588.67</v>
      </c>
      <c r="H586">
        <v>2847.76</v>
      </c>
      <c r="I586" t="s">
        <v>29</v>
      </c>
      <c r="J586" s="2">
        <v>0.22</v>
      </c>
      <c r="K586" t="s">
        <v>17</v>
      </c>
      <c r="L586" t="s">
        <v>21</v>
      </c>
      <c r="M586" t="s">
        <v>19</v>
      </c>
      <c r="N586">
        <f>SalesData[[#This Row],[Quantity_Sold]]*SalesData[[#This Row],[Unit_Cost]]</f>
        <v>18120.690000000002</v>
      </c>
      <c r="O586">
        <f>SalesData[[#This Row],[Quantity_Sold]]*SalesData[[#This Row],[Unit_Price]]</f>
        <v>19934.32</v>
      </c>
      <c r="P586">
        <f>SalesData[[#This Row],[Gross_sales]]*(1-SalesData[[#This Row],[Discount]])</f>
        <v>15548.7696</v>
      </c>
      <c r="Q586" s="2">
        <f>SalesData[[#This Row],[Sales_amount]]-SalesData[[#This Row],[Total_Cost]]</f>
        <v>-2571.9204000000027</v>
      </c>
      <c r="R586" s="2">
        <f>SalesData[[#This Row],[Profit]]/SalesData[[#This Row],[Sales_amount]]</f>
        <v>-0.16540989841408435</v>
      </c>
      <c r="S586" s="2">
        <f>SalesData[[#This Row],[Unit_Price]]-SalesData[[#This Row],[Unit_Cost]]</f>
        <v>259.09000000000015</v>
      </c>
      <c r="T586" s="10">
        <f>SalesData[[#This Row],[Unit_Margin]]/SalesData[[#This Row],[Unit_Price]]</f>
        <v>9.0980279237014405E-2</v>
      </c>
      <c r="U586" s="2" t="str">
        <f>IF(SalesData[[#This Row],[Unit_Margin]]&lt;0, "Negative margin", "Positive margin")</f>
        <v>Positive margin</v>
      </c>
      <c r="V586" s="2" t="str">
        <f>IF(SalesData[[#This Row],[Profit]]&lt;0, "Loss", "Profit")</f>
        <v>Loss</v>
      </c>
      <c r="W586" s="2">
        <f>SalesData[[#This Row],[Unit_Price]]*(1-SalesData[[#This Row],[Discount]])</f>
        <v>2221.2528000000002</v>
      </c>
      <c r="X586" s="2">
        <f>SalesData[[#This Row],[Effective_Unit_Price]]-SalesData[[#This Row],[Unit_Cost]]</f>
        <v>-367.41719999999987</v>
      </c>
      <c r="Y586" s="2" t="str">
        <f>IF(SalesData[[#This Row],[Effective_Unit_Margin]]&lt;0,"Loss per Unit","Positive per Unit")</f>
        <v>Loss per Unit</v>
      </c>
    </row>
    <row r="587" spans="1:25" x14ac:dyDescent="0.3">
      <c r="A587">
        <v>1089</v>
      </c>
      <c r="B587" s="1">
        <v>45162</v>
      </c>
      <c r="C587" t="s">
        <v>37</v>
      </c>
      <c r="D587" t="s">
        <v>14</v>
      </c>
      <c r="E587">
        <v>4</v>
      </c>
      <c r="F587" t="s">
        <v>15</v>
      </c>
      <c r="G587">
        <v>4231.75</v>
      </c>
      <c r="H587">
        <v>4727.75</v>
      </c>
      <c r="I587" t="s">
        <v>16</v>
      </c>
      <c r="J587" s="2">
        <v>0.12</v>
      </c>
      <c r="K587" t="s">
        <v>30</v>
      </c>
      <c r="L587" t="s">
        <v>21</v>
      </c>
      <c r="M587" t="s">
        <v>39</v>
      </c>
      <c r="N587">
        <f>SalesData[[#This Row],[Quantity_Sold]]*SalesData[[#This Row],[Unit_Cost]]</f>
        <v>16927</v>
      </c>
      <c r="O587">
        <f>SalesData[[#This Row],[Quantity_Sold]]*SalesData[[#This Row],[Unit_Price]]</f>
        <v>18911</v>
      </c>
      <c r="P587">
        <f>SalesData[[#This Row],[Gross_sales]]*(1-SalesData[[#This Row],[Discount]])</f>
        <v>16641.68</v>
      </c>
      <c r="Q587" s="2">
        <f>SalesData[[#This Row],[Sales_amount]]-SalesData[[#This Row],[Total_Cost]]</f>
        <v>-285.31999999999971</v>
      </c>
      <c r="R587" s="2">
        <f>SalesData[[#This Row],[Profit]]/SalesData[[#This Row],[Sales_amount]]</f>
        <v>-1.7144903639536375E-2</v>
      </c>
      <c r="S587" s="2">
        <f>SalesData[[#This Row],[Unit_Price]]-SalesData[[#This Row],[Unit_Cost]]</f>
        <v>496</v>
      </c>
      <c r="T587" s="10">
        <f>SalesData[[#This Row],[Unit_Margin]]/SalesData[[#This Row],[Unit_Price]]</f>
        <v>0.10491248479720798</v>
      </c>
      <c r="U587" s="2" t="str">
        <f>IF(SalesData[[#This Row],[Unit_Margin]]&lt;0, "Negative margin", "Positive margin")</f>
        <v>Positive margin</v>
      </c>
      <c r="V587" s="2" t="str">
        <f>IF(SalesData[[#This Row],[Profit]]&lt;0, "Loss", "Profit")</f>
        <v>Loss</v>
      </c>
      <c r="W587" s="2">
        <f>SalesData[[#This Row],[Unit_Price]]*(1-SalesData[[#This Row],[Discount]])</f>
        <v>4160.42</v>
      </c>
      <c r="X587" s="2">
        <f>SalesData[[#This Row],[Effective_Unit_Price]]-SalesData[[#This Row],[Unit_Cost]]</f>
        <v>-71.329999999999927</v>
      </c>
      <c r="Y587" s="2" t="str">
        <f>IF(SalesData[[#This Row],[Effective_Unit_Margin]]&lt;0,"Loss per Unit","Positive per Unit")</f>
        <v>Loss per Unit</v>
      </c>
    </row>
    <row r="588" spans="1:25" x14ac:dyDescent="0.3">
      <c r="A588">
        <v>1021</v>
      </c>
      <c r="B588" s="1">
        <v>45165</v>
      </c>
      <c r="C588" t="s">
        <v>37</v>
      </c>
      <c r="D588" t="s">
        <v>14</v>
      </c>
      <c r="E588">
        <v>19</v>
      </c>
      <c r="F588" t="s">
        <v>28</v>
      </c>
      <c r="G588">
        <v>444.05</v>
      </c>
      <c r="H588">
        <v>584.44000000000005</v>
      </c>
      <c r="I588" t="s">
        <v>16</v>
      </c>
      <c r="J588" s="2">
        <v>0.28000000000000003</v>
      </c>
      <c r="K588" t="s">
        <v>17</v>
      </c>
      <c r="L588" t="s">
        <v>21</v>
      </c>
      <c r="M588" t="s">
        <v>39</v>
      </c>
      <c r="N588">
        <f>SalesData[[#This Row],[Quantity_Sold]]*SalesData[[#This Row],[Unit_Cost]]</f>
        <v>8436.9500000000007</v>
      </c>
      <c r="O588">
        <f>SalesData[[#This Row],[Quantity_Sold]]*SalesData[[#This Row],[Unit_Price]]</f>
        <v>11104.36</v>
      </c>
      <c r="P588">
        <f>SalesData[[#This Row],[Gross_sales]]*(1-SalesData[[#This Row],[Discount]])</f>
        <v>7995.1392000000005</v>
      </c>
      <c r="Q588" s="2">
        <f>SalesData[[#This Row],[Sales_amount]]-SalesData[[#This Row],[Total_Cost]]</f>
        <v>-441.8108000000002</v>
      </c>
      <c r="R588" s="2">
        <f>SalesData[[#This Row],[Profit]]/SalesData[[#This Row],[Sales_amount]]</f>
        <v>-5.5259925930995692E-2</v>
      </c>
      <c r="S588" s="2">
        <f>SalesData[[#This Row],[Unit_Price]]-SalesData[[#This Row],[Unit_Cost]]</f>
        <v>140.39000000000004</v>
      </c>
      <c r="T588" s="10">
        <f>SalesData[[#This Row],[Unit_Margin]]/SalesData[[#This Row],[Unit_Price]]</f>
        <v>0.24021285332968317</v>
      </c>
      <c r="U588" s="2" t="str">
        <f>IF(SalesData[[#This Row],[Unit_Margin]]&lt;0, "Negative margin", "Positive margin")</f>
        <v>Positive margin</v>
      </c>
      <c r="V588" s="2" t="str">
        <f>IF(SalesData[[#This Row],[Profit]]&lt;0, "Loss", "Profit")</f>
        <v>Loss</v>
      </c>
      <c r="W588" s="2">
        <f>SalesData[[#This Row],[Unit_Price]]*(1-SalesData[[#This Row],[Discount]])</f>
        <v>420.79680000000002</v>
      </c>
      <c r="X588" s="2">
        <f>SalesData[[#This Row],[Effective_Unit_Price]]-SalesData[[#This Row],[Unit_Cost]]</f>
        <v>-23.253199999999993</v>
      </c>
      <c r="Y588" s="2" t="str">
        <f>IF(SalesData[[#This Row],[Effective_Unit_Margin]]&lt;0,"Loss per Unit","Positive per Unit")</f>
        <v>Loss per Unit</v>
      </c>
    </row>
    <row r="589" spans="1:25" x14ac:dyDescent="0.3">
      <c r="A589">
        <v>1036</v>
      </c>
      <c r="B589" s="1">
        <v>45192</v>
      </c>
      <c r="C589" t="s">
        <v>13</v>
      </c>
      <c r="D589" t="s">
        <v>14</v>
      </c>
      <c r="E589">
        <v>42</v>
      </c>
      <c r="F589" t="s">
        <v>15</v>
      </c>
      <c r="G589">
        <v>3549.43</v>
      </c>
      <c r="H589">
        <v>3967.6899999999901</v>
      </c>
      <c r="I589" t="s">
        <v>29</v>
      </c>
      <c r="J589" s="2">
        <v>0.14000000000000001</v>
      </c>
      <c r="K589" t="s">
        <v>26</v>
      </c>
      <c r="L589" t="s">
        <v>18</v>
      </c>
      <c r="M589" t="s">
        <v>19</v>
      </c>
      <c r="N589">
        <f>SalesData[[#This Row],[Quantity_Sold]]*SalesData[[#This Row],[Unit_Cost]]</f>
        <v>149076.06</v>
      </c>
      <c r="O589">
        <f>SalesData[[#This Row],[Quantity_Sold]]*SalesData[[#This Row],[Unit_Price]]</f>
        <v>166642.97999999957</v>
      </c>
      <c r="P589">
        <f>SalesData[[#This Row],[Gross_sales]]*(1-SalesData[[#This Row],[Discount]])</f>
        <v>143312.96279999963</v>
      </c>
      <c r="Q589" s="2">
        <f>SalesData[[#This Row],[Sales_amount]]-SalesData[[#This Row],[Total_Cost]]</f>
        <v>-5763.0972000003676</v>
      </c>
      <c r="R589" s="2">
        <f>SalesData[[#This Row],[Profit]]/SalesData[[#This Row],[Sales_amount]]</f>
        <v>-4.021337000786912E-2</v>
      </c>
      <c r="S589" s="2">
        <f>SalesData[[#This Row],[Unit_Price]]-SalesData[[#This Row],[Unit_Cost]]</f>
        <v>418.25999999999021</v>
      </c>
      <c r="T589" s="10">
        <f>SalesData[[#This Row],[Unit_Margin]]/SalesData[[#This Row],[Unit_Price]]</f>
        <v>0.10541650179323266</v>
      </c>
      <c r="U589" s="2" t="str">
        <f>IF(SalesData[[#This Row],[Unit_Margin]]&lt;0, "Negative margin", "Positive margin")</f>
        <v>Positive margin</v>
      </c>
      <c r="V589" s="2" t="str">
        <f>IF(SalesData[[#This Row],[Profit]]&lt;0, "Loss", "Profit")</f>
        <v>Loss</v>
      </c>
      <c r="W589" s="2">
        <f>SalesData[[#This Row],[Unit_Price]]*(1-SalesData[[#This Row],[Discount]])</f>
        <v>3412.2133999999915</v>
      </c>
      <c r="X589" s="2">
        <f>SalesData[[#This Row],[Effective_Unit_Price]]-SalesData[[#This Row],[Unit_Cost]]</f>
        <v>-137.21660000000838</v>
      </c>
      <c r="Y589" s="2" t="str">
        <f>IF(SalesData[[#This Row],[Effective_Unit_Margin]]&lt;0,"Loss per Unit","Positive per Unit")</f>
        <v>Loss per Unit</v>
      </c>
    </row>
    <row r="590" spans="1:25" x14ac:dyDescent="0.3">
      <c r="A590">
        <v>1010</v>
      </c>
      <c r="B590" s="1">
        <v>45285</v>
      </c>
      <c r="C590" t="s">
        <v>23</v>
      </c>
      <c r="D590" t="s">
        <v>24</v>
      </c>
      <c r="E590">
        <v>30</v>
      </c>
      <c r="F590" t="s">
        <v>25</v>
      </c>
      <c r="G590">
        <v>3289.01</v>
      </c>
      <c r="H590">
        <v>3508.14</v>
      </c>
      <c r="I590" t="s">
        <v>29</v>
      </c>
      <c r="J590" s="2">
        <v>0.17</v>
      </c>
      <c r="K590" t="s">
        <v>26</v>
      </c>
      <c r="L590" t="s">
        <v>21</v>
      </c>
      <c r="M590" t="s">
        <v>27</v>
      </c>
      <c r="N590">
        <f>SalesData[[#This Row],[Quantity_Sold]]*SalesData[[#This Row],[Unit_Cost]]</f>
        <v>98670.3</v>
      </c>
      <c r="O590">
        <f>SalesData[[#This Row],[Quantity_Sold]]*SalesData[[#This Row],[Unit_Price]]</f>
        <v>105244.2</v>
      </c>
      <c r="P590">
        <f>SalesData[[#This Row],[Gross_sales]]*(1-SalesData[[#This Row],[Discount]])</f>
        <v>87352.685999999987</v>
      </c>
      <c r="Q590" s="2">
        <f>SalesData[[#This Row],[Sales_amount]]-SalesData[[#This Row],[Total_Cost]]</f>
        <v>-11317.614000000016</v>
      </c>
      <c r="R590" s="2">
        <f>SalesData[[#This Row],[Profit]]/SalesData[[#This Row],[Sales_amount]]</f>
        <v>-0.12956228959004212</v>
      </c>
      <c r="S590" s="2">
        <f>SalesData[[#This Row],[Unit_Price]]-SalesData[[#This Row],[Unit_Cost]]</f>
        <v>219.12999999999965</v>
      </c>
      <c r="T590" s="10">
        <f>SalesData[[#This Row],[Unit_Margin]]/SalesData[[#This Row],[Unit_Price]]</f>
        <v>6.2463299640265119E-2</v>
      </c>
      <c r="U590" s="2" t="str">
        <f>IF(SalesData[[#This Row],[Unit_Margin]]&lt;0, "Negative margin", "Positive margin")</f>
        <v>Positive margin</v>
      </c>
      <c r="V590" s="2" t="str">
        <f>IF(SalesData[[#This Row],[Profit]]&lt;0, "Loss", "Profit")</f>
        <v>Loss</v>
      </c>
      <c r="W590" s="2">
        <f>SalesData[[#This Row],[Unit_Price]]*(1-SalesData[[#This Row],[Discount]])</f>
        <v>2911.7561999999998</v>
      </c>
      <c r="X590" s="2">
        <f>SalesData[[#This Row],[Effective_Unit_Price]]-SalesData[[#This Row],[Unit_Cost]]</f>
        <v>-377.25380000000041</v>
      </c>
      <c r="Y590" s="2" t="str">
        <f>IF(SalesData[[#This Row],[Effective_Unit_Margin]]&lt;0,"Loss per Unit","Positive per Unit")</f>
        <v>Loss per Unit</v>
      </c>
    </row>
    <row r="591" spans="1:25" x14ac:dyDescent="0.3">
      <c r="A591">
        <v>1073</v>
      </c>
      <c r="B591" s="1">
        <v>45266</v>
      </c>
      <c r="C591" t="s">
        <v>41</v>
      </c>
      <c r="D591" t="s">
        <v>14</v>
      </c>
      <c r="E591">
        <v>31</v>
      </c>
      <c r="F591" t="s">
        <v>25</v>
      </c>
      <c r="G591">
        <v>4368.97</v>
      </c>
      <c r="H591">
        <v>4696.8500000000004</v>
      </c>
      <c r="I591" t="s">
        <v>16</v>
      </c>
      <c r="J591" s="2">
        <v>0.25</v>
      </c>
      <c r="K591" t="s">
        <v>26</v>
      </c>
      <c r="L591" t="s">
        <v>21</v>
      </c>
      <c r="M591" t="s">
        <v>48</v>
      </c>
      <c r="N591">
        <f>SalesData[[#This Row],[Quantity_Sold]]*SalesData[[#This Row],[Unit_Cost]]</f>
        <v>135438.07</v>
      </c>
      <c r="O591">
        <f>SalesData[[#This Row],[Quantity_Sold]]*SalesData[[#This Row],[Unit_Price]]</f>
        <v>145602.35</v>
      </c>
      <c r="P591">
        <f>SalesData[[#This Row],[Gross_sales]]*(1-SalesData[[#This Row],[Discount]])</f>
        <v>109201.76250000001</v>
      </c>
      <c r="Q591" s="2">
        <f>SalesData[[#This Row],[Sales_amount]]-SalesData[[#This Row],[Total_Cost]]</f>
        <v>-26236.307499999995</v>
      </c>
      <c r="R591" s="2">
        <f>SalesData[[#This Row],[Profit]]/SalesData[[#This Row],[Sales_amount]]</f>
        <v>-0.24025534844275057</v>
      </c>
      <c r="S591" s="2">
        <f>SalesData[[#This Row],[Unit_Price]]-SalesData[[#This Row],[Unit_Cost]]</f>
        <v>327.88000000000011</v>
      </c>
      <c r="T591" s="10">
        <f>SalesData[[#This Row],[Unit_Margin]]/SalesData[[#This Row],[Unit_Price]]</f>
        <v>6.9808488667937041E-2</v>
      </c>
      <c r="U591" s="2" t="str">
        <f>IF(SalesData[[#This Row],[Unit_Margin]]&lt;0, "Negative margin", "Positive margin")</f>
        <v>Positive margin</v>
      </c>
      <c r="V591" s="2" t="str">
        <f>IF(SalesData[[#This Row],[Profit]]&lt;0, "Loss", "Profit")</f>
        <v>Loss</v>
      </c>
      <c r="W591" s="2">
        <f>SalesData[[#This Row],[Unit_Price]]*(1-SalesData[[#This Row],[Discount]])</f>
        <v>3522.6375000000003</v>
      </c>
      <c r="X591" s="2">
        <f>SalesData[[#This Row],[Effective_Unit_Price]]-SalesData[[#This Row],[Unit_Cost]]</f>
        <v>-846.33249999999998</v>
      </c>
      <c r="Y591" s="2" t="str">
        <f>IF(SalesData[[#This Row],[Effective_Unit_Margin]]&lt;0,"Loss per Unit","Positive per Unit")</f>
        <v>Loss per Unit</v>
      </c>
    </row>
    <row r="592" spans="1:25" x14ac:dyDescent="0.3">
      <c r="A592">
        <v>1024</v>
      </c>
      <c r="B592" s="1">
        <v>44991</v>
      </c>
      <c r="C592" t="s">
        <v>41</v>
      </c>
      <c r="D592" t="s">
        <v>24</v>
      </c>
      <c r="E592">
        <v>35</v>
      </c>
      <c r="F592" t="s">
        <v>34</v>
      </c>
      <c r="G592">
        <v>1258.53</v>
      </c>
      <c r="H592">
        <v>1624.8899999999901</v>
      </c>
      <c r="I592" t="s">
        <v>29</v>
      </c>
      <c r="J592" s="2">
        <v>0.08</v>
      </c>
      <c r="K592" t="s">
        <v>30</v>
      </c>
      <c r="L592" t="s">
        <v>18</v>
      </c>
      <c r="M592" t="s">
        <v>42</v>
      </c>
      <c r="N592">
        <f>SalesData[[#This Row],[Quantity_Sold]]*SalesData[[#This Row],[Unit_Cost]]</f>
        <v>44048.549999999996</v>
      </c>
      <c r="O592">
        <f>SalesData[[#This Row],[Quantity_Sold]]*SalesData[[#This Row],[Unit_Price]]</f>
        <v>56871.149999999652</v>
      </c>
      <c r="P592">
        <f>SalesData[[#This Row],[Gross_sales]]*(1-SalesData[[#This Row],[Discount]])</f>
        <v>52321.457999999686</v>
      </c>
      <c r="Q592" s="2">
        <f>SalesData[[#This Row],[Sales_amount]]-SalesData[[#This Row],[Total_Cost]]</f>
        <v>8272.9079999996902</v>
      </c>
      <c r="R592" s="2">
        <f>SalesData[[#This Row],[Profit]]/SalesData[[#This Row],[Sales_amount]]</f>
        <v>0.15811692403525412</v>
      </c>
      <c r="S592" s="2">
        <f>SalesData[[#This Row],[Unit_Price]]-SalesData[[#This Row],[Unit_Cost]]</f>
        <v>366.35999999999012</v>
      </c>
      <c r="T592" s="10">
        <f>SalesData[[#This Row],[Unit_Margin]]/SalesData[[#This Row],[Unit_Price]]</f>
        <v>0.22546757011243368</v>
      </c>
      <c r="U592" s="2" t="str">
        <f>IF(SalesData[[#This Row],[Unit_Margin]]&lt;0, "Negative margin", "Positive margin")</f>
        <v>Positive margin</v>
      </c>
      <c r="V592" s="2" t="str">
        <f>IF(SalesData[[#This Row],[Profit]]&lt;0, "Loss", "Profit")</f>
        <v>Profit</v>
      </c>
      <c r="W592" s="2">
        <f>SalesData[[#This Row],[Unit_Price]]*(1-SalesData[[#This Row],[Discount]])</f>
        <v>1494.8987999999908</v>
      </c>
      <c r="X592" s="2">
        <f>SalesData[[#This Row],[Effective_Unit_Price]]-SalesData[[#This Row],[Unit_Cost]]</f>
        <v>236.36879999999087</v>
      </c>
      <c r="Y592" s="2" t="str">
        <f>IF(SalesData[[#This Row],[Effective_Unit_Margin]]&lt;0,"Loss per Unit","Positive per Unit")</f>
        <v>Positive per Unit</v>
      </c>
    </row>
    <row r="593" spans="1:25" x14ac:dyDescent="0.3">
      <c r="A593">
        <v>1064</v>
      </c>
      <c r="B593" s="1">
        <v>45103</v>
      </c>
      <c r="C593" t="s">
        <v>41</v>
      </c>
      <c r="D593" t="s">
        <v>14</v>
      </c>
      <c r="E593">
        <v>21</v>
      </c>
      <c r="F593" t="s">
        <v>28</v>
      </c>
      <c r="G593">
        <v>2278.04</v>
      </c>
      <c r="H593">
        <v>2598.58</v>
      </c>
      <c r="I593" t="s">
        <v>16</v>
      </c>
      <c r="J593" s="2">
        <v>0.02</v>
      </c>
      <c r="K593" t="s">
        <v>30</v>
      </c>
      <c r="L593" t="s">
        <v>21</v>
      </c>
      <c r="M593" t="s">
        <v>48</v>
      </c>
      <c r="N593">
        <f>SalesData[[#This Row],[Quantity_Sold]]*SalesData[[#This Row],[Unit_Cost]]</f>
        <v>47838.84</v>
      </c>
      <c r="O593">
        <f>SalesData[[#This Row],[Quantity_Sold]]*SalesData[[#This Row],[Unit_Price]]</f>
        <v>54570.18</v>
      </c>
      <c r="P593">
        <f>SalesData[[#This Row],[Gross_sales]]*(1-SalesData[[#This Row],[Discount]])</f>
        <v>53478.776400000002</v>
      </c>
      <c r="Q593" s="2">
        <f>SalesData[[#This Row],[Sales_amount]]-SalesData[[#This Row],[Total_Cost]]</f>
        <v>5639.936400000006</v>
      </c>
      <c r="R593" s="2">
        <f>SalesData[[#This Row],[Profit]]/SalesData[[#This Row],[Sales_amount]]</f>
        <v>0.10546120871980171</v>
      </c>
      <c r="S593" s="2">
        <f>SalesData[[#This Row],[Unit_Price]]-SalesData[[#This Row],[Unit_Cost]]</f>
        <v>320.53999999999996</v>
      </c>
      <c r="T593" s="10">
        <f>SalesData[[#This Row],[Unit_Margin]]/SalesData[[#This Row],[Unit_Price]]</f>
        <v>0.12335198454540555</v>
      </c>
      <c r="U593" s="2" t="str">
        <f>IF(SalesData[[#This Row],[Unit_Margin]]&lt;0, "Negative margin", "Positive margin")</f>
        <v>Positive margin</v>
      </c>
      <c r="V593" s="2" t="str">
        <f>IF(SalesData[[#This Row],[Profit]]&lt;0, "Loss", "Profit")</f>
        <v>Profit</v>
      </c>
      <c r="W593" s="2">
        <f>SalesData[[#This Row],[Unit_Price]]*(1-SalesData[[#This Row],[Discount]])</f>
        <v>2546.6084000000001</v>
      </c>
      <c r="X593" s="2">
        <f>SalesData[[#This Row],[Effective_Unit_Price]]-SalesData[[#This Row],[Unit_Cost]]</f>
        <v>268.56840000000011</v>
      </c>
      <c r="Y593" s="2" t="str">
        <f>IF(SalesData[[#This Row],[Effective_Unit_Margin]]&lt;0,"Loss per Unit","Positive per Unit")</f>
        <v>Positive per Unit</v>
      </c>
    </row>
    <row r="594" spans="1:25" x14ac:dyDescent="0.3">
      <c r="A594">
        <v>1099</v>
      </c>
      <c r="B594" s="1">
        <v>44929</v>
      </c>
      <c r="C594" t="s">
        <v>13</v>
      </c>
      <c r="D594" t="s">
        <v>33</v>
      </c>
      <c r="E594">
        <v>31</v>
      </c>
      <c r="F594" t="s">
        <v>15</v>
      </c>
      <c r="G594">
        <v>4632.8500000000004</v>
      </c>
      <c r="H594">
        <v>4711.7</v>
      </c>
      <c r="I594" t="s">
        <v>29</v>
      </c>
      <c r="J594" s="2">
        <v>0.21</v>
      </c>
      <c r="K594" t="s">
        <v>17</v>
      </c>
      <c r="L594" t="s">
        <v>21</v>
      </c>
      <c r="M594" t="s">
        <v>45</v>
      </c>
      <c r="N594">
        <f>SalesData[[#This Row],[Quantity_Sold]]*SalesData[[#This Row],[Unit_Cost]]</f>
        <v>143618.35</v>
      </c>
      <c r="O594">
        <f>SalesData[[#This Row],[Quantity_Sold]]*SalesData[[#This Row],[Unit_Price]]</f>
        <v>146062.69999999998</v>
      </c>
      <c r="P594">
        <f>SalesData[[#This Row],[Gross_sales]]*(1-SalesData[[#This Row],[Discount]])</f>
        <v>115389.533</v>
      </c>
      <c r="Q594" s="2">
        <f>SalesData[[#This Row],[Sales_amount]]-SalesData[[#This Row],[Total_Cost]]</f>
        <v>-28228.81700000001</v>
      </c>
      <c r="R594" s="2">
        <f>SalesData[[#This Row],[Profit]]/SalesData[[#This Row],[Sales_amount]]</f>
        <v>-0.24463932096856664</v>
      </c>
      <c r="S594" s="2">
        <f>SalesData[[#This Row],[Unit_Price]]-SalesData[[#This Row],[Unit_Cost]]</f>
        <v>78.849999999999454</v>
      </c>
      <c r="T594" s="10">
        <f>SalesData[[#This Row],[Unit_Margin]]/SalesData[[#This Row],[Unit_Price]]</f>
        <v>1.6734936434832322E-2</v>
      </c>
      <c r="U594" s="2" t="str">
        <f>IF(SalesData[[#This Row],[Unit_Margin]]&lt;0, "Negative margin", "Positive margin")</f>
        <v>Positive margin</v>
      </c>
      <c r="V594" s="2" t="str">
        <f>IF(SalesData[[#This Row],[Profit]]&lt;0, "Loss", "Profit")</f>
        <v>Loss</v>
      </c>
      <c r="W594" s="2">
        <f>SalesData[[#This Row],[Unit_Price]]*(1-SalesData[[#This Row],[Discount]])</f>
        <v>3722.2429999999999</v>
      </c>
      <c r="X594" s="2">
        <f>SalesData[[#This Row],[Effective_Unit_Price]]-SalesData[[#This Row],[Unit_Cost]]</f>
        <v>-910.60700000000043</v>
      </c>
      <c r="Y594" s="2" t="str">
        <f>IF(SalesData[[#This Row],[Effective_Unit_Margin]]&lt;0,"Loss per Unit","Positive per Unit")</f>
        <v>Loss per Unit</v>
      </c>
    </row>
    <row r="595" spans="1:25" x14ac:dyDescent="0.3">
      <c r="A595">
        <v>1049</v>
      </c>
      <c r="B595" s="1">
        <v>45068</v>
      </c>
      <c r="C595" t="s">
        <v>13</v>
      </c>
      <c r="D595" t="s">
        <v>33</v>
      </c>
      <c r="E595">
        <v>19</v>
      </c>
      <c r="F595" t="s">
        <v>28</v>
      </c>
      <c r="G595">
        <v>3316.97</v>
      </c>
      <c r="H595">
        <v>3544.02</v>
      </c>
      <c r="I595" t="s">
        <v>16</v>
      </c>
      <c r="J595" s="2">
        <v>0.14000000000000001</v>
      </c>
      <c r="K595" t="s">
        <v>17</v>
      </c>
      <c r="L595" t="s">
        <v>18</v>
      </c>
      <c r="M595" t="s">
        <v>45</v>
      </c>
      <c r="N595">
        <f>SalesData[[#This Row],[Quantity_Sold]]*SalesData[[#This Row],[Unit_Cost]]</f>
        <v>63022.429999999993</v>
      </c>
      <c r="O595">
        <f>SalesData[[#This Row],[Quantity_Sold]]*SalesData[[#This Row],[Unit_Price]]</f>
        <v>67336.38</v>
      </c>
      <c r="P595">
        <f>SalesData[[#This Row],[Gross_sales]]*(1-SalesData[[#This Row],[Discount]])</f>
        <v>57909.286800000002</v>
      </c>
      <c r="Q595" s="2">
        <f>SalesData[[#This Row],[Sales_amount]]-SalesData[[#This Row],[Total_Cost]]</f>
        <v>-5113.1431999999913</v>
      </c>
      <c r="R595" s="2">
        <f>SalesData[[#This Row],[Profit]]/SalesData[[#This Row],[Sales_amount]]</f>
        <v>-8.8295737739943828E-2</v>
      </c>
      <c r="S595" s="2">
        <f>SalesData[[#This Row],[Unit_Price]]-SalesData[[#This Row],[Unit_Cost]]</f>
        <v>227.05000000000018</v>
      </c>
      <c r="T595" s="10">
        <f>SalesData[[#This Row],[Unit_Margin]]/SalesData[[#This Row],[Unit_Price]]</f>
        <v>6.4065665543648231E-2</v>
      </c>
      <c r="U595" s="2" t="str">
        <f>IF(SalesData[[#This Row],[Unit_Margin]]&lt;0, "Negative margin", "Positive margin")</f>
        <v>Positive margin</v>
      </c>
      <c r="V595" s="2" t="str">
        <f>IF(SalesData[[#This Row],[Profit]]&lt;0, "Loss", "Profit")</f>
        <v>Loss</v>
      </c>
      <c r="W595" s="2">
        <f>SalesData[[#This Row],[Unit_Price]]*(1-SalesData[[#This Row],[Discount]])</f>
        <v>3047.8571999999999</v>
      </c>
      <c r="X595" s="2">
        <f>SalesData[[#This Row],[Effective_Unit_Price]]-SalesData[[#This Row],[Unit_Cost]]</f>
        <v>-269.11279999999988</v>
      </c>
      <c r="Y595" s="2" t="str">
        <f>IF(SalesData[[#This Row],[Effective_Unit_Margin]]&lt;0,"Loss per Unit","Positive per Unit")</f>
        <v>Loss per Unit</v>
      </c>
    </row>
    <row r="596" spans="1:25" x14ac:dyDescent="0.3">
      <c r="A596">
        <v>1099</v>
      </c>
      <c r="B596" s="1">
        <v>45084</v>
      </c>
      <c r="C596" t="s">
        <v>32</v>
      </c>
      <c r="D596" t="s">
        <v>33</v>
      </c>
      <c r="E596">
        <v>31</v>
      </c>
      <c r="F596" t="s">
        <v>25</v>
      </c>
      <c r="G596">
        <v>1974.4</v>
      </c>
      <c r="H596">
        <v>2259.5</v>
      </c>
      <c r="I596" t="s">
        <v>29</v>
      </c>
      <c r="J596" s="2">
        <v>0.27</v>
      </c>
      <c r="K596" t="s">
        <v>17</v>
      </c>
      <c r="L596" t="s">
        <v>21</v>
      </c>
      <c r="M596" t="s">
        <v>35</v>
      </c>
      <c r="N596">
        <f>SalesData[[#This Row],[Quantity_Sold]]*SalesData[[#This Row],[Unit_Cost]]</f>
        <v>61206.400000000001</v>
      </c>
      <c r="O596">
        <f>SalesData[[#This Row],[Quantity_Sold]]*SalesData[[#This Row],[Unit_Price]]</f>
        <v>70044.5</v>
      </c>
      <c r="P596">
        <f>SalesData[[#This Row],[Gross_sales]]*(1-SalesData[[#This Row],[Discount]])</f>
        <v>51132.485000000001</v>
      </c>
      <c r="Q596" s="2">
        <f>SalesData[[#This Row],[Sales_amount]]-SalesData[[#This Row],[Total_Cost]]</f>
        <v>-10073.915000000001</v>
      </c>
      <c r="R596" s="2">
        <f>SalesData[[#This Row],[Profit]]/SalesData[[#This Row],[Sales_amount]]</f>
        <v>-0.19701594788518495</v>
      </c>
      <c r="S596" s="2">
        <f>SalesData[[#This Row],[Unit_Price]]-SalesData[[#This Row],[Unit_Cost]]</f>
        <v>285.09999999999991</v>
      </c>
      <c r="T596" s="10">
        <f>SalesData[[#This Row],[Unit_Margin]]/SalesData[[#This Row],[Unit_Price]]</f>
        <v>0.12617835804381497</v>
      </c>
      <c r="U596" s="2" t="str">
        <f>IF(SalesData[[#This Row],[Unit_Margin]]&lt;0, "Negative margin", "Positive margin")</f>
        <v>Positive margin</v>
      </c>
      <c r="V596" s="2" t="str">
        <f>IF(SalesData[[#This Row],[Profit]]&lt;0, "Loss", "Profit")</f>
        <v>Loss</v>
      </c>
      <c r="W596" s="2">
        <f>SalesData[[#This Row],[Unit_Price]]*(1-SalesData[[#This Row],[Discount]])</f>
        <v>1649.4349999999999</v>
      </c>
      <c r="X596" s="2">
        <f>SalesData[[#This Row],[Effective_Unit_Price]]-SalesData[[#This Row],[Unit_Cost]]</f>
        <v>-324.96500000000015</v>
      </c>
      <c r="Y596" s="2" t="str">
        <f>IF(SalesData[[#This Row],[Effective_Unit_Margin]]&lt;0,"Loss per Unit","Positive per Unit")</f>
        <v>Loss per Unit</v>
      </c>
    </row>
    <row r="597" spans="1:25" x14ac:dyDescent="0.3">
      <c r="A597">
        <v>1036</v>
      </c>
      <c r="B597" s="1">
        <v>45250</v>
      </c>
      <c r="C597" t="s">
        <v>41</v>
      </c>
      <c r="D597" t="s">
        <v>33</v>
      </c>
      <c r="E597">
        <v>32</v>
      </c>
      <c r="F597" t="s">
        <v>28</v>
      </c>
      <c r="G597">
        <v>700.49</v>
      </c>
      <c r="H597">
        <v>1126.52</v>
      </c>
      <c r="I597" t="s">
        <v>29</v>
      </c>
      <c r="J597" s="2">
        <v>0.28999999999999998</v>
      </c>
      <c r="K597" t="s">
        <v>30</v>
      </c>
      <c r="L597" t="s">
        <v>21</v>
      </c>
      <c r="M597" t="s">
        <v>51</v>
      </c>
      <c r="N597">
        <f>SalesData[[#This Row],[Quantity_Sold]]*SalesData[[#This Row],[Unit_Cost]]</f>
        <v>22415.68</v>
      </c>
      <c r="O597">
        <f>SalesData[[#This Row],[Quantity_Sold]]*SalesData[[#This Row],[Unit_Price]]</f>
        <v>36048.639999999999</v>
      </c>
      <c r="P597">
        <f>SalesData[[#This Row],[Gross_sales]]*(1-SalesData[[#This Row],[Discount]])</f>
        <v>25594.534399999997</v>
      </c>
      <c r="Q597" s="2">
        <f>SalesData[[#This Row],[Sales_amount]]-SalesData[[#This Row],[Total_Cost]]</f>
        <v>3178.8543999999965</v>
      </c>
      <c r="R597" s="2">
        <f>SalesData[[#This Row],[Profit]]/SalesData[[#This Row],[Sales_amount]]</f>
        <v>0.12420051681033889</v>
      </c>
      <c r="S597" s="2">
        <f>SalesData[[#This Row],[Unit_Price]]-SalesData[[#This Row],[Unit_Cost]]</f>
        <v>426.03</v>
      </c>
      <c r="T597" s="10">
        <f>SalesData[[#This Row],[Unit_Margin]]/SalesData[[#This Row],[Unit_Price]]</f>
        <v>0.37818236693534069</v>
      </c>
      <c r="U597" s="2" t="str">
        <f>IF(SalesData[[#This Row],[Unit_Margin]]&lt;0, "Negative margin", "Positive margin")</f>
        <v>Positive margin</v>
      </c>
      <c r="V597" s="2" t="str">
        <f>IF(SalesData[[#This Row],[Profit]]&lt;0, "Loss", "Profit")</f>
        <v>Profit</v>
      </c>
      <c r="W597" s="2">
        <f>SalesData[[#This Row],[Unit_Price]]*(1-SalesData[[#This Row],[Discount]])</f>
        <v>799.8291999999999</v>
      </c>
      <c r="X597" s="2">
        <f>SalesData[[#This Row],[Effective_Unit_Price]]-SalesData[[#This Row],[Unit_Cost]]</f>
        <v>99.339199999999892</v>
      </c>
      <c r="Y597" s="2" t="str">
        <f>IF(SalesData[[#This Row],[Effective_Unit_Margin]]&lt;0,"Loss per Unit","Positive per Unit")</f>
        <v>Positive per Unit</v>
      </c>
    </row>
    <row r="598" spans="1:25" x14ac:dyDescent="0.3">
      <c r="A598">
        <v>1082</v>
      </c>
      <c r="B598" s="1">
        <v>45072</v>
      </c>
      <c r="C598" t="s">
        <v>23</v>
      </c>
      <c r="D598" t="s">
        <v>24</v>
      </c>
      <c r="E598">
        <v>2</v>
      </c>
      <c r="F598" t="s">
        <v>15</v>
      </c>
      <c r="G598">
        <v>1349.3</v>
      </c>
      <c r="H598">
        <v>1576.69</v>
      </c>
      <c r="I598" t="s">
        <v>16</v>
      </c>
      <c r="J598" s="2">
        <v>0.12</v>
      </c>
      <c r="K598" t="s">
        <v>30</v>
      </c>
      <c r="L598" t="s">
        <v>18</v>
      </c>
      <c r="M598" t="s">
        <v>27</v>
      </c>
      <c r="N598">
        <f>SalesData[[#This Row],[Quantity_Sold]]*SalesData[[#This Row],[Unit_Cost]]</f>
        <v>2698.6</v>
      </c>
      <c r="O598">
        <f>SalesData[[#This Row],[Quantity_Sold]]*SalesData[[#This Row],[Unit_Price]]</f>
        <v>3153.38</v>
      </c>
      <c r="P598">
        <f>SalesData[[#This Row],[Gross_sales]]*(1-SalesData[[#This Row],[Discount]])</f>
        <v>2774.9744000000001</v>
      </c>
      <c r="Q598" s="2">
        <f>SalesData[[#This Row],[Sales_amount]]-SalesData[[#This Row],[Total_Cost]]</f>
        <v>76.374400000000151</v>
      </c>
      <c r="R598" s="2">
        <f>SalesData[[#This Row],[Profit]]/SalesData[[#This Row],[Sales_amount]]</f>
        <v>2.7522560208123055E-2</v>
      </c>
      <c r="S598" s="2">
        <f>SalesData[[#This Row],[Unit_Price]]-SalesData[[#This Row],[Unit_Cost]]</f>
        <v>227.3900000000001</v>
      </c>
      <c r="T598" s="10">
        <f>SalesData[[#This Row],[Unit_Margin]]/SalesData[[#This Row],[Unit_Price]]</f>
        <v>0.14421985298314829</v>
      </c>
      <c r="U598" s="2" t="str">
        <f>IF(SalesData[[#This Row],[Unit_Margin]]&lt;0, "Negative margin", "Positive margin")</f>
        <v>Positive margin</v>
      </c>
      <c r="V598" s="2" t="str">
        <f>IF(SalesData[[#This Row],[Profit]]&lt;0, "Loss", "Profit")</f>
        <v>Profit</v>
      </c>
      <c r="W598" s="2">
        <f>SalesData[[#This Row],[Unit_Price]]*(1-SalesData[[#This Row],[Discount]])</f>
        <v>1387.4872</v>
      </c>
      <c r="X598" s="2">
        <f>SalesData[[#This Row],[Effective_Unit_Price]]-SalesData[[#This Row],[Unit_Cost]]</f>
        <v>38.187200000000075</v>
      </c>
      <c r="Y598" s="2" t="str">
        <f>IF(SalesData[[#This Row],[Effective_Unit_Margin]]&lt;0,"Loss per Unit","Positive per Unit")</f>
        <v>Positive per Unit</v>
      </c>
    </row>
    <row r="599" spans="1:25" x14ac:dyDescent="0.3">
      <c r="A599">
        <v>1096</v>
      </c>
      <c r="B599" s="1">
        <v>45219</v>
      </c>
      <c r="C599" t="s">
        <v>23</v>
      </c>
      <c r="D599" t="s">
        <v>24</v>
      </c>
      <c r="E599">
        <v>10</v>
      </c>
      <c r="F599" t="s">
        <v>28</v>
      </c>
      <c r="G599">
        <v>2927.02</v>
      </c>
      <c r="H599">
        <v>3387.21</v>
      </c>
      <c r="I599" t="s">
        <v>16</v>
      </c>
      <c r="J599" s="2">
        <v>0.12</v>
      </c>
      <c r="K599" t="s">
        <v>17</v>
      </c>
      <c r="L599" t="s">
        <v>21</v>
      </c>
      <c r="M599" t="s">
        <v>27</v>
      </c>
      <c r="N599">
        <f>SalesData[[#This Row],[Quantity_Sold]]*SalesData[[#This Row],[Unit_Cost]]</f>
        <v>29270.2</v>
      </c>
      <c r="O599">
        <f>SalesData[[#This Row],[Quantity_Sold]]*SalesData[[#This Row],[Unit_Price]]</f>
        <v>33872.1</v>
      </c>
      <c r="P599">
        <f>SalesData[[#This Row],[Gross_sales]]*(1-SalesData[[#This Row],[Discount]])</f>
        <v>29807.448</v>
      </c>
      <c r="Q599" s="2">
        <f>SalesData[[#This Row],[Sales_amount]]-SalesData[[#This Row],[Total_Cost]]</f>
        <v>537.24799999999959</v>
      </c>
      <c r="R599" s="2">
        <f>SalesData[[#This Row],[Profit]]/SalesData[[#This Row],[Sales_amount]]</f>
        <v>1.8023951597600694E-2</v>
      </c>
      <c r="S599" s="2">
        <f>SalesData[[#This Row],[Unit_Price]]-SalesData[[#This Row],[Unit_Cost]]</f>
        <v>460.19000000000005</v>
      </c>
      <c r="T599" s="10">
        <f>SalesData[[#This Row],[Unit_Margin]]/SalesData[[#This Row],[Unit_Price]]</f>
        <v>0.13586107740588863</v>
      </c>
      <c r="U599" s="2" t="str">
        <f>IF(SalesData[[#This Row],[Unit_Margin]]&lt;0, "Negative margin", "Positive margin")</f>
        <v>Positive margin</v>
      </c>
      <c r="V599" s="2" t="str">
        <f>IF(SalesData[[#This Row],[Profit]]&lt;0, "Loss", "Profit")</f>
        <v>Profit</v>
      </c>
      <c r="W599" s="2">
        <f>SalesData[[#This Row],[Unit_Price]]*(1-SalesData[[#This Row],[Discount]])</f>
        <v>2980.7447999999999</v>
      </c>
      <c r="X599" s="2">
        <f>SalesData[[#This Row],[Effective_Unit_Price]]-SalesData[[#This Row],[Unit_Cost]]</f>
        <v>53.724799999999959</v>
      </c>
      <c r="Y599" s="2" t="str">
        <f>IF(SalesData[[#This Row],[Effective_Unit_Margin]]&lt;0,"Loss per Unit","Positive per Unit")</f>
        <v>Positive per Unit</v>
      </c>
    </row>
    <row r="600" spans="1:25" x14ac:dyDescent="0.3">
      <c r="A600">
        <v>1024</v>
      </c>
      <c r="B600" s="1">
        <v>45079</v>
      </c>
      <c r="C600" t="s">
        <v>41</v>
      </c>
      <c r="D600" t="s">
        <v>20</v>
      </c>
      <c r="E600">
        <v>2</v>
      </c>
      <c r="F600" t="s">
        <v>15</v>
      </c>
      <c r="G600">
        <v>3604.93</v>
      </c>
      <c r="H600">
        <v>3830.71</v>
      </c>
      <c r="I600" t="s">
        <v>16</v>
      </c>
      <c r="J600" s="2">
        <v>0.12</v>
      </c>
      <c r="K600" t="s">
        <v>30</v>
      </c>
      <c r="L600" t="s">
        <v>18</v>
      </c>
      <c r="M600" t="s">
        <v>50</v>
      </c>
      <c r="N600">
        <f>SalesData[[#This Row],[Quantity_Sold]]*SalesData[[#This Row],[Unit_Cost]]</f>
        <v>7209.86</v>
      </c>
      <c r="O600">
        <f>SalesData[[#This Row],[Quantity_Sold]]*SalesData[[#This Row],[Unit_Price]]</f>
        <v>7661.42</v>
      </c>
      <c r="P600">
        <f>SalesData[[#This Row],[Gross_sales]]*(1-SalesData[[#This Row],[Discount]])</f>
        <v>6742.0496000000003</v>
      </c>
      <c r="Q600" s="2">
        <f>SalesData[[#This Row],[Sales_amount]]-SalesData[[#This Row],[Total_Cost]]</f>
        <v>-467.81039999999939</v>
      </c>
      <c r="R600" s="2">
        <f>SalesData[[#This Row],[Profit]]/SalesData[[#This Row],[Sales_amount]]</f>
        <v>-6.9386970988762731E-2</v>
      </c>
      <c r="S600" s="2">
        <f>SalesData[[#This Row],[Unit_Price]]-SalesData[[#This Row],[Unit_Cost]]</f>
        <v>225.7800000000002</v>
      </c>
      <c r="T600" s="10">
        <f>SalesData[[#This Row],[Unit_Margin]]/SalesData[[#This Row],[Unit_Price]]</f>
        <v>5.8939465529888768E-2</v>
      </c>
      <c r="U600" s="2" t="str">
        <f>IF(SalesData[[#This Row],[Unit_Margin]]&lt;0, "Negative margin", "Positive margin")</f>
        <v>Positive margin</v>
      </c>
      <c r="V600" s="2" t="str">
        <f>IF(SalesData[[#This Row],[Profit]]&lt;0, "Loss", "Profit")</f>
        <v>Loss</v>
      </c>
      <c r="W600" s="2">
        <f>SalesData[[#This Row],[Unit_Price]]*(1-SalesData[[#This Row],[Discount]])</f>
        <v>3371.0248000000001</v>
      </c>
      <c r="X600" s="2">
        <f>SalesData[[#This Row],[Effective_Unit_Price]]-SalesData[[#This Row],[Unit_Cost]]</f>
        <v>-233.9051999999997</v>
      </c>
      <c r="Y600" s="2" t="str">
        <f>IF(SalesData[[#This Row],[Effective_Unit_Margin]]&lt;0,"Loss per Unit","Positive per Unit")</f>
        <v>Loss per Unit</v>
      </c>
    </row>
    <row r="601" spans="1:25" x14ac:dyDescent="0.3">
      <c r="A601">
        <v>1023</v>
      </c>
      <c r="B601" s="1">
        <v>45119</v>
      </c>
      <c r="C601" t="s">
        <v>41</v>
      </c>
      <c r="D601" t="s">
        <v>14</v>
      </c>
      <c r="E601">
        <v>2</v>
      </c>
      <c r="F601" t="s">
        <v>25</v>
      </c>
      <c r="G601">
        <v>665.89</v>
      </c>
      <c r="H601">
        <v>944.79</v>
      </c>
      <c r="I601" t="s">
        <v>29</v>
      </c>
      <c r="J601" s="2">
        <v>0.1</v>
      </c>
      <c r="K601" t="s">
        <v>30</v>
      </c>
      <c r="L601" t="s">
        <v>21</v>
      </c>
      <c r="M601" t="s">
        <v>48</v>
      </c>
      <c r="N601">
        <f>SalesData[[#This Row],[Quantity_Sold]]*SalesData[[#This Row],[Unit_Cost]]</f>
        <v>1331.78</v>
      </c>
      <c r="O601">
        <f>SalesData[[#This Row],[Quantity_Sold]]*SalesData[[#This Row],[Unit_Price]]</f>
        <v>1889.58</v>
      </c>
      <c r="P601">
        <f>SalesData[[#This Row],[Gross_sales]]*(1-SalesData[[#This Row],[Discount]])</f>
        <v>1700.6220000000001</v>
      </c>
      <c r="Q601" s="2">
        <f>SalesData[[#This Row],[Sales_amount]]-SalesData[[#This Row],[Total_Cost]]</f>
        <v>368.8420000000001</v>
      </c>
      <c r="R601" s="2">
        <f>SalesData[[#This Row],[Profit]]/SalesData[[#This Row],[Sales_amount]]</f>
        <v>0.21688652739997488</v>
      </c>
      <c r="S601" s="2">
        <f>SalesData[[#This Row],[Unit_Price]]-SalesData[[#This Row],[Unit_Cost]]</f>
        <v>278.89999999999998</v>
      </c>
      <c r="T601" s="10">
        <f>SalesData[[#This Row],[Unit_Margin]]/SalesData[[#This Row],[Unit_Price]]</f>
        <v>0.29519787465997732</v>
      </c>
      <c r="U601" s="2" t="str">
        <f>IF(SalesData[[#This Row],[Unit_Margin]]&lt;0, "Negative margin", "Positive margin")</f>
        <v>Positive margin</v>
      </c>
      <c r="V601" s="2" t="str">
        <f>IF(SalesData[[#This Row],[Profit]]&lt;0, "Loss", "Profit")</f>
        <v>Profit</v>
      </c>
      <c r="W601" s="2">
        <f>SalesData[[#This Row],[Unit_Price]]*(1-SalesData[[#This Row],[Discount]])</f>
        <v>850.31100000000004</v>
      </c>
      <c r="X601" s="2">
        <f>SalesData[[#This Row],[Effective_Unit_Price]]-SalesData[[#This Row],[Unit_Cost]]</f>
        <v>184.42100000000005</v>
      </c>
      <c r="Y601" s="2" t="str">
        <f>IF(SalesData[[#This Row],[Effective_Unit_Margin]]&lt;0,"Loss per Unit","Positive per Unit")</f>
        <v>Positive per Unit</v>
      </c>
    </row>
    <row r="602" spans="1:25" x14ac:dyDescent="0.3">
      <c r="A602">
        <v>1062</v>
      </c>
      <c r="B602" s="1">
        <v>44999</v>
      </c>
      <c r="C602" t="s">
        <v>41</v>
      </c>
      <c r="D602" t="s">
        <v>33</v>
      </c>
      <c r="E602">
        <v>24</v>
      </c>
      <c r="F602" t="s">
        <v>25</v>
      </c>
      <c r="G602">
        <v>3018.01</v>
      </c>
      <c r="H602">
        <v>3418.19</v>
      </c>
      <c r="I602" t="s">
        <v>16</v>
      </c>
      <c r="J602" s="2">
        <v>0.23</v>
      </c>
      <c r="K602" t="s">
        <v>26</v>
      </c>
      <c r="L602" t="s">
        <v>21</v>
      </c>
      <c r="M602" t="s">
        <v>51</v>
      </c>
      <c r="N602">
        <f>SalesData[[#This Row],[Quantity_Sold]]*SalesData[[#This Row],[Unit_Cost]]</f>
        <v>72432.240000000005</v>
      </c>
      <c r="O602">
        <f>SalesData[[#This Row],[Quantity_Sold]]*SalesData[[#This Row],[Unit_Price]]</f>
        <v>82036.56</v>
      </c>
      <c r="P602">
        <f>SalesData[[#This Row],[Gross_sales]]*(1-SalesData[[#This Row],[Discount]])</f>
        <v>63168.1512</v>
      </c>
      <c r="Q602" s="2">
        <f>SalesData[[#This Row],[Sales_amount]]-SalesData[[#This Row],[Total_Cost]]</f>
        <v>-9264.088800000005</v>
      </c>
      <c r="R602" s="2">
        <f>SalesData[[#This Row],[Profit]]/SalesData[[#This Row],[Sales_amount]]</f>
        <v>-0.14665758968738038</v>
      </c>
      <c r="S602" s="2">
        <f>SalesData[[#This Row],[Unit_Price]]-SalesData[[#This Row],[Unit_Cost]]</f>
        <v>400.17999999999984</v>
      </c>
      <c r="T602" s="10">
        <f>SalesData[[#This Row],[Unit_Margin]]/SalesData[[#This Row],[Unit_Price]]</f>
        <v>0.11707365594071711</v>
      </c>
      <c r="U602" s="2" t="str">
        <f>IF(SalesData[[#This Row],[Unit_Margin]]&lt;0, "Negative margin", "Positive margin")</f>
        <v>Positive margin</v>
      </c>
      <c r="V602" s="2" t="str">
        <f>IF(SalesData[[#This Row],[Profit]]&lt;0, "Loss", "Profit")</f>
        <v>Loss</v>
      </c>
      <c r="W602" s="2">
        <f>SalesData[[#This Row],[Unit_Price]]*(1-SalesData[[#This Row],[Discount]])</f>
        <v>2632.0063</v>
      </c>
      <c r="X602" s="2">
        <f>SalesData[[#This Row],[Effective_Unit_Price]]-SalesData[[#This Row],[Unit_Cost]]</f>
        <v>-386.00370000000021</v>
      </c>
      <c r="Y602" s="2" t="str">
        <f>IF(SalesData[[#This Row],[Effective_Unit_Margin]]&lt;0,"Loss per Unit","Positive per Unit")</f>
        <v>Loss per Unit</v>
      </c>
    </row>
    <row r="603" spans="1:25" x14ac:dyDescent="0.3">
      <c r="A603">
        <v>1096</v>
      </c>
      <c r="B603" s="1">
        <v>45231</v>
      </c>
      <c r="C603" t="s">
        <v>13</v>
      </c>
      <c r="D603" t="s">
        <v>24</v>
      </c>
      <c r="E603">
        <v>17</v>
      </c>
      <c r="F603" t="s">
        <v>25</v>
      </c>
      <c r="G603">
        <v>2774.24</v>
      </c>
      <c r="H603">
        <v>3069.9399999999901</v>
      </c>
      <c r="I603" t="s">
        <v>16</v>
      </c>
      <c r="J603" s="2">
        <v>0.23</v>
      </c>
      <c r="K603" t="s">
        <v>26</v>
      </c>
      <c r="L603" t="s">
        <v>21</v>
      </c>
      <c r="M603" t="s">
        <v>31</v>
      </c>
      <c r="N603">
        <f>SalesData[[#This Row],[Quantity_Sold]]*SalesData[[#This Row],[Unit_Cost]]</f>
        <v>47162.079999999994</v>
      </c>
      <c r="O603">
        <f>SalesData[[#This Row],[Quantity_Sold]]*SalesData[[#This Row],[Unit_Price]]</f>
        <v>52188.979999999829</v>
      </c>
      <c r="P603">
        <f>SalesData[[#This Row],[Gross_sales]]*(1-SalesData[[#This Row],[Discount]])</f>
        <v>40185.514599999871</v>
      </c>
      <c r="Q603" s="2">
        <f>SalesData[[#This Row],[Sales_amount]]-SalesData[[#This Row],[Total_Cost]]</f>
        <v>-6976.5654000001232</v>
      </c>
      <c r="R603" s="2">
        <f>SalesData[[#This Row],[Profit]]/SalesData[[#This Row],[Sales_amount]]</f>
        <v>-0.17360896008036053</v>
      </c>
      <c r="S603" s="2">
        <f>SalesData[[#This Row],[Unit_Price]]-SalesData[[#This Row],[Unit_Cost]]</f>
        <v>295.69999999999027</v>
      </c>
      <c r="T603" s="10">
        <f>SalesData[[#This Row],[Unit_Margin]]/SalesData[[#This Row],[Unit_Price]]</f>
        <v>9.632110073812232E-2</v>
      </c>
      <c r="U603" s="2" t="str">
        <f>IF(SalesData[[#This Row],[Unit_Margin]]&lt;0, "Negative margin", "Positive margin")</f>
        <v>Positive margin</v>
      </c>
      <c r="V603" s="2" t="str">
        <f>IF(SalesData[[#This Row],[Profit]]&lt;0, "Loss", "Profit")</f>
        <v>Loss</v>
      </c>
      <c r="W603" s="2">
        <f>SalesData[[#This Row],[Unit_Price]]*(1-SalesData[[#This Row],[Discount]])</f>
        <v>2363.8537999999926</v>
      </c>
      <c r="X603" s="2">
        <f>SalesData[[#This Row],[Effective_Unit_Price]]-SalesData[[#This Row],[Unit_Cost]]</f>
        <v>-410.38620000000719</v>
      </c>
      <c r="Y603" s="2" t="str">
        <f>IF(SalesData[[#This Row],[Effective_Unit_Margin]]&lt;0,"Loss per Unit","Positive per Unit")</f>
        <v>Loss per Unit</v>
      </c>
    </row>
    <row r="604" spans="1:25" x14ac:dyDescent="0.3">
      <c r="A604">
        <v>1037</v>
      </c>
      <c r="B604" s="1">
        <v>45270</v>
      </c>
      <c r="C604" t="s">
        <v>13</v>
      </c>
      <c r="D604" t="s">
        <v>14</v>
      </c>
      <c r="E604">
        <v>32</v>
      </c>
      <c r="F604" t="s">
        <v>34</v>
      </c>
      <c r="G604">
        <v>2594.08</v>
      </c>
      <c r="H604">
        <v>3074.59</v>
      </c>
      <c r="I604" t="s">
        <v>29</v>
      </c>
      <c r="J604" s="2">
        <v>0.14000000000000001</v>
      </c>
      <c r="K604" t="s">
        <v>17</v>
      </c>
      <c r="L604" t="s">
        <v>21</v>
      </c>
      <c r="M604" t="s">
        <v>19</v>
      </c>
      <c r="N604">
        <f>SalesData[[#This Row],[Quantity_Sold]]*SalesData[[#This Row],[Unit_Cost]]</f>
        <v>83010.559999999998</v>
      </c>
      <c r="O604">
        <f>SalesData[[#This Row],[Quantity_Sold]]*SalesData[[#This Row],[Unit_Price]]</f>
        <v>98386.880000000005</v>
      </c>
      <c r="P604">
        <f>SalesData[[#This Row],[Gross_sales]]*(1-SalesData[[#This Row],[Discount]])</f>
        <v>84612.716800000009</v>
      </c>
      <c r="Q604" s="2">
        <f>SalesData[[#This Row],[Sales_amount]]-SalesData[[#This Row],[Total_Cost]]</f>
        <v>1602.1568000000116</v>
      </c>
      <c r="R604" s="2">
        <f>SalesData[[#This Row],[Profit]]/SalesData[[#This Row],[Sales_amount]]</f>
        <v>1.8935177365679522E-2</v>
      </c>
      <c r="S604" s="2">
        <f>SalesData[[#This Row],[Unit_Price]]-SalesData[[#This Row],[Unit_Cost]]</f>
        <v>480.51000000000022</v>
      </c>
      <c r="T604" s="10">
        <f>SalesData[[#This Row],[Unit_Margin]]/SalesData[[#This Row],[Unit_Price]]</f>
        <v>0.15628425253448433</v>
      </c>
      <c r="U604" s="2" t="str">
        <f>IF(SalesData[[#This Row],[Unit_Margin]]&lt;0, "Negative margin", "Positive margin")</f>
        <v>Positive margin</v>
      </c>
      <c r="V604" s="2" t="str">
        <f>IF(SalesData[[#This Row],[Profit]]&lt;0, "Loss", "Profit")</f>
        <v>Profit</v>
      </c>
      <c r="W604" s="2">
        <f>SalesData[[#This Row],[Unit_Price]]*(1-SalesData[[#This Row],[Discount]])</f>
        <v>2644.1474000000003</v>
      </c>
      <c r="X604" s="2">
        <f>SalesData[[#This Row],[Effective_Unit_Price]]-SalesData[[#This Row],[Unit_Cost]]</f>
        <v>50.067400000000362</v>
      </c>
      <c r="Y604" s="2" t="str">
        <f>IF(SalesData[[#This Row],[Effective_Unit_Margin]]&lt;0,"Loss per Unit","Positive per Unit")</f>
        <v>Positive per Unit</v>
      </c>
    </row>
    <row r="605" spans="1:25" x14ac:dyDescent="0.3">
      <c r="A605">
        <v>1012</v>
      </c>
      <c r="B605" s="1">
        <v>45066</v>
      </c>
      <c r="C605" t="s">
        <v>13</v>
      </c>
      <c r="D605" t="s">
        <v>14</v>
      </c>
      <c r="E605">
        <v>16</v>
      </c>
      <c r="F605" t="s">
        <v>25</v>
      </c>
      <c r="G605">
        <v>3466.11</v>
      </c>
      <c r="H605">
        <v>3799.67</v>
      </c>
      <c r="I605" t="s">
        <v>16</v>
      </c>
      <c r="J605" s="2">
        <v>0.01</v>
      </c>
      <c r="K605" t="s">
        <v>17</v>
      </c>
      <c r="L605" t="s">
        <v>21</v>
      </c>
      <c r="M605" t="s">
        <v>19</v>
      </c>
      <c r="N605">
        <f>SalesData[[#This Row],[Quantity_Sold]]*SalesData[[#This Row],[Unit_Cost]]</f>
        <v>55457.760000000002</v>
      </c>
      <c r="O605">
        <f>SalesData[[#This Row],[Quantity_Sold]]*SalesData[[#This Row],[Unit_Price]]</f>
        <v>60794.720000000001</v>
      </c>
      <c r="P605">
        <f>SalesData[[#This Row],[Gross_sales]]*(1-SalesData[[#This Row],[Discount]])</f>
        <v>60186.772799999999</v>
      </c>
      <c r="Q605" s="2">
        <f>SalesData[[#This Row],[Sales_amount]]-SalesData[[#This Row],[Total_Cost]]</f>
        <v>4729.0127999999968</v>
      </c>
      <c r="R605" s="2">
        <f>SalesData[[#This Row],[Profit]]/SalesData[[#This Row],[Sales_amount]]</f>
        <v>7.8572293877833516E-2</v>
      </c>
      <c r="S605" s="2">
        <f>SalesData[[#This Row],[Unit_Price]]-SalesData[[#This Row],[Unit_Cost]]</f>
        <v>333.55999999999995</v>
      </c>
      <c r="T605" s="10">
        <f>SalesData[[#This Row],[Unit_Margin]]/SalesData[[#This Row],[Unit_Price]]</f>
        <v>8.7786570939055217E-2</v>
      </c>
      <c r="U605" s="2" t="str">
        <f>IF(SalesData[[#This Row],[Unit_Margin]]&lt;0, "Negative margin", "Positive margin")</f>
        <v>Positive margin</v>
      </c>
      <c r="V605" s="2" t="str">
        <f>IF(SalesData[[#This Row],[Profit]]&lt;0, "Loss", "Profit")</f>
        <v>Profit</v>
      </c>
      <c r="W605" s="2">
        <f>SalesData[[#This Row],[Unit_Price]]*(1-SalesData[[#This Row],[Discount]])</f>
        <v>3761.6732999999999</v>
      </c>
      <c r="X605" s="2">
        <f>SalesData[[#This Row],[Effective_Unit_Price]]-SalesData[[#This Row],[Unit_Cost]]</f>
        <v>295.5632999999998</v>
      </c>
      <c r="Y605" s="2" t="str">
        <f>IF(SalesData[[#This Row],[Effective_Unit_Margin]]&lt;0,"Loss per Unit","Positive per Unit")</f>
        <v>Positive per Unit</v>
      </c>
    </row>
    <row r="606" spans="1:25" x14ac:dyDescent="0.3">
      <c r="A606">
        <v>1055</v>
      </c>
      <c r="B606" s="1">
        <v>45113</v>
      </c>
      <c r="C606" t="s">
        <v>37</v>
      </c>
      <c r="D606" t="s">
        <v>24</v>
      </c>
      <c r="E606">
        <v>16</v>
      </c>
      <c r="F606" t="s">
        <v>28</v>
      </c>
      <c r="G606">
        <v>4195.38</v>
      </c>
      <c r="H606">
        <v>4461.51</v>
      </c>
      <c r="I606" t="s">
        <v>16</v>
      </c>
      <c r="J606" s="2">
        <v>0.09</v>
      </c>
      <c r="K606" t="s">
        <v>26</v>
      </c>
      <c r="L606" t="s">
        <v>18</v>
      </c>
      <c r="M606" t="s">
        <v>38</v>
      </c>
      <c r="N606">
        <f>SalesData[[#This Row],[Quantity_Sold]]*SalesData[[#This Row],[Unit_Cost]]</f>
        <v>67126.080000000002</v>
      </c>
      <c r="O606">
        <f>SalesData[[#This Row],[Quantity_Sold]]*SalesData[[#This Row],[Unit_Price]]</f>
        <v>71384.160000000003</v>
      </c>
      <c r="P606">
        <f>SalesData[[#This Row],[Gross_sales]]*(1-SalesData[[#This Row],[Discount]])</f>
        <v>64959.585600000006</v>
      </c>
      <c r="Q606" s="2">
        <f>SalesData[[#This Row],[Sales_amount]]-SalesData[[#This Row],[Total_Cost]]</f>
        <v>-2166.4943999999959</v>
      </c>
      <c r="R606" s="2">
        <f>SalesData[[#This Row],[Profit]]/SalesData[[#This Row],[Sales_amount]]</f>
        <v>-3.3351419655608082E-2</v>
      </c>
      <c r="S606" s="2">
        <f>SalesData[[#This Row],[Unit_Price]]-SalesData[[#This Row],[Unit_Cost]]</f>
        <v>266.13000000000011</v>
      </c>
      <c r="T606" s="10">
        <f>SalesData[[#This Row],[Unit_Margin]]/SalesData[[#This Row],[Unit_Price]]</f>
        <v>5.9650208113396608E-2</v>
      </c>
      <c r="U606" s="2" t="str">
        <f>IF(SalesData[[#This Row],[Unit_Margin]]&lt;0, "Negative margin", "Positive margin")</f>
        <v>Positive margin</v>
      </c>
      <c r="V606" s="2" t="str">
        <f>IF(SalesData[[#This Row],[Profit]]&lt;0, "Loss", "Profit")</f>
        <v>Loss</v>
      </c>
      <c r="W606" s="2">
        <f>SalesData[[#This Row],[Unit_Price]]*(1-SalesData[[#This Row],[Discount]])</f>
        <v>4059.9741000000004</v>
      </c>
      <c r="X606" s="2">
        <f>SalesData[[#This Row],[Effective_Unit_Price]]-SalesData[[#This Row],[Unit_Cost]]</f>
        <v>-135.40589999999975</v>
      </c>
      <c r="Y606" s="2" t="str">
        <f>IF(SalesData[[#This Row],[Effective_Unit_Margin]]&lt;0,"Loss per Unit","Positive per Unit")</f>
        <v>Loss per Unit</v>
      </c>
    </row>
    <row r="607" spans="1:25" x14ac:dyDescent="0.3">
      <c r="A607">
        <v>1013</v>
      </c>
      <c r="B607" s="1">
        <v>45219</v>
      </c>
      <c r="C607" t="s">
        <v>23</v>
      </c>
      <c r="D607" t="s">
        <v>33</v>
      </c>
      <c r="E607">
        <v>46</v>
      </c>
      <c r="F607" t="s">
        <v>34</v>
      </c>
      <c r="G607">
        <v>1648.8</v>
      </c>
      <c r="H607">
        <v>1670.36</v>
      </c>
      <c r="I607" t="s">
        <v>16</v>
      </c>
      <c r="J607" s="2">
        <v>0.09</v>
      </c>
      <c r="K607" t="s">
        <v>30</v>
      </c>
      <c r="L607" t="s">
        <v>21</v>
      </c>
      <c r="M607" t="s">
        <v>49</v>
      </c>
      <c r="N607">
        <f>SalesData[[#This Row],[Quantity_Sold]]*SalesData[[#This Row],[Unit_Cost]]</f>
        <v>75844.800000000003</v>
      </c>
      <c r="O607">
        <f>SalesData[[#This Row],[Quantity_Sold]]*SalesData[[#This Row],[Unit_Price]]</f>
        <v>76836.56</v>
      </c>
      <c r="P607">
        <f>SalesData[[#This Row],[Gross_sales]]*(1-SalesData[[#This Row],[Discount]])</f>
        <v>69921.2696</v>
      </c>
      <c r="Q607" s="2">
        <f>SalesData[[#This Row],[Sales_amount]]-SalesData[[#This Row],[Total_Cost]]</f>
        <v>-5923.5304000000033</v>
      </c>
      <c r="R607" s="2">
        <f>SalesData[[#This Row],[Profit]]/SalesData[[#This Row],[Sales_amount]]</f>
        <v>-8.4717145925508247E-2</v>
      </c>
      <c r="S607" s="2">
        <f>SalesData[[#This Row],[Unit_Price]]-SalesData[[#This Row],[Unit_Cost]]</f>
        <v>21.559999999999945</v>
      </c>
      <c r="T607" s="10">
        <f>SalesData[[#This Row],[Unit_Margin]]/SalesData[[#This Row],[Unit_Price]]</f>
        <v>1.290739720778751E-2</v>
      </c>
      <c r="U607" s="2" t="str">
        <f>IF(SalesData[[#This Row],[Unit_Margin]]&lt;0, "Negative margin", "Positive margin")</f>
        <v>Positive margin</v>
      </c>
      <c r="V607" s="2" t="str">
        <f>IF(SalesData[[#This Row],[Profit]]&lt;0, "Loss", "Profit")</f>
        <v>Loss</v>
      </c>
      <c r="W607" s="2">
        <f>SalesData[[#This Row],[Unit_Price]]*(1-SalesData[[#This Row],[Discount]])</f>
        <v>1520.0275999999999</v>
      </c>
      <c r="X607" s="2">
        <f>SalesData[[#This Row],[Effective_Unit_Price]]-SalesData[[#This Row],[Unit_Cost]]</f>
        <v>-128.77240000000006</v>
      </c>
      <c r="Y607" s="2" t="str">
        <f>IF(SalesData[[#This Row],[Effective_Unit_Margin]]&lt;0,"Loss per Unit","Positive per Unit")</f>
        <v>Loss per Unit</v>
      </c>
    </row>
    <row r="608" spans="1:25" x14ac:dyDescent="0.3">
      <c r="A608">
        <v>1023</v>
      </c>
      <c r="B608" s="1">
        <v>44987</v>
      </c>
      <c r="C608" t="s">
        <v>23</v>
      </c>
      <c r="D608" t="s">
        <v>20</v>
      </c>
      <c r="E608">
        <v>39</v>
      </c>
      <c r="F608" t="s">
        <v>25</v>
      </c>
      <c r="G608">
        <v>4450.6099999999997</v>
      </c>
      <c r="H608">
        <v>4663.3399999999901</v>
      </c>
      <c r="I608" t="s">
        <v>29</v>
      </c>
      <c r="J608" s="2">
        <v>0.24</v>
      </c>
      <c r="K608" t="s">
        <v>17</v>
      </c>
      <c r="L608" t="s">
        <v>21</v>
      </c>
      <c r="M608" t="s">
        <v>46</v>
      </c>
      <c r="N608">
        <f>SalesData[[#This Row],[Quantity_Sold]]*SalesData[[#This Row],[Unit_Cost]]</f>
        <v>173573.78999999998</v>
      </c>
      <c r="O608">
        <f>SalesData[[#This Row],[Quantity_Sold]]*SalesData[[#This Row],[Unit_Price]]</f>
        <v>181870.2599999996</v>
      </c>
      <c r="P608">
        <f>SalesData[[#This Row],[Gross_sales]]*(1-SalesData[[#This Row],[Discount]])</f>
        <v>138221.39759999971</v>
      </c>
      <c r="Q608" s="2">
        <f>SalesData[[#This Row],[Sales_amount]]-SalesData[[#This Row],[Total_Cost]]</f>
        <v>-35352.392400000273</v>
      </c>
      <c r="R608" s="2">
        <f>SalesData[[#This Row],[Profit]]/SalesData[[#This Row],[Sales_amount]]</f>
        <v>-0.25576642266566368</v>
      </c>
      <c r="S608" s="2">
        <f>SalesData[[#This Row],[Unit_Price]]-SalesData[[#This Row],[Unit_Cost]]</f>
        <v>212.72999999999047</v>
      </c>
      <c r="T608" s="10">
        <f>SalesData[[#This Row],[Unit_Margin]]/SalesData[[#This Row],[Unit_Price]]</f>
        <v>4.5617518774095589E-2</v>
      </c>
      <c r="U608" s="2" t="str">
        <f>IF(SalesData[[#This Row],[Unit_Margin]]&lt;0, "Negative margin", "Positive margin")</f>
        <v>Positive margin</v>
      </c>
      <c r="V608" s="2" t="str">
        <f>IF(SalesData[[#This Row],[Profit]]&lt;0, "Loss", "Profit")</f>
        <v>Loss</v>
      </c>
      <c r="W608" s="2">
        <f>SalesData[[#This Row],[Unit_Price]]*(1-SalesData[[#This Row],[Discount]])</f>
        <v>3544.1383999999925</v>
      </c>
      <c r="X608" s="2">
        <f>SalesData[[#This Row],[Effective_Unit_Price]]-SalesData[[#This Row],[Unit_Cost]]</f>
        <v>-906.47160000000713</v>
      </c>
      <c r="Y608" s="2" t="str">
        <f>IF(SalesData[[#This Row],[Effective_Unit_Margin]]&lt;0,"Loss per Unit","Positive per Unit")</f>
        <v>Loss per Unit</v>
      </c>
    </row>
    <row r="609" spans="1:25" x14ac:dyDescent="0.3">
      <c r="A609">
        <v>1089</v>
      </c>
      <c r="B609" s="1">
        <v>45124</v>
      </c>
      <c r="C609" t="s">
        <v>32</v>
      </c>
      <c r="D609" t="s">
        <v>14</v>
      </c>
      <c r="E609">
        <v>31</v>
      </c>
      <c r="F609" t="s">
        <v>28</v>
      </c>
      <c r="G609">
        <v>845.14</v>
      </c>
      <c r="H609">
        <v>1001.77</v>
      </c>
      <c r="I609" t="s">
        <v>29</v>
      </c>
      <c r="J609" s="2">
        <v>0.03</v>
      </c>
      <c r="K609" t="s">
        <v>17</v>
      </c>
      <c r="L609" t="s">
        <v>18</v>
      </c>
      <c r="M609" t="s">
        <v>52</v>
      </c>
      <c r="N609">
        <f>SalesData[[#This Row],[Quantity_Sold]]*SalesData[[#This Row],[Unit_Cost]]</f>
        <v>26199.34</v>
      </c>
      <c r="O609">
        <f>SalesData[[#This Row],[Quantity_Sold]]*SalesData[[#This Row],[Unit_Price]]</f>
        <v>31054.87</v>
      </c>
      <c r="P609">
        <f>SalesData[[#This Row],[Gross_sales]]*(1-SalesData[[#This Row],[Discount]])</f>
        <v>30123.223899999997</v>
      </c>
      <c r="Q609" s="2">
        <f>SalesData[[#This Row],[Sales_amount]]-SalesData[[#This Row],[Total_Cost]]</f>
        <v>3923.8838999999971</v>
      </c>
      <c r="R609" s="2">
        <f>SalesData[[#This Row],[Profit]]/SalesData[[#This Row],[Sales_amount]]</f>
        <v>0.13026108735990896</v>
      </c>
      <c r="S609" s="2">
        <f>SalesData[[#This Row],[Unit_Price]]-SalesData[[#This Row],[Unit_Cost]]</f>
        <v>156.63</v>
      </c>
      <c r="T609" s="10">
        <f>SalesData[[#This Row],[Unit_Margin]]/SalesData[[#This Row],[Unit_Price]]</f>
        <v>0.15635325473911177</v>
      </c>
      <c r="U609" s="2" t="str">
        <f>IF(SalesData[[#This Row],[Unit_Margin]]&lt;0, "Negative margin", "Positive margin")</f>
        <v>Positive margin</v>
      </c>
      <c r="V609" s="2" t="str">
        <f>IF(SalesData[[#This Row],[Profit]]&lt;0, "Loss", "Profit")</f>
        <v>Profit</v>
      </c>
      <c r="W609" s="2">
        <f>SalesData[[#This Row],[Unit_Price]]*(1-SalesData[[#This Row],[Discount]])</f>
        <v>971.71690000000001</v>
      </c>
      <c r="X609" s="2">
        <f>SalesData[[#This Row],[Effective_Unit_Price]]-SalesData[[#This Row],[Unit_Cost]]</f>
        <v>126.57690000000002</v>
      </c>
      <c r="Y609" s="2" t="str">
        <f>IF(SalesData[[#This Row],[Effective_Unit_Margin]]&lt;0,"Loss per Unit","Positive per Unit")</f>
        <v>Positive per Unit</v>
      </c>
    </row>
    <row r="610" spans="1:25" x14ac:dyDescent="0.3">
      <c r="A610">
        <v>1099</v>
      </c>
      <c r="B610" s="1">
        <v>45221</v>
      </c>
      <c r="C610" t="s">
        <v>13</v>
      </c>
      <c r="D610" t="s">
        <v>20</v>
      </c>
      <c r="E610">
        <v>43</v>
      </c>
      <c r="F610" t="s">
        <v>28</v>
      </c>
      <c r="G610">
        <v>906.47</v>
      </c>
      <c r="H610">
        <v>1283.04</v>
      </c>
      <c r="I610" t="s">
        <v>29</v>
      </c>
      <c r="J610" s="2">
        <v>0.24</v>
      </c>
      <c r="K610" t="s">
        <v>17</v>
      </c>
      <c r="L610" t="s">
        <v>18</v>
      </c>
      <c r="M610" t="s">
        <v>22</v>
      </c>
      <c r="N610">
        <f>SalesData[[#This Row],[Quantity_Sold]]*SalesData[[#This Row],[Unit_Cost]]</f>
        <v>38978.21</v>
      </c>
      <c r="O610">
        <f>SalesData[[#This Row],[Quantity_Sold]]*SalesData[[#This Row],[Unit_Price]]</f>
        <v>55170.720000000001</v>
      </c>
      <c r="P610">
        <f>SalesData[[#This Row],[Gross_sales]]*(1-SalesData[[#This Row],[Discount]])</f>
        <v>41929.747199999998</v>
      </c>
      <c r="Q610" s="2">
        <f>SalesData[[#This Row],[Sales_amount]]-SalesData[[#This Row],[Total_Cost]]</f>
        <v>2951.5371999999988</v>
      </c>
      <c r="R610" s="2">
        <f>SalesData[[#This Row],[Profit]]/SalesData[[#This Row],[Sales_amount]]</f>
        <v>7.0392439666318779E-2</v>
      </c>
      <c r="S610" s="2">
        <f>SalesData[[#This Row],[Unit_Price]]-SalesData[[#This Row],[Unit_Cost]]</f>
        <v>376.56999999999994</v>
      </c>
      <c r="T610" s="10">
        <f>SalesData[[#This Row],[Unit_Margin]]/SalesData[[#This Row],[Unit_Price]]</f>
        <v>0.29349825414640224</v>
      </c>
      <c r="U610" s="2" t="str">
        <f>IF(SalesData[[#This Row],[Unit_Margin]]&lt;0, "Negative margin", "Positive margin")</f>
        <v>Positive margin</v>
      </c>
      <c r="V610" s="2" t="str">
        <f>IF(SalesData[[#This Row],[Profit]]&lt;0, "Loss", "Profit")</f>
        <v>Profit</v>
      </c>
      <c r="W610" s="2">
        <f>SalesData[[#This Row],[Unit_Price]]*(1-SalesData[[#This Row],[Discount]])</f>
        <v>975.11040000000003</v>
      </c>
      <c r="X610" s="2">
        <f>SalesData[[#This Row],[Effective_Unit_Price]]-SalesData[[#This Row],[Unit_Cost]]</f>
        <v>68.6404</v>
      </c>
      <c r="Y610" s="2" t="str">
        <f>IF(SalesData[[#This Row],[Effective_Unit_Margin]]&lt;0,"Loss per Unit","Positive per Unit")</f>
        <v>Positive per Unit</v>
      </c>
    </row>
    <row r="611" spans="1:25" x14ac:dyDescent="0.3">
      <c r="A611">
        <v>1030</v>
      </c>
      <c r="B611" s="1">
        <v>45245</v>
      </c>
      <c r="C611" t="s">
        <v>37</v>
      </c>
      <c r="D611" t="s">
        <v>33</v>
      </c>
      <c r="E611">
        <v>24</v>
      </c>
      <c r="F611" t="s">
        <v>28</v>
      </c>
      <c r="G611">
        <v>1370.52</v>
      </c>
      <c r="H611">
        <v>1482.58</v>
      </c>
      <c r="I611" t="s">
        <v>16</v>
      </c>
      <c r="J611" s="2">
        <v>0.2</v>
      </c>
      <c r="K611" t="s">
        <v>30</v>
      </c>
      <c r="L611" t="s">
        <v>21</v>
      </c>
      <c r="M611" t="s">
        <v>47</v>
      </c>
      <c r="N611">
        <f>SalesData[[#This Row],[Quantity_Sold]]*SalesData[[#This Row],[Unit_Cost]]</f>
        <v>32892.479999999996</v>
      </c>
      <c r="O611">
        <f>SalesData[[#This Row],[Quantity_Sold]]*SalesData[[#This Row],[Unit_Price]]</f>
        <v>35581.919999999998</v>
      </c>
      <c r="P611">
        <f>SalesData[[#This Row],[Gross_sales]]*(1-SalesData[[#This Row],[Discount]])</f>
        <v>28465.536</v>
      </c>
      <c r="Q611" s="2">
        <f>SalesData[[#This Row],[Sales_amount]]-SalesData[[#This Row],[Total_Cost]]</f>
        <v>-4426.9439999999959</v>
      </c>
      <c r="R611" s="2">
        <f>SalesData[[#This Row],[Profit]]/SalesData[[#This Row],[Sales_amount]]</f>
        <v>-0.15551943234091906</v>
      </c>
      <c r="S611" s="2">
        <f>SalesData[[#This Row],[Unit_Price]]-SalesData[[#This Row],[Unit_Cost]]</f>
        <v>112.05999999999995</v>
      </c>
      <c r="T611" s="10">
        <f>SalesData[[#This Row],[Unit_Margin]]/SalesData[[#This Row],[Unit_Price]]</f>
        <v>7.5584454127264597E-2</v>
      </c>
      <c r="U611" s="2" t="str">
        <f>IF(SalesData[[#This Row],[Unit_Margin]]&lt;0, "Negative margin", "Positive margin")</f>
        <v>Positive margin</v>
      </c>
      <c r="V611" s="2" t="str">
        <f>IF(SalesData[[#This Row],[Profit]]&lt;0, "Loss", "Profit")</f>
        <v>Loss</v>
      </c>
      <c r="W611" s="2">
        <f>SalesData[[#This Row],[Unit_Price]]*(1-SalesData[[#This Row],[Discount]])</f>
        <v>1186.0640000000001</v>
      </c>
      <c r="X611" s="2">
        <f>SalesData[[#This Row],[Effective_Unit_Price]]-SalesData[[#This Row],[Unit_Cost]]</f>
        <v>-184.4559999999999</v>
      </c>
      <c r="Y611" s="2" t="str">
        <f>IF(SalesData[[#This Row],[Effective_Unit_Margin]]&lt;0,"Loss per Unit","Positive per Unit")</f>
        <v>Loss per Unit</v>
      </c>
    </row>
    <row r="612" spans="1:25" x14ac:dyDescent="0.3">
      <c r="A612">
        <v>1017</v>
      </c>
      <c r="B612" s="1">
        <v>45228</v>
      </c>
      <c r="C612" t="s">
        <v>37</v>
      </c>
      <c r="D612" t="s">
        <v>33</v>
      </c>
      <c r="E612">
        <v>1</v>
      </c>
      <c r="F612" t="s">
        <v>15</v>
      </c>
      <c r="G612">
        <v>641.67999999999995</v>
      </c>
      <c r="H612">
        <v>752.24</v>
      </c>
      <c r="I612" t="s">
        <v>29</v>
      </c>
      <c r="J612" s="2">
        <v>0.22</v>
      </c>
      <c r="K612" t="s">
        <v>26</v>
      </c>
      <c r="L612" t="s">
        <v>18</v>
      </c>
      <c r="M612" t="s">
        <v>47</v>
      </c>
      <c r="N612">
        <f>SalesData[[#This Row],[Quantity_Sold]]*SalesData[[#This Row],[Unit_Cost]]</f>
        <v>641.67999999999995</v>
      </c>
      <c r="O612">
        <f>SalesData[[#This Row],[Quantity_Sold]]*SalesData[[#This Row],[Unit_Price]]</f>
        <v>752.24</v>
      </c>
      <c r="P612">
        <f>SalesData[[#This Row],[Gross_sales]]*(1-SalesData[[#This Row],[Discount]])</f>
        <v>586.74720000000002</v>
      </c>
      <c r="Q612" s="2">
        <f>SalesData[[#This Row],[Sales_amount]]-SalesData[[#This Row],[Total_Cost]]</f>
        <v>-54.932799999999929</v>
      </c>
      <c r="R612" s="2">
        <f>SalesData[[#This Row],[Profit]]/SalesData[[#This Row],[Sales_amount]]</f>
        <v>-9.3622602715445299E-2</v>
      </c>
      <c r="S612" s="2">
        <f>SalesData[[#This Row],[Unit_Price]]-SalesData[[#This Row],[Unit_Cost]]</f>
        <v>110.56000000000006</v>
      </c>
      <c r="T612" s="10">
        <f>SalesData[[#This Row],[Unit_Margin]]/SalesData[[#This Row],[Unit_Price]]</f>
        <v>0.14697436988195264</v>
      </c>
      <c r="U612" s="2" t="str">
        <f>IF(SalesData[[#This Row],[Unit_Margin]]&lt;0, "Negative margin", "Positive margin")</f>
        <v>Positive margin</v>
      </c>
      <c r="V612" s="2" t="str">
        <f>IF(SalesData[[#This Row],[Profit]]&lt;0, "Loss", "Profit")</f>
        <v>Loss</v>
      </c>
      <c r="W612" s="2">
        <f>SalesData[[#This Row],[Unit_Price]]*(1-SalesData[[#This Row],[Discount]])</f>
        <v>586.74720000000002</v>
      </c>
      <c r="X612" s="2">
        <f>SalesData[[#This Row],[Effective_Unit_Price]]-SalesData[[#This Row],[Unit_Cost]]</f>
        <v>-54.932799999999929</v>
      </c>
      <c r="Y612" s="2" t="str">
        <f>IF(SalesData[[#This Row],[Effective_Unit_Margin]]&lt;0,"Loss per Unit","Positive per Unit")</f>
        <v>Loss per Unit</v>
      </c>
    </row>
    <row r="613" spans="1:25" x14ac:dyDescent="0.3">
      <c r="A613">
        <v>1062</v>
      </c>
      <c r="B613" s="1">
        <v>45270</v>
      </c>
      <c r="C613" t="s">
        <v>23</v>
      </c>
      <c r="D613" t="s">
        <v>20</v>
      </c>
      <c r="E613">
        <v>11</v>
      </c>
      <c r="F613" t="s">
        <v>34</v>
      </c>
      <c r="G613">
        <v>1190.08</v>
      </c>
      <c r="H613">
        <v>1292.9399999999901</v>
      </c>
      <c r="I613" t="s">
        <v>16</v>
      </c>
      <c r="J613" s="2">
        <v>0.13</v>
      </c>
      <c r="K613" t="s">
        <v>17</v>
      </c>
      <c r="L613" t="s">
        <v>21</v>
      </c>
      <c r="M613" t="s">
        <v>46</v>
      </c>
      <c r="N613">
        <f>SalesData[[#This Row],[Quantity_Sold]]*SalesData[[#This Row],[Unit_Cost]]</f>
        <v>13090.88</v>
      </c>
      <c r="O613">
        <f>SalesData[[#This Row],[Quantity_Sold]]*SalesData[[#This Row],[Unit_Price]]</f>
        <v>14222.339999999891</v>
      </c>
      <c r="P613">
        <f>SalesData[[#This Row],[Gross_sales]]*(1-SalesData[[#This Row],[Discount]])</f>
        <v>12373.435799999905</v>
      </c>
      <c r="Q613" s="2">
        <f>SalesData[[#This Row],[Sales_amount]]-SalesData[[#This Row],[Total_Cost]]</f>
        <v>-717.4442000000945</v>
      </c>
      <c r="R613" s="2">
        <f>SalesData[[#This Row],[Profit]]/SalesData[[#This Row],[Sales_amount]]</f>
        <v>-5.7982617891798496E-2</v>
      </c>
      <c r="S613" s="2">
        <f>SalesData[[#This Row],[Unit_Price]]-SalesData[[#This Row],[Unit_Cost]]</f>
        <v>102.85999999999012</v>
      </c>
      <c r="T613" s="10">
        <f>SalesData[[#This Row],[Unit_Margin]]/SalesData[[#This Row],[Unit_Price]]</f>
        <v>7.9555122434135317E-2</v>
      </c>
      <c r="U613" s="2" t="str">
        <f>IF(SalesData[[#This Row],[Unit_Margin]]&lt;0, "Negative margin", "Positive margin")</f>
        <v>Positive margin</v>
      </c>
      <c r="V613" s="2" t="str">
        <f>IF(SalesData[[#This Row],[Profit]]&lt;0, "Loss", "Profit")</f>
        <v>Loss</v>
      </c>
      <c r="W613" s="2">
        <f>SalesData[[#This Row],[Unit_Price]]*(1-SalesData[[#This Row],[Discount]])</f>
        <v>1124.8577999999914</v>
      </c>
      <c r="X613" s="2">
        <f>SalesData[[#This Row],[Effective_Unit_Price]]-SalesData[[#This Row],[Unit_Cost]]</f>
        <v>-65.22220000000857</v>
      </c>
      <c r="Y613" s="2" t="str">
        <f>IF(SalesData[[#This Row],[Effective_Unit_Margin]]&lt;0,"Loss per Unit","Positive per Unit")</f>
        <v>Loss per Unit</v>
      </c>
    </row>
    <row r="614" spans="1:25" x14ac:dyDescent="0.3">
      <c r="A614">
        <v>1084</v>
      </c>
      <c r="B614" s="1">
        <v>44937</v>
      </c>
      <c r="C614" t="s">
        <v>13</v>
      </c>
      <c r="D614" t="s">
        <v>33</v>
      </c>
      <c r="E614">
        <v>21</v>
      </c>
      <c r="F614" t="s">
        <v>28</v>
      </c>
      <c r="G614">
        <v>576.74</v>
      </c>
      <c r="H614">
        <v>648.29</v>
      </c>
      <c r="I614" t="s">
        <v>16</v>
      </c>
      <c r="J614" s="2">
        <v>0.2</v>
      </c>
      <c r="K614" t="s">
        <v>26</v>
      </c>
      <c r="L614" t="s">
        <v>18</v>
      </c>
      <c r="M614" t="s">
        <v>45</v>
      </c>
      <c r="N614">
        <f>SalesData[[#This Row],[Quantity_Sold]]*SalesData[[#This Row],[Unit_Cost]]</f>
        <v>12111.54</v>
      </c>
      <c r="O614">
        <f>SalesData[[#This Row],[Quantity_Sold]]*SalesData[[#This Row],[Unit_Price]]</f>
        <v>13614.09</v>
      </c>
      <c r="P614">
        <f>SalesData[[#This Row],[Gross_sales]]*(1-SalesData[[#This Row],[Discount]])</f>
        <v>10891.272000000001</v>
      </c>
      <c r="Q614" s="2">
        <f>SalesData[[#This Row],[Sales_amount]]-SalesData[[#This Row],[Total_Cost]]</f>
        <v>-1220.268</v>
      </c>
      <c r="R614" s="2">
        <f>SalesData[[#This Row],[Profit]]/SalesData[[#This Row],[Sales_amount]]</f>
        <v>-0.11204090761850406</v>
      </c>
      <c r="S614" s="2">
        <f>SalesData[[#This Row],[Unit_Price]]-SalesData[[#This Row],[Unit_Cost]]</f>
        <v>71.549999999999955</v>
      </c>
      <c r="T614" s="10">
        <f>SalesData[[#This Row],[Unit_Margin]]/SalesData[[#This Row],[Unit_Price]]</f>
        <v>0.11036727390519668</v>
      </c>
      <c r="U614" s="2" t="str">
        <f>IF(SalesData[[#This Row],[Unit_Margin]]&lt;0, "Negative margin", "Positive margin")</f>
        <v>Positive margin</v>
      </c>
      <c r="V614" s="2" t="str">
        <f>IF(SalesData[[#This Row],[Profit]]&lt;0, "Loss", "Profit")</f>
        <v>Loss</v>
      </c>
      <c r="W614" s="2">
        <f>SalesData[[#This Row],[Unit_Price]]*(1-SalesData[[#This Row],[Discount]])</f>
        <v>518.63199999999995</v>
      </c>
      <c r="X614" s="2">
        <f>SalesData[[#This Row],[Effective_Unit_Price]]-SalesData[[#This Row],[Unit_Cost]]</f>
        <v>-58.108000000000061</v>
      </c>
      <c r="Y614" s="2" t="str">
        <f>IF(SalesData[[#This Row],[Effective_Unit_Margin]]&lt;0,"Loss per Unit","Positive per Unit")</f>
        <v>Loss per Unit</v>
      </c>
    </row>
    <row r="615" spans="1:25" x14ac:dyDescent="0.3">
      <c r="A615">
        <v>1089</v>
      </c>
      <c r="B615" s="1">
        <v>44988</v>
      </c>
      <c r="C615" t="s">
        <v>32</v>
      </c>
      <c r="D615" t="s">
        <v>14</v>
      </c>
      <c r="E615">
        <v>4</v>
      </c>
      <c r="F615" t="s">
        <v>15</v>
      </c>
      <c r="G615">
        <v>4117.67</v>
      </c>
      <c r="H615">
        <v>4280.0600000000004</v>
      </c>
      <c r="I615" t="s">
        <v>16</v>
      </c>
      <c r="J615" s="2">
        <v>0.18</v>
      </c>
      <c r="K615" t="s">
        <v>26</v>
      </c>
      <c r="L615" t="s">
        <v>18</v>
      </c>
      <c r="M615" t="s">
        <v>52</v>
      </c>
      <c r="N615">
        <f>SalesData[[#This Row],[Quantity_Sold]]*SalesData[[#This Row],[Unit_Cost]]</f>
        <v>16470.68</v>
      </c>
      <c r="O615">
        <f>SalesData[[#This Row],[Quantity_Sold]]*SalesData[[#This Row],[Unit_Price]]</f>
        <v>17120.240000000002</v>
      </c>
      <c r="P615">
        <f>SalesData[[#This Row],[Gross_sales]]*(1-SalesData[[#This Row],[Discount]])</f>
        <v>14038.596800000003</v>
      </c>
      <c r="Q615" s="2">
        <f>SalesData[[#This Row],[Sales_amount]]-SalesData[[#This Row],[Total_Cost]]</f>
        <v>-2432.0831999999973</v>
      </c>
      <c r="R615" s="2">
        <f>SalesData[[#This Row],[Profit]]/SalesData[[#This Row],[Sales_amount]]</f>
        <v>-0.17324261353527845</v>
      </c>
      <c r="S615" s="2">
        <f>SalesData[[#This Row],[Unit_Price]]-SalesData[[#This Row],[Unit_Cost]]</f>
        <v>162.39000000000033</v>
      </c>
      <c r="T615" s="10">
        <f>SalesData[[#This Row],[Unit_Margin]]/SalesData[[#This Row],[Unit_Price]]</f>
        <v>3.7941056901071551E-2</v>
      </c>
      <c r="U615" s="2" t="str">
        <f>IF(SalesData[[#This Row],[Unit_Margin]]&lt;0, "Negative margin", "Positive margin")</f>
        <v>Positive margin</v>
      </c>
      <c r="V615" s="2" t="str">
        <f>IF(SalesData[[#This Row],[Profit]]&lt;0, "Loss", "Profit")</f>
        <v>Loss</v>
      </c>
      <c r="W615" s="2">
        <f>SalesData[[#This Row],[Unit_Price]]*(1-SalesData[[#This Row],[Discount]])</f>
        <v>3509.6492000000007</v>
      </c>
      <c r="X615" s="2">
        <f>SalesData[[#This Row],[Effective_Unit_Price]]-SalesData[[#This Row],[Unit_Cost]]</f>
        <v>-608.02079999999933</v>
      </c>
      <c r="Y615" s="2" t="str">
        <f>IF(SalesData[[#This Row],[Effective_Unit_Margin]]&lt;0,"Loss per Unit","Positive per Unit")</f>
        <v>Loss per Unit</v>
      </c>
    </row>
    <row r="616" spans="1:25" x14ac:dyDescent="0.3">
      <c r="A616">
        <v>1086</v>
      </c>
      <c r="B616" s="1">
        <v>45259</v>
      </c>
      <c r="C616" t="s">
        <v>13</v>
      </c>
      <c r="D616" t="s">
        <v>20</v>
      </c>
      <c r="E616">
        <v>7</v>
      </c>
      <c r="F616" t="s">
        <v>25</v>
      </c>
      <c r="G616">
        <v>737.9</v>
      </c>
      <c r="H616">
        <v>1182</v>
      </c>
      <c r="I616" t="s">
        <v>29</v>
      </c>
      <c r="J616" s="2">
        <v>0.23</v>
      </c>
      <c r="K616" t="s">
        <v>30</v>
      </c>
      <c r="L616" t="s">
        <v>21</v>
      </c>
      <c r="M616" t="s">
        <v>22</v>
      </c>
      <c r="N616">
        <f>SalesData[[#This Row],[Quantity_Sold]]*SalesData[[#This Row],[Unit_Cost]]</f>
        <v>5165.3</v>
      </c>
      <c r="O616">
        <f>SalesData[[#This Row],[Quantity_Sold]]*SalesData[[#This Row],[Unit_Price]]</f>
        <v>8274</v>
      </c>
      <c r="P616">
        <f>SalesData[[#This Row],[Gross_sales]]*(1-SalesData[[#This Row],[Discount]])</f>
        <v>6370.9800000000005</v>
      </c>
      <c r="Q616" s="2">
        <f>SalesData[[#This Row],[Sales_amount]]-SalesData[[#This Row],[Total_Cost]]</f>
        <v>1205.6800000000003</v>
      </c>
      <c r="R616" s="2">
        <f>SalesData[[#This Row],[Profit]]/SalesData[[#This Row],[Sales_amount]]</f>
        <v>0.18924561056540756</v>
      </c>
      <c r="S616" s="2">
        <f>SalesData[[#This Row],[Unit_Price]]-SalesData[[#This Row],[Unit_Cost]]</f>
        <v>444.1</v>
      </c>
      <c r="T616" s="10">
        <f>SalesData[[#This Row],[Unit_Margin]]/SalesData[[#This Row],[Unit_Price]]</f>
        <v>0.37571912013536379</v>
      </c>
      <c r="U616" s="2" t="str">
        <f>IF(SalesData[[#This Row],[Unit_Margin]]&lt;0, "Negative margin", "Positive margin")</f>
        <v>Positive margin</v>
      </c>
      <c r="V616" s="2" t="str">
        <f>IF(SalesData[[#This Row],[Profit]]&lt;0, "Loss", "Profit")</f>
        <v>Profit</v>
      </c>
      <c r="W616" s="2">
        <f>SalesData[[#This Row],[Unit_Price]]*(1-SalesData[[#This Row],[Discount]])</f>
        <v>910.14</v>
      </c>
      <c r="X616" s="2">
        <f>SalesData[[#This Row],[Effective_Unit_Price]]-SalesData[[#This Row],[Unit_Cost]]</f>
        <v>172.24</v>
      </c>
      <c r="Y616" s="2" t="str">
        <f>IF(SalesData[[#This Row],[Effective_Unit_Margin]]&lt;0,"Loss per Unit","Positive per Unit")</f>
        <v>Positive per Unit</v>
      </c>
    </row>
    <row r="617" spans="1:25" x14ac:dyDescent="0.3">
      <c r="A617">
        <v>1013</v>
      </c>
      <c r="B617" s="1">
        <v>45152</v>
      </c>
      <c r="C617" t="s">
        <v>41</v>
      </c>
      <c r="D617" t="s">
        <v>33</v>
      </c>
      <c r="E617">
        <v>26</v>
      </c>
      <c r="F617" t="s">
        <v>28</v>
      </c>
      <c r="G617">
        <v>3749.12</v>
      </c>
      <c r="H617">
        <v>4138.83</v>
      </c>
      <c r="I617" t="s">
        <v>29</v>
      </c>
      <c r="J617" s="2">
        <v>0.13</v>
      </c>
      <c r="K617" t="s">
        <v>30</v>
      </c>
      <c r="L617" t="s">
        <v>18</v>
      </c>
      <c r="M617" t="s">
        <v>51</v>
      </c>
      <c r="N617">
        <f>SalesData[[#This Row],[Quantity_Sold]]*SalesData[[#This Row],[Unit_Cost]]</f>
        <v>97477.119999999995</v>
      </c>
      <c r="O617">
        <f>SalesData[[#This Row],[Quantity_Sold]]*SalesData[[#This Row],[Unit_Price]]</f>
        <v>107609.58</v>
      </c>
      <c r="P617">
        <f>SalesData[[#This Row],[Gross_sales]]*(1-SalesData[[#This Row],[Discount]])</f>
        <v>93620.334600000002</v>
      </c>
      <c r="Q617" s="2">
        <f>SalesData[[#This Row],[Sales_amount]]-SalesData[[#This Row],[Total_Cost]]</f>
        <v>-3856.7853999999934</v>
      </c>
      <c r="R617" s="2">
        <f>SalesData[[#This Row],[Profit]]/SalesData[[#This Row],[Sales_amount]]</f>
        <v>-4.1196022386358715E-2</v>
      </c>
      <c r="S617" s="2">
        <f>SalesData[[#This Row],[Unit_Price]]-SalesData[[#This Row],[Unit_Cost]]</f>
        <v>389.71000000000004</v>
      </c>
      <c r="T617" s="10">
        <f>SalesData[[#This Row],[Unit_Margin]]/SalesData[[#This Row],[Unit_Price]]</f>
        <v>9.4159460523867866E-2</v>
      </c>
      <c r="U617" s="2" t="str">
        <f>IF(SalesData[[#This Row],[Unit_Margin]]&lt;0, "Negative margin", "Positive margin")</f>
        <v>Positive margin</v>
      </c>
      <c r="V617" s="2" t="str">
        <f>IF(SalesData[[#This Row],[Profit]]&lt;0, "Loss", "Profit")</f>
        <v>Loss</v>
      </c>
      <c r="W617" s="2">
        <f>SalesData[[#This Row],[Unit_Price]]*(1-SalesData[[#This Row],[Discount]])</f>
        <v>3600.7820999999999</v>
      </c>
      <c r="X617" s="2">
        <f>SalesData[[#This Row],[Effective_Unit_Price]]-SalesData[[#This Row],[Unit_Cost]]</f>
        <v>-148.33789999999999</v>
      </c>
      <c r="Y617" s="2" t="str">
        <f>IF(SalesData[[#This Row],[Effective_Unit_Margin]]&lt;0,"Loss per Unit","Positive per Unit")</f>
        <v>Loss per Unit</v>
      </c>
    </row>
    <row r="618" spans="1:25" x14ac:dyDescent="0.3">
      <c r="A618">
        <v>1059</v>
      </c>
      <c r="B618" s="1">
        <v>45079</v>
      </c>
      <c r="C618" t="s">
        <v>13</v>
      </c>
      <c r="D618" t="s">
        <v>20</v>
      </c>
      <c r="E618">
        <v>47</v>
      </c>
      <c r="F618" t="s">
        <v>15</v>
      </c>
      <c r="G618">
        <v>287.17</v>
      </c>
      <c r="H618">
        <v>657.44</v>
      </c>
      <c r="I618" t="s">
        <v>16</v>
      </c>
      <c r="J618" s="2">
        <v>0.14000000000000001</v>
      </c>
      <c r="K618" t="s">
        <v>30</v>
      </c>
      <c r="L618" t="s">
        <v>21</v>
      </c>
      <c r="M618" t="s">
        <v>22</v>
      </c>
      <c r="N618">
        <f>SalesData[[#This Row],[Quantity_Sold]]*SalesData[[#This Row],[Unit_Cost]]</f>
        <v>13496.990000000002</v>
      </c>
      <c r="O618">
        <f>SalesData[[#This Row],[Quantity_Sold]]*SalesData[[#This Row],[Unit_Price]]</f>
        <v>30899.680000000004</v>
      </c>
      <c r="P618">
        <f>SalesData[[#This Row],[Gross_sales]]*(1-SalesData[[#This Row],[Discount]])</f>
        <v>26573.724800000004</v>
      </c>
      <c r="Q618" s="2">
        <f>SalesData[[#This Row],[Sales_amount]]-SalesData[[#This Row],[Total_Cost]]</f>
        <v>13076.734800000002</v>
      </c>
      <c r="R618" s="2">
        <f>SalesData[[#This Row],[Profit]]/SalesData[[#This Row],[Sales_amount]]</f>
        <v>0.49209265537362684</v>
      </c>
      <c r="S618" s="2">
        <f>SalesData[[#This Row],[Unit_Price]]-SalesData[[#This Row],[Unit_Cost]]</f>
        <v>370.27000000000004</v>
      </c>
      <c r="T618" s="10">
        <f>SalesData[[#This Row],[Unit_Margin]]/SalesData[[#This Row],[Unit_Price]]</f>
        <v>0.56319968362131911</v>
      </c>
      <c r="U618" s="2" t="str">
        <f>IF(SalesData[[#This Row],[Unit_Margin]]&lt;0, "Negative margin", "Positive margin")</f>
        <v>Positive margin</v>
      </c>
      <c r="V618" s="2" t="str">
        <f>IF(SalesData[[#This Row],[Profit]]&lt;0, "Loss", "Profit")</f>
        <v>Profit</v>
      </c>
      <c r="W618" s="2">
        <f>SalesData[[#This Row],[Unit_Price]]*(1-SalesData[[#This Row],[Discount]])</f>
        <v>565.39840000000004</v>
      </c>
      <c r="X618" s="2">
        <f>SalesData[[#This Row],[Effective_Unit_Price]]-SalesData[[#This Row],[Unit_Cost]]</f>
        <v>278.22840000000002</v>
      </c>
      <c r="Y618" s="2" t="str">
        <f>IF(SalesData[[#This Row],[Effective_Unit_Margin]]&lt;0,"Loss per Unit","Positive per Unit")</f>
        <v>Positive per Unit</v>
      </c>
    </row>
    <row r="619" spans="1:25" x14ac:dyDescent="0.3">
      <c r="A619">
        <v>1019</v>
      </c>
      <c r="B619" s="1">
        <v>45125</v>
      </c>
      <c r="C619" t="s">
        <v>41</v>
      </c>
      <c r="D619" t="s">
        <v>14</v>
      </c>
      <c r="E619">
        <v>12</v>
      </c>
      <c r="F619" t="s">
        <v>28</v>
      </c>
      <c r="G619">
        <v>4745.18</v>
      </c>
      <c r="H619">
        <v>5145.88</v>
      </c>
      <c r="I619" t="s">
        <v>16</v>
      </c>
      <c r="J619" s="2">
        <v>0.19</v>
      </c>
      <c r="K619" t="s">
        <v>30</v>
      </c>
      <c r="L619" t="s">
        <v>18</v>
      </c>
      <c r="M619" t="s">
        <v>48</v>
      </c>
      <c r="N619">
        <f>SalesData[[#This Row],[Quantity_Sold]]*SalesData[[#This Row],[Unit_Cost]]</f>
        <v>56942.16</v>
      </c>
      <c r="O619">
        <f>SalesData[[#This Row],[Quantity_Sold]]*SalesData[[#This Row],[Unit_Price]]</f>
        <v>61750.559999999998</v>
      </c>
      <c r="P619">
        <f>SalesData[[#This Row],[Gross_sales]]*(1-SalesData[[#This Row],[Discount]])</f>
        <v>50017.953600000001</v>
      </c>
      <c r="Q619" s="2">
        <f>SalesData[[#This Row],[Sales_amount]]-SalesData[[#This Row],[Total_Cost]]</f>
        <v>-6924.2064000000028</v>
      </c>
      <c r="R619" s="2">
        <f>SalesData[[#This Row],[Profit]]/SalesData[[#This Row],[Sales_amount]]</f>
        <v>-0.13843442007591455</v>
      </c>
      <c r="S619" s="2">
        <f>SalesData[[#This Row],[Unit_Price]]-SalesData[[#This Row],[Unit_Cost]]</f>
        <v>400.69999999999982</v>
      </c>
      <c r="T619" s="10">
        <f>SalesData[[#This Row],[Unit_Margin]]/SalesData[[#This Row],[Unit_Price]]</f>
        <v>7.7868119738509212E-2</v>
      </c>
      <c r="U619" s="2" t="str">
        <f>IF(SalesData[[#This Row],[Unit_Margin]]&lt;0, "Negative margin", "Positive margin")</f>
        <v>Positive margin</v>
      </c>
      <c r="V619" s="2" t="str">
        <f>IF(SalesData[[#This Row],[Profit]]&lt;0, "Loss", "Profit")</f>
        <v>Loss</v>
      </c>
      <c r="W619" s="2">
        <f>SalesData[[#This Row],[Unit_Price]]*(1-SalesData[[#This Row],[Discount]])</f>
        <v>4168.1628000000001</v>
      </c>
      <c r="X619" s="2">
        <f>SalesData[[#This Row],[Effective_Unit_Price]]-SalesData[[#This Row],[Unit_Cost]]</f>
        <v>-577.01720000000023</v>
      </c>
      <c r="Y619" s="2" t="str">
        <f>IF(SalesData[[#This Row],[Effective_Unit_Margin]]&lt;0,"Loss per Unit","Positive per Unit")</f>
        <v>Loss per Unit</v>
      </c>
    </row>
    <row r="620" spans="1:25" x14ac:dyDescent="0.3">
      <c r="A620">
        <v>1049</v>
      </c>
      <c r="B620" s="1">
        <v>44978</v>
      </c>
      <c r="C620" t="s">
        <v>41</v>
      </c>
      <c r="D620" t="s">
        <v>33</v>
      </c>
      <c r="E620">
        <v>31</v>
      </c>
      <c r="F620" t="s">
        <v>34</v>
      </c>
      <c r="G620">
        <v>3570.24</v>
      </c>
      <c r="H620">
        <v>3712.25</v>
      </c>
      <c r="I620" t="s">
        <v>29</v>
      </c>
      <c r="J620" s="2">
        <v>0.03</v>
      </c>
      <c r="K620" t="s">
        <v>30</v>
      </c>
      <c r="L620" t="s">
        <v>18</v>
      </c>
      <c r="M620" t="s">
        <v>51</v>
      </c>
      <c r="N620">
        <f>SalesData[[#This Row],[Quantity_Sold]]*SalesData[[#This Row],[Unit_Cost]]</f>
        <v>110677.43999999999</v>
      </c>
      <c r="O620">
        <f>SalesData[[#This Row],[Quantity_Sold]]*SalesData[[#This Row],[Unit_Price]]</f>
        <v>115079.75</v>
      </c>
      <c r="P620">
        <f>SalesData[[#This Row],[Gross_sales]]*(1-SalesData[[#This Row],[Discount]])</f>
        <v>111627.3575</v>
      </c>
      <c r="Q620" s="2">
        <f>SalesData[[#This Row],[Sales_amount]]-SalesData[[#This Row],[Total_Cost]]</f>
        <v>949.91750000001048</v>
      </c>
      <c r="R620" s="2">
        <f>SalesData[[#This Row],[Profit]]/SalesData[[#This Row],[Sales_amount]]</f>
        <v>8.5097194923745324E-3</v>
      </c>
      <c r="S620" s="2">
        <f>SalesData[[#This Row],[Unit_Price]]-SalesData[[#This Row],[Unit_Cost]]</f>
        <v>142.01000000000022</v>
      </c>
      <c r="T620" s="10">
        <f>SalesData[[#This Row],[Unit_Margin]]/SalesData[[#This Row],[Unit_Price]]</f>
        <v>3.8254427907603264E-2</v>
      </c>
      <c r="U620" s="2" t="str">
        <f>IF(SalesData[[#This Row],[Unit_Margin]]&lt;0, "Negative margin", "Positive margin")</f>
        <v>Positive margin</v>
      </c>
      <c r="V620" s="2" t="str">
        <f>IF(SalesData[[#This Row],[Profit]]&lt;0, "Loss", "Profit")</f>
        <v>Profit</v>
      </c>
      <c r="W620" s="2">
        <f>SalesData[[#This Row],[Unit_Price]]*(1-SalesData[[#This Row],[Discount]])</f>
        <v>3600.8824999999997</v>
      </c>
      <c r="X620" s="2">
        <f>SalesData[[#This Row],[Effective_Unit_Price]]-SalesData[[#This Row],[Unit_Cost]]</f>
        <v>30.642499999999927</v>
      </c>
      <c r="Y620" s="2" t="str">
        <f>IF(SalesData[[#This Row],[Effective_Unit_Margin]]&lt;0,"Loss per Unit","Positive per Unit")</f>
        <v>Positive per Unit</v>
      </c>
    </row>
    <row r="621" spans="1:25" x14ac:dyDescent="0.3">
      <c r="A621">
        <v>1100</v>
      </c>
      <c r="B621" s="1">
        <v>45186</v>
      </c>
      <c r="C621" t="s">
        <v>32</v>
      </c>
      <c r="D621" t="s">
        <v>14</v>
      </c>
      <c r="E621">
        <v>17</v>
      </c>
      <c r="F621" t="s">
        <v>34</v>
      </c>
      <c r="G621">
        <v>83.64</v>
      </c>
      <c r="H621">
        <v>528.49</v>
      </c>
      <c r="I621" t="s">
        <v>29</v>
      </c>
      <c r="J621" s="2">
        <v>0.13</v>
      </c>
      <c r="K621" t="s">
        <v>30</v>
      </c>
      <c r="L621" t="s">
        <v>18</v>
      </c>
      <c r="M621" t="s">
        <v>52</v>
      </c>
      <c r="N621">
        <f>SalesData[[#This Row],[Quantity_Sold]]*SalesData[[#This Row],[Unit_Cost]]</f>
        <v>1421.88</v>
      </c>
      <c r="O621">
        <f>SalesData[[#This Row],[Quantity_Sold]]*SalesData[[#This Row],[Unit_Price]]</f>
        <v>8984.33</v>
      </c>
      <c r="P621">
        <f>SalesData[[#This Row],[Gross_sales]]*(1-SalesData[[#This Row],[Discount]])</f>
        <v>7816.3670999999995</v>
      </c>
      <c r="Q621" s="2">
        <f>SalesData[[#This Row],[Sales_amount]]-SalesData[[#This Row],[Total_Cost]]</f>
        <v>6394.4870999999994</v>
      </c>
      <c r="R621" s="2">
        <f>SalesData[[#This Row],[Profit]]/SalesData[[#This Row],[Sales_amount]]</f>
        <v>0.81808940370776595</v>
      </c>
      <c r="S621" s="2">
        <f>SalesData[[#This Row],[Unit_Price]]-SalesData[[#This Row],[Unit_Cost]]</f>
        <v>444.85</v>
      </c>
      <c r="T621" s="10">
        <f>SalesData[[#This Row],[Unit_Margin]]/SalesData[[#This Row],[Unit_Price]]</f>
        <v>0.84173778122575638</v>
      </c>
      <c r="U621" s="2" t="str">
        <f>IF(SalesData[[#This Row],[Unit_Margin]]&lt;0, "Negative margin", "Positive margin")</f>
        <v>Positive margin</v>
      </c>
      <c r="V621" s="2" t="str">
        <f>IF(SalesData[[#This Row],[Profit]]&lt;0, "Loss", "Profit")</f>
        <v>Profit</v>
      </c>
      <c r="W621" s="2">
        <f>SalesData[[#This Row],[Unit_Price]]*(1-SalesData[[#This Row],[Discount]])</f>
        <v>459.78629999999998</v>
      </c>
      <c r="X621" s="2">
        <f>SalesData[[#This Row],[Effective_Unit_Price]]-SalesData[[#This Row],[Unit_Cost]]</f>
        <v>376.1463</v>
      </c>
      <c r="Y621" s="2" t="str">
        <f>IF(SalesData[[#This Row],[Effective_Unit_Margin]]&lt;0,"Loss per Unit","Positive per Unit")</f>
        <v>Positive per Unit</v>
      </c>
    </row>
    <row r="622" spans="1:25" x14ac:dyDescent="0.3">
      <c r="A622">
        <v>1012</v>
      </c>
      <c r="B622" s="1">
        <v>44985</v>
      </c>
      <c r="C622" t="s">
        <v>23</v>
      </c>
      <c r="D622" t="s">
        <v>33</v>
      </c>
      <c r="E622">
        <v>33</v>
      </c>
      <c r="F622" t="s">
        <v>25</v>
      </c>
      <c r="G622">
        <v>3831.09</v>
      </c>
      <c r="H622">
        <v>3908.37</v>
      </c>
      <c r="I622" t="s">
        <v>29</v>
      </c>
      <c r="J622" s="2">
        <v>0.28999999999999998</v>
      </c>
      <c r="K622" t="s">
        <v>17</v>
      </c>
      <c r="L622" t="s">
        <v>21</v>
      </c>
      <c r="M622" t="s">
        <v>49</v>
      </c>
      <c r="N622">
        <f>SalesData[[#This Row],[Quantity_Sold]]*SalesData[[#This Row],[Unit_Cost]]</f>
        <v>126425.97</v>
      </c>
      <c r="O622">
        <f>SalesData[[#This Row],[Quantity_Sold]]*SalesData[[#This Row],[Unit_Price]]</f>
        <v>128976.20999999999</v>
      </c>
      <c r="P622">
        <f>SalesData[[#This Row],[Gross_sales]]*(1-SalesData[[#This Row],[Discount]])</f>
        <v>91573.109099999987</v>
      </c>
      <c r="Q622" s="2">
        <f>SalesData[[#This Row],[Sales_amount]]-SalesData[[#This Row],[Total_Cost]]</f>
        <v>-34852.860900000014</v>
      </c>
      <c r="R622" s="2">
        <f>SalesData[[#This Row],[Profit]]/SalesData[[#This Row],[Sales_amount]]</f>
        <v>-0.38060148052786841</v>
      </c>
      <c r="S622" s="2">
        <f>SalesData[[#This Row],[Unit_Price]]-SalesData[[#This Row],[Unit_Cost]]</f>
        <v>77.279999999999745</v>
      </c>
      <c r="T622" s="10">
        <f>SalesData[[#This Row],[Unit_Margin]]/SalesData[[#This Row],[Unit_Price]]</f>
        <v>1.9772948825213514E-2</v>
      </c>
      <c r="U622" s="2" t="str">
        <f>IF(SalesData[[#This Row],[Unit_Margin]]&lt;0, "Negative margin", "Positive margin")</f>
        <v>Positive margin</v>
      </c>
      <c r="V622" s="2" t="str">
        <f>IF(SalesData[[#This Row],[Profit]]&lt;0, "Loss", "Profit")</f>
        <v>Loss</v>
      </c>
      <c r="W622" s="2">
        <f>SalesData[[#This Row],[Unit_Price]]*(1-SalesData[[#This Row],[Discount]])</f>
        <v>2774.9426999999996</v>
      </c>
      <c r="X622" s="2">
        <f>SalesData[[#This Row],[Effective_Unit_Price]]-SalesData[[#This Row],[Unit_Cost]]</f>
        <v>-1056.1473000000005</v>
      </c>
      <c r="Y622" s="2" t="str">
        <f>IF(SalesData[[#This Row],[Effective_Unit_Margin]]&lt;0,"Loss per Unit","Positive per Unit")</f>
        <v>Loss per Unit</v>
      </c>
    </row>
    <row r="623" spans="1:25" x14ac:dyDescent="0.3">
      <c r="A623">
        <v>1061</v>
      </c>
      <c r="B623" s="1">
        <v>44998</v>
      </c>
      <c r="C623" t="s">
        <v>13</v>
      </c>
      <c r="D623" t="s">
        <v>24</v>
      </c>
      <c r="E623">
        <v>11</v>
      </c>
      <c r="F623" t="s">
        <v>28</v>
      </c>
      <c r="G623">
        <v>2594.71</v>
      </c>
      <c r="H623">
        <v>2769.52</v>
      </c>
      <c r="I623" t="s">
        <v>16</v>
      </c>
      <c r="J623" s="2">
        <v>0.01</v>
      </c>
      <c r="K623" t="s">
        <v>26</v>
      </c>
      <c r="L623" t="s">
        <v>21</v>
      </c>
      <c r="M623" t="s">
        <v>31</v>
      </c>
      <c r="N623">
        <f>SalesData[[#This Row],[Quantity_Sold]]*SalesData[[#This Row],[Unit_Cost]]</f>
        <v>28541.81</v>
      </c>
      <c r="O623">
        <f>SalesData[[#This Row],[Quantity_Sold]]*SalesData[[#This Row],[Unit_Price]]</f>
        <v>30464.720000000001</v>
      </c>
      <c r="P623">
        <f>SalesData[[#This Row],[Gross_sales]]*(1-SalesData[[#This Row],[Discount]])</f>
        <v>30160.072800000002</v>
      </c>
      <c r="Q623" s="2">
        <f>SalesData[[#This Row],[Sales_amount]]-SalesData[[#This Row],[Total_Cost]]</f>
        <v>1618.2628000000004</v>
      </c>
      <c r="R623" s="2">
        <f>SalesData[[#This Row],[Profit]]/SalesData[[#This Row],[Sales_amount]]</f>
        <v>5.3655798867965607E-2</v>
      </c>
      <c r="S623" s="2">
        <f>SalesData[[#This Row],[Unit_Price]]-SalesData[[#This Row],[Unit_Cost]]</f>
        <v>174.80999999999995</v>
      </c>
      <c r="T623" s="10">
        <f>SalesData[[#This Row],[Unit_Margin]]/SalesData[[#This Row],[Unit_Price]]</f>
        <v>6.3119240879285929E-2</v>
      </c>
      <c r="U623" s="2" t="str">
        <f>IF(SalesData[[#This Row],[Unit_Margin]]&lt;0, "Negative margin", "Positive margin")</f>
        <v>Positive margin</v>
      </c>
      <c r="V623" s="2" t="str">
        <f>IF(SalesData[[#This Row],[Profit]]&lt;0, "Loss", "Profit")</f>
        <v>Profit</v>
      </c>
      <c r="W623" s="2">
        <f>SalesData[[#This Row],[Unit_Price]]*(1-SalesData[[#This Row],[Discount]])</f>
        <v>2741.8247999999999</v>
      </c>
      <c r="X623" s="2">
        <f>SalesData[[#This Row],[Effective_Unit_Price]]-SalesData[[#This Row],[Unit_Cost]]</f>
        <v>147.11479999999983</v>
      </c>
      <c r="Y623" s="2" t="str">
        <f>IF(SalesData[[#This Row],[Effective_Unit_Margin]]&lt;0,"Loss per Unit","Positive per Unit")</f>
        <v>Positive per Unit</v>
      </c>
    </row>
    <row r="624" spans="1:25" x14ac:dyDescent="0.3">
      <c r="A624">
        <v>1019</v>
      </c>
      <c r="B624" s="1">
        <v>45074</v>
      </c>
      <c r="C624" t="s">
        <v>41</v>
      </c>
      <c r="D624" t="s">
        <v>33</v>
      </c>
      <c r="E624">
        <v>28</v>
      </c>
      <c r="F624" t="s">
        <v>15</v>
      </c>
      <c r="G624">
        <v>3907.86</v>
      </c>
      <c r="H624">
        <v>4205.37</v>
      </c>
      <c r="I624" t="s">
        <v>29</v>
      </c>
      <c r="J624" s="2">
        <v>0.09</v>
      </c>
      <c r="K624" t="s">
        <v>30</v>
      </c>
      <c r="L624" t="s">
        <v>18</v>
      </c>
      <c r="M624" t="s">
        <v>51</v>
      </c>
      <c r="N624">
        <f>SalesData[[#This Row],[Quantity_Sold]]*SalesData[[#This Row],[Unit_Cost]]</f>
        <v>109420.08</v>
      </c>
      <c r="O624">
        <f>SalesData[[#This Row],[Quantity_Sold]]*SalesData[[#This Row],[Unit_Price]]</f>
        <v>117750.36</v>
      </c>
      <c r="P624">
        <f>SalesData[[#This Row],[Gross_sales]]*(1-SalesData[[#This Row],[Discount]])</f>
        <v>107152.8276</v>
      </c>
      <c r="Q624" s="2">
        <f>SalesData[[#This Row],[Sales_amount]]-SalesData[[#This Row],[Total_Cost]]</f>
        <v>-2267.2523999999976</v>
      </c>
      <c r="R624" s="2">
        <f>SalesData[[#This Row],[Profit]]/SalesData[[#This Row],[Sales_amount]]</f>
        <v>-2.1159053389273298E-2</v>
      </c>
      <c r="S624" s="2">
        <f>SalesData[[#This Row],[Unit_Price]]-SalesData[[#This Row],[Unit_Cost]]</f>
        <v>297.50999999999976</v>
      </c>
      <c r="T624" s="10">
        <f>SalesData[[#This Row],[Unit_Margin]]/SalesData[[#This Row],[Unit_Price]]</f>
        <v>7.0745261415761221E-2</v>
      </c>
      <c r="U624" s="2" t="str">
        <f>IF(SalesData[[#This Row],[Unit_Margin]]&lt;0, "Negative margin", "Positive margin")</f>
        <v>Positive margin</v>
      </c>
      <c r="V624" s="2" t="str">
        <f>IF(SalesData[[#This Row],[Profit]]&lt;0, "Loss", "Profit")</f>
        <v>Loss</v>
      </c>
      <c r="W624" s="2">
        <f>SalesData[[#This Row],[Unit_Price]]*(1-SalesData[[#This Row],[Discount]])</f>
        <v>3826.8867</v>
      </c>
      <c r="X624" s="2">
        <f>SalesData[[#This Row],[Effective_Unit_Price]]-SalesData[[#This Row],[Unit_Cost]]</f>
        <v>-80.973300000000108</v>
      </c>
      <c r="Y624" s="2" t="str">
        <f>IF(SalesData[[#This Row],[Effective_Unit_Margin]]&lt;0,"Loss per Unit","Positive per Unit")</f>
        <v>Loss per Unit</v>
      </c>
    </row>
    <row r="625" spans="1:25" x14ac:dyDescent="0.3">
      <c r="A625">
        <v>1076</v>
      </c>
      <c r="B625" s="1">
        <v>45275</v>
      </c>
      <c r="C625" t="s">
        <v>13</v>
      </c>
      <c r="D625" t="s">
        <v>20</v>
      </c>
      <c r="E625">
        <v>32</v>
      </c>
      <c r="F625" t="s">
        <v>25</v>
      </c>
      <c r="G625">
        <v>2636.36</v>
      </c>
      <c r="H625">
        <v>2696.78</v>
      </c>
      <c r="I625" t="s">
        <v>29</v>
      </c>
      <c r="J625" s="2">
        <v>0.09</v>
      </c>
      <c r="K625" t="s">
        <v>17</v>
      </c>
      <c r="L625" t="s">
        <v>21</v>
      </c>
      <c r="M625" t="s">
        <v>22</v>
      </c>
      <c r="N625">
        <f>SalesData[[#This Row],[Quantity_Sold]]*SalesData[[#This Row],[Unit_Cost]]</f>
        <v>84363.520000000004</v>
      </c>
      <c r="O625">
        <f>SalesData[[#This Row],[Quantity_Sold]]*SalesData[[#This Row],[Unit_Price]]</f>
        <v>86296.960000000006</v>
      </c>
      <c r="P625">
        <f>SalesData[[#This Row],[Gross_sales]]*(1-SalesData[[#This Row],[Discount]])</f>
        <v>78530.233600000007</v>
      </c>
      <c r="Q625" s="2">
        <f>SalesData[[#This Row],[Sales_amount]]-SalesData[[#This Row],[Total_Cost]]</f>
        <v>-5833.2863999999972</v>
      </c>
      <c r="R625" s="2">
        <f>SalesData[[#This Row],[Profit]]/SalesData[[#This Row],[Sales_amount]]</f>
        <v>-7.4280772290991851E-2</v>
      </c>
      <c r="S625" s="2">
        <f>SalesData[[#This Row],[Unit_Price]]-SalesData[[#This Row],[Unit_Cost]]</f>
        <v>60.420000000000073</v>
      </c>
      <c r="T625" s="10">
        <f>SalesData[[#This Row],[Unit_Margin]]/SalesData[[#This Row],[Unit_Price]]</f>
        <v>2.2404497215197407E-2</v>
      </c>
      <c r="U625" s="2" t="str">
        <f>IF(SalesData[[#This Row],[Unit_Margin]]&lt;0, "Negative margin", "Positive margin")</f>
        <v>Positive margin</v>
      </c>
      <c r="V625" s="2" t="str">
        <f>IF(SalesData[[#This Row],[Profit]]&lt;0, "Loss", "Profit")</f>
        <v>Loss</v>
      </c>
      <c r="W625" s="2">
        <f>SalesData[[#This Row],[Unit_Price]]*(1-SalesData[[#This Row],[Discount]])</f>
        <v>2454.0698000000002</v>
      </c>
      <c r="X625" s="2">
        <f>SalesData[[#This Row],[Effective_Unit_Price]]-SalesData[[#This Row],[Unit_Cost]]</f>
        <v>-182.29019999999991</v>
      </c>
      <c r="Y625" s="2" t="str">
        <f>IF(SalesData[[#This Row],[Effective_Unit_Margin]]&lt;0,"Loss per Unit","Positive per Unit")</f>
        <v>Loss per Unit</v>
      </c>
    </row>
    <row r="626" spans="1:25" x14ac:dyDescent="0.3">
      <c r="A626">
        <v>1009</v>
      </c>
      <c r="B626" s="1">
        <v>44989</v>
      </c>
      <c r="C626" t="s">
        <v>23</v>
      </c>
      <c r="D626" t="s">
        <v>33</v>
      </c>
      <c r="E626">
        <v>1</v>
      </c>
      <c r="F626" t="s">
        <v>28</v>
      </c>
      <c r="G626">
        <v>3223.07</v>
      </c>
      <c r="H626">
        <v>3590.83</v>
      </c>
      <c r="I626" t="s">
        <v>29</v>
      </c>
      <c r="J626" s="2">
        <v>0.19</v>
      </c>
      <c r="K626" t="s">
        <v>26</v>
      </c>
      <c r="L626" t="s">
        <v>21</v>
      </c>
      <c r="M626" t="s">
        <v>49</v>
      </c>
      <c r="N626">
        <f>SalesData[[#This Row],[Quantity_Sold]]*SalesData[[#This Row],[Unit_Cost]]</f>
        <v>3223.07</v>
      </c>
      <c r="O626">
        <f>SalesData[[#This Row],[Quantity_Sold]]*SalesData[[#This Row],[Unit_Price]]</f>
        <v>3590.83</v>
      </c>
      <c r="P626">
        <f>SalesData[[#This Row],[Gross_sales]]*(1-SalesData[[#This Row],[Discount]])</f>
        <v>2908.5723000000003</v>
      </c>
      <c r="Q626" s="2">
        <f>SalesData[[#This Row],[Sales_amount]]-SalesData[[#This Row],[Total_Cost]]</f>
        <v>-314.4976999999999</v>
      </c>
      <c r="R626" s="2">
        <f>SalesData[[#This Row],[Profit]]/SalesData[[#This Row],[Sales_amount]]</f>
        <v>-0.10812786053143664</v>
      </c>
      <c r="S626" s="2">
        <f>SalesData[[#This Row],[Unit_Price]]-SalesData[[#This Row],[Unit_Cost]]</f>
        <v>367.75999999999976</v>
      </c>
      <c r="T626" s="10">
        <f>SalesData[[#This Row],[Unit_Margin]]/SalesData[[#This Row],[Unit_Price]]</f>
        <v>0.10241643296953623</v>
      </c>
      <c r="U626" s="2" t="str">
        <f>IF(SalesData[[#This Row],[Unit_Margin]]&lt;0, "Negative margin", "Positive margin")</f>
        <v>Positive margin</v>
      </c>
      <c r="V626" s="2" t="str">
        <f>IF(SalesData[[#This Row],[Profit]]&lt;0, "Loss", "Profit")</f>
        <v>Loss</v>
      </c>
      <c r="W626" s="2">
        <f>SalesData[[#This Row],[Unit_Price]]*(1-SalesData[[#This Row],[Discount]])</f>
        <v>2908.5723000000003</v>
      </c>
      <c r="X626" s="2">
        <f>SalesData[[#This Row],[Effective_Unit_Price]]-SalesData[[#This Row],[Unit_Cost]]</f>
        <v>-314.4976999999999</v>
      </c>
      <c r="Y626" s="2" t="str">
        <f>IF(SalesData[[#This Row],[Effective_Unit_Margin]]&lt;0,"Loss per Unit","Positive per Unit")</f>
        <v>Loss per Unit</v>
      </c>
    </row>
    <row r="627" spans="1:25" x14ac:dyDescent="0.3">
      <c r="A627">
        <v>1071</v>
      </c>
      <c r="B627" s="1">
        <v>45236</v>
      </c>
      <c r="C627" t="s">
        <v>23</v>
      </c>
      <c r="D627" t="s">
        <v>14</v>
      </c>
      <c r="E627">
        <v>47</v>
      </c>
      <c r="F627" t="s">
        <v>25</v>
      </c>
      <c r="G627">
        <v>3942.34</v>
      </c>
      <c r="H627">
        <v>4142.09</v>
      </c>
      <c r="I627" t="s">
        <v>16</v>
      </c>
      <c r="J627" s="2">
        <v>0.03</v>
      </c>
      <c r="K627" t="s">
        <v>30</v>
      </c>
      <c r="L627" t="s">
        <v>21</v>
      </c>
      <c r="M627" t="s">
        <v>44</v>
      </c>
      <c r="N627">
        <f>SalesData[[#This Row],[Quantity_Sold]]*SalesData[[#This Row],[Unit_Cost]]</f>
        <v>185289.98</v>
      </c>
      <c r="O627">
        <f>SalesData[[#This Row],[Quantity_Sold]]*SalesData[[#This Row],[Unit_Price]]</f>
        <v>194678.23</v>
      </c>
      <c r="P627">
        <f>SalesData[[#This Row],[Gross_sales]]*(1-SalesData[[#This Row],[Discount]])</f>
        <v>188837.88310000001</v>
      </c>
      <c r="Q627" s="2">
        <f>SalesData[[#This Row],[Sales_amount]]-SalesData[[#This Row],[Total_Cost]]</f>
        <v>3547.9030999999959</v>
      </c>
      <c r="R627" s="2">
        <f>SalesData[[#This Row],[Profit]]/SalesData[[#This Row],[Sales_amount]]</f>
        <v>1.8788089771802761E-2</v>
      </c>
      <c r="S627" s="2">
        <f>SalesData[[#This Row],[Unit_Price]]-SalesData[[#This Row],[Unit_Cost]]</f>
        <v>199.75</v>
      </c>
      <c r="T627" s="10">
        <f>SalesData[[#This Row],[Unit_Margin]]/SalesData[[#This Row],[Unit_Price]]</f>
        <v>4.8224447078648702E-2</v>
      </c>
      <c r="U627" s="2" t="str">
        <f>IF(SalesData[[#This Row],[Unit_Margin]]&lt;0, "Negative margin", "Positive margin")</f>
        <v>Positive margin</v>
      </c>
      <c r="V627" s="2" t="str">
        <f>IF(SalesData[[#This Row],[Profit]]&lt;0, "Loss", "Profit")</f>
        <v>Profit</v>
      </c>
      <c r="W627" s="2">
        <f>SalesData[[#This Row],[Unit_Price]]*(1-SalesData[[#This Row],[Discount]])</f>
        <v>4017.8272999999999</v>
      </c>
      <c r="X627" s="2">
        <f>SalesData[[#This Row],[Effective_Unit_Price]]-SalesData[[#This Row],[Unit_Cost]]</f>
        <v>75.487299999999777</v>
      </c>
      <c r="Y627" s="2" t="str">
        <f>IF(SalesData[[#This Row],[Effective_Unit_Margin]]&lt;0,"Loss per Unit","Positive per Unit")</f>
        <v>Positive per Unit</v>
      </c>
    </row>
    <row r="628" spans="1:25" x14ac:dyDescent="0.3">
      <c r="A628">
        <v>1028</v>
      </c>
      <c r="B628" s="1">
        <v>45169</v>
      </c>
      <c r="C628" t="s">
        <v>37</v>
      </c>
      <c r="D628" t="s">
        <v>14</v>
      </c>
      <c r="E628">
        <v>28</v>
      </c>
      <c r="F628" t="s">
        <v>15</v>
      </c>
      <c r="G628">
        <v>2055.2800000000002</v>
      </c>
      <c r="H628">
        <v>2449.64</v>
      </c>
      <c r="I628" t="s">
        <v>29</v>
      </c>
      <c r="J628" s="2">
        <v>0.19</v>
      </c>
      <c r="K628" t="s">
        <v>30</v>
      </c>
      <c r="L628" t="s">
        <v>18</v>
      </c>
      <c r="M628" t="s">
        <v>39</v>
      </c>
      <c r="N628">
        <f>SalesData[[#This Row],[Quantity_Sold]]*SalesData[[#This Row],[Unit_Cost]]</f>
        <v>57547.840000000004</v>
      </c>
      <c r="O628">
        <f>SalesData[[#This Row],[Quantity_Sold]]*SalesData[[#This Row],[Unit_Price]]</f>
        <v>68589.919999999998</v>
      </c>
      <c r="P628">
        <f>SalesData[[#This Row],[Gross_sales]]*(1-SalesData[[#This Row],[Discount]])</f>
        <v>55557.835200000001</v>
      </c>
      <c r="Q628" s="2">
        <f>SalesData[[#This Row],[Sales_amount]]-SalesData[[#This Row],[Total_Cost]]</f>
        <v>-1990.0048000000024</v>
      </c>
      <c r="R628" s="2">
        <f>SalesData[[#This Row],[Profit]]/SalesData[[#This Row],[Sales_amount]]</f>
        <v>-3.5818616633212563E-2</v>
      </c>
      <c r="S628" s="2">
        <f>SalesData[[#This Row],[Unit_Price]]-SalesData[[#This Row],[Unit_Cost]]</f>
        <v>394.35999999999967</v>
      </c>
      <c r="T628" s="10">
        <f>SalesData[[#This Row],[Unit_Margin]]/SalesData[[#This Row],[Unit_Price]]</f>
        <v>0.16098692052709773</v>
      </c>
      <c r="U628" s="2" t="str">
        <f>IF(SalesData[[#This Row],[Unit_Margin]]&lt;0, "Negative margin", "Positive margin")</f>
        <v>Positive margin</v>
      </c>
      <c r="V628" s="2" t="str">
        <f>IF(SalesData[[#This Row],[Profit]]&lt;0, "Loss", "Profit")</f>
        <v>Loss</v>
      </c>
      <c r="W628" s="2">
        <f>SalesData[[#This Row],[Unit_Price]]*(1-SalesData[[#This Row],[Discount]])</f>
        <v>1984.2084</v>
      </c>
      <c r="X628" s="2">
        <f>SalesData[[#This Row],[Effective_Unit_Price]]-SalesData[[#This Row],[Unit_Cost]]</f>
        <v>-71.071600000000217</v>
      </c>
      <c r="Y628" s="2" t="str">
        <f>IF(SalesData[[#This Row],[Effective_Unit_Margin]]&lt;0,"Loss per Unit","Positive per Unit")</f>
        <v>Loss per Unit</v>
      </c>
    </row>
    <row r="629" spans="1:25" x14ac:dyDescent="0.3">
      <c r="A629">
        <v>1078</v>
      </c>
      <c r="B629" s="1">
        <v>45292</v>
      </c>
      <c r="C629" t="s">
        <v>23</v>
      </c>
      <c r="D629" t="s">
        <v>33</v>
      </c>
      <c r="E629">
        <v>42</v>
      </c>
      <c r="F629" t="s">
        <v>25</v>
      </c>
      <c r="G629">
        <v>63.41</v>
      </c>
      <c r="H629">
        <v>314.93</v>
      </c>
      <c r="I629" t="s">
        <v>16</v>
      </c>
      <c r="J629" s="2">
        <v>0.03</v>
      </c>
      <c r="K629" t="s">
        <v>17</v>
      </c>
      <c r="L629" t="s">
        <v>21</v>
      </c>
      <c r="M629" t="s">
        <v>49</v>
      </c>
      <c r="N629">
        <f>SalesData[[#This Row],[Quantity_Sold]]*SalesData[[#This Row],[Unit_Cost]]</f>
        <v>2663.22</v>
      </c>
      <c r="O629">
        <f>SalesData[[#This Row],[Quantity_Sold]]*SalesData[[#This Row],[Unit_Price]]</f>
        <v>13227.06</v>
      </c>
      <c r="P629">
        <f>SalesData[[#This Row],[Gross_sales]]*(1-SalesData[[#This Row],[Discount]])</f>
        <v>12830.2482</v>
      </c>
      <c r="Q629" s="2">
        <f>SalesData[[#This Row],[Sales_amount]]-SalesData[[#This Row],[Total_Cost]]</f>
        <v>10167.028200000001</v>
      </c>
      <c r="R629" s="2">
        <f>SalesData[[#This Row],[Profit]]/SalesData[[#This Row],[Sales_amount]]</f>
        <v>0.79242646295805885</v>
      </c>
      <c r="S629" s="2">
        <f>SalesData[[#This Row],[Unit_Price]]-SalesData[[#This Row],[Unit_Cost]]</f>
        <v>251.52</v>
      </c>
      <c r="T629" s="10">
        <f>SalesData[[#This Row],[Unit_Margin]]/SalesData[[#This Row],[Unit_Price]]</f>
        <v>0.79865366906931701</v>
      </c>
      <c r="U629" s="2" t="str">
        <f>IF(SalesData[[#This Row],[Unit_Margin]]&lt;0, "Negative margin", "Positive margin")</f>
        <v>Positive margin</v>
      </c>
      <c r="V629" s="2" t="str">
        <f>IF(SalesData[[#This Row],[Profit]]&lt;0, "Loss", "Profit")</f>
        <v>Profit</v>
      </c>
      <c r="W629" s="2">
        <f>SalesData[[#This Row],[Unit_Price]]*(1-SalesData[[#This Row],[Discount]])</f>
        <v>305.4821</v>
      </c>
      <c r="X629" s="2">
        <f>SalesData[[#This Row],[Effective_Unit_Price]]-SalesData[[#This Row],[Unit_Cost]]</f>
        <v>242.07210000000001</v>
      </c>
      <c r="Y629" s="2" t="str">
        <f>IF(SalesData[[#This Row],[Effective_Unit_Margin]]&lt;0,"Loss per Unit","Positive per Unit")</f>
        <v>Positive per Unit</v>
      </c>
    </row>
    <row r="630" spans="1:25" x14ac:dyDescent="0.3">
      <c r="A630">
        <v>1095</v>
      </c>
      <c r="B630" s="1">
        <v>45256</v>
      </c>
      <c r="C630" t="s">
        <v>32</v>
      </c>
      <c r="D630" t="s">
        <v>20</v>
      </c>
      <c r="E630">
        <v>7</v>
      </c>
      <c r="F630" t="s">
        <v>25</v>
      </c>
      <c r="G630">
        <v>4257.24</v>
      </c>
      <c r="H630">
        <v>4355.87</v>
      </c>
      <c r="I630" t="s">
        <v>16</v>
      </c>
      <c r="J630" s="2">
        <v>0.03</v>
      </c>
      <c r="K630" t="s">
        <v>26</v>
      </c>
      <c r="L630" t="s">
        <v>18</v>
      </c>
      <c r="M630" t="s">
        <v>36</v>
      </c>
      <c r="N630">
        <f>SalesData[[#This Row],[Quantity_Sold]]*SalesData[[#This Row],[Unit_Cost]]</f>
        <v>29800.68</v>
      </c>
      <c r="O630">
        <f>SalesData[[#This Row],[Quantity_Sold]]*SalesData[[#This Row],[Unit_Price]]</f>
        <v>30491.09</v>
      </c>
      <c r="P630">
        <f>SalesData[[#This Row],[Gross_sales]]*(1-SalesData[[#This Row],[Discount]])</f>
        <v>29576.3573</v>
      </c>
      <c r="Q630" s="2">
        <f>SalesData[[#This Row],[Sales_amount]]-SalesData[[#This Row],[Total_Cost]]</f>
        <v>-224.32270000000062</v>
      </c>
      <c r="R630" s="2">
        <f>SalesData[[#This Row],[Profit]]/SalesData[[#This Row],[Sales_amount]]</f>
        <v>-7.5845276591921824E-3</v>
      </c>
      <c r="S630" s="2">
        <f>SalesData[[#This Row],[Unit_Price]]-SalesData[[#This Row],[Unit_Cost]]</f>
        <v>98.630000000000109</v>
      </c>
      <c r="T630" s="10">
        <f>SalesData[[#This Row],[Unit_Margin]]/SalesData[[#This Row],[Unit_Price]]</f>
        <v>2.264300817058363E-2</v>
      </c>
      <c r="U630" s="2" t="str">
        <f>IF(SalesData[[#This Row],[Unit_Margin]]&lt;0, "Negative margin", "Positive margin")</f>
        <v>Positive margin</v>
      </c>
      <c r="V630" s="2" t="str">
        <f>IF(SalesData[[#This Row],[Profit]]&lt;0, "Loss", "Profit")</f>
        <v>Loss</v>
      </c>
      <c r="W630" s="2">
        <f>SalesData[[#This Row],[Unit_Price]]*(1-SalesData[[#This Row],[Discount]])</f>
        <v>4225.1939000000002</v>
      </c>
      <c r="X630" s="2">
        <f>SalesData[[#This Row],[Effective_Unit_Price]]-SalesData[[#This Row],[Unit_Cost]]</f>
        <v>-32.046099999999569</v>
      </c>
      <c r="Y630" s="2" t="str">
        <f>IF(SalesData[[#This Row],[Effective_Unit_Margin]]&lt;0,"Loss per Unit","Positive per Unit")</f>
        <v>Loss per Unit</v>
      </c>
    </row>
    <row r="631" spans="1:25" x14ac:dyDescent="0.3">
      <c r="A631">
        <v>1052</v>
      </c>
      <c r="B631" s="1">
        <v>45033</v>
      </c>
      <c r="C631" t="s">
        <v>41</v>
      </c>
      <c r="D631" t="s">
        <v>24</v>
      </c>
      <c r="E631">
        <v>2</v>
      </c>
      <c r="F631" t="s">
        <v>25</v>
      </c>
      <c r="G631">
        <v>1935.41</v>
      </c>
      <c r="H631">
        <v>2305.44</v>
      </c>
      <c r="I631" t="s">
        <v>16</v>
      </c>
      <c r="J631" s="2">
        <v>0.22</v>
      </c>
      <c r="K631" t="s">
        <v>30</v>
      </c>
      <c r="L631" t="s">
        <v>18</v>
      </c>
      <c r="M631" t="s">
        <v>42</v>
      </c>
      <c r="N631">
        <f>SalesData[[#This Row],[Quantity_Sold]]*SalesData[[#This Row],[Unit_Cost]]</f>
        <v>3870.82</v>
      </c>
      <c r="O631">
        <f>SalesData[[#This Row],[Quantity_Sold]]*SalesData[[#This Row],[Unit_Price]]</f>
        <v>4610.88</v>
      </c>
      <c r="P631">
        <f>SalesData[[#This Row],[Gross_sales]]*(1-SalesData[[#This Row],[Discount]])</f>
        <v>3596.4864000000002</v>
      </c>
      <c r="Q631" s="2">
        <f>SalesData[[#This Row],[Sales_amount]]-SalesData[[#This Row],[Total_Cost]]</f>
        <v>-274.33359999999993</v>
      </c>
      <c r="R631" s="2">
        <f>SalesData[[#This Row],[Profit]]/SalesData[[#This Row],[Sales_amount]]</f>
        <v>-7.6278225325695628E-2</v>
      </c>
      <c r="S631" s="2">
        <f>SalesData[[#This Row],[Unit_Price]]-SalesData[[#This Row],[Unit_Cost]]</f>
        <v>370.03</v>
      </c>
      <c r="T631" s="10">
        <f>SalesData[[#This Row],[Unit_Margin]]/SalesData[[#This Row],[Unit_Price]]</f>
        <v>0.16050298424595738</v>
      </c>
      <c r="U631" s="2" t="str">
        <f>IF(SalesData[[#This Row],[Unit_Margin]]&lt;0, "Negative margin", "Positive margin")</f>
        <v>Positive margin</v>
      </c>
      <c r="V631" s="2" t="str">
        <f>IF(SalesData[[#This Row],[Profit]]&lt;0, "Loss", "Profit")</f>
        <v>Loss</v>
      </c>
      <c r="W631" s="2">
        <f>SalesData[[#This Row],[Unit_Price]]*(1-SalesData[[#This Row],[Discount]])</f>
        <v>1798.2432000000001</v>
      </c>
      <c r="X631" s="2">
        <f>SalesData[[#This Row],[Effective_Unit_Price]]-SalesData[[#This Row],[Unit_Cost]]</f>
        <v>-137.16679999999997</v>
      </c>
      <c r="Y631" s="2" t="str">
        <f>IF(SalesData[[#This Row],[Effective_Unit_Margin]]&lt;0,"Loss per Unit","Positive per Unit")</f>
        <v>Loss per Unit</v>
      </c>
    </row>
    <row r="632" spans="1:25" x14ac:dyDescent="0.3">
      <c r="A632">
        <v>1083</v>
      </c>
      <c r="B632" s="1">
        <v>45152</v>
      </c>
      <c r="C632" t="s">
        <v>37</v>
      </c>
      <c r="D632" t="s">
        <v>20</v>
      </c>
      <c r="E632">
        <v>42</v>
      </c>
      <c r="F632" t="s">
        <v>28</v>
      </c>
      <c r="G632">
        <v>2505.41</v>
      </c>
      <c r="H632">
        <v>2638.96</v>
      </c>
      <c r="I632" t="s">
        <v>29</v>
      </c>
      <c r="J632" s="2">
        <v>0.1</v>
      </c>
      <c r="K632" t="s">
        <v>26</v>
      </c>
      <c r="L632" t="s">
        <v>18</v>
      </c>
      <c r="M632" t="s">
        <v>40</v>
      </c>
      <c r="N632">
        <f>SalesData[[#This Row],[Quantity_Sold]]*SalesData[[#This Row],[Unit_Cost]]</f>
        <v>105227.22</v>
      </c>
      <c r="O632">
        <f>SalesData[[#This Row],[Quantity_Sold]]*SalesData[[#This Row],[Unit_Price]]</f>
        <v>110836.32</v>
      </c>
      <c r="P632">
        <f>SalesData[[#This Row],[Gross_sales]]*(1-SalesData[[#This Row],[Discount]])</f>
        <v>99752.688000000009</v>
      </c>
      <c r="Q632" s="2">
        <f>SalesData[[#This Row],[Sales_amount]]-SalesData[[#This Row],[Total_Cost]]</f>
        <v>-5474.531999999992</v>
      </c>
      <c r="R632" s="2">
        <f>SalesData[[#This Row],[Profit]]/SalesData[[#This Row],[Sales_amount]]</f>
        <v>-5.4881047415985339E-2</v>
      </c>
      <c r="S632" s="2">
        <f>SalesData[[#This Row],[Unit_Price]]-SalesData[[#This Row],[Unit_Cost]]</f>
        <v>133.55000000000018</v>
      </c>
      <c r="T632" s="10">
        <f>SalesData[[#This Row],[Unit_Margin]]/SalesData[[#This Row],[Unit_Price]]</f>
        <v>5.0607057325613186E-2</v>
      </c>
      <c r="U632" s="2" t="str">
        <f>IF(SalesData[[#This Row],[Unit_Margin]]&lt;0, "Negative margin", "Positive margin")</f>
        <v>Positive margin</v>
      </c>
      <c r="V632" s="2" t="str">
        <f>IF(SalesData[[#This Row],[Profit]]&lt;0, "Loss", "Profit")</f>
        <v>Loss</v>
      </c>
      <c r="W632" s="2">
        <f>SalesData[[#This Row],[Unit_Price]]*(1-SalesData[[#This Row],[Discount]])</f>
        <v>2375.0640000000003</v>
      </c>
      <c r="X632" s="2">
        <f>SalesData[[#This Row],[Effective_Unit_Price]]-SalesData[[#This Row],[Unit_Cost]]</f>
        <v>-130.34599999999955</v>
      </c>
      <c r="Y632" s="2" t="str">
        <f>IF(SalesData[[#This Row],[Effective_Unit_Margin]]&lt;0,"Loss per Unit","Positive per Unit")</f>
        <v>Loss per Unit</v>
      </c>
    </row>
    <row r="633" spans="1:25" x14ac:dyDescent="0.3">
      <c r="A633">
        <v>1016</v>
      </c>
      <c r="B633" s="1">
        <v>45239</v>
      </c>
      <c r="C633" t="s">
        <v>32</v>
      </c>
      <c r="D633" t="s">
        <v>24</v>
      </c>
      <c r="E633">
        <v>24</v>
      </c>
      <c r="F633" t="s">
        <v>15</v>
      </c>
      <c r="G633">
        <v>88.44</v>
      </c>
      <c r="H633">
        <v>338.94</v>
      </c>
      <c r="I633" t="s">
        <v>29</v>
      </c>
      <c r="J633" s="2">
        <v>0.28999999999999998</v>
      </c>
      <c r="K633" t="s">
        <v>17</v>
      </c>
      <c r="L633" t="s">
        <v>18</v>
      </c>
      <c r="M633" t="s">
        <v>43</v>
      </c>
      <c r="N633">
        <f>SalesData[[#This Row],[Quantity_Sold]]*SalesData[[#This Row],[Unit_Cost]]</f>
        <v>2122.56</v>
      </c>
      <c r="O633">
        <f>SalesData[[#This Row],[Quantity_Sold]]*SalesData[[#This Row],[Unit_Price]]</f>
        <v>8134.5599999999995</v>
      </c>
      <c r="P633">
        <f>SalesData[[#This Row],[Gross_sales]]*(1-SalesData[[#This Row],[Discount]])</f>
        <v>5775.5375999999997</v>
      </c>
      <c r="Q633" s="2">
        <f>SalesData[[#This Row],[Sales_amount]]-SalesData[[#This Row],[Total_Cost]]</f>
        <v>3652.9775999999997</v>
      </c>
      <c r="R633" s="2">
        <f>SalesData[[#This Row],[Profit]]/SalesData[[#This Row],[Sales_amount]]</f>
        <v>0.63249135457104455</v>
      </c>
      <c r="S633" s="2">
        <f>SalesData[[#This Row],[Unit_Price]]-SalesData[[#This Row],[Unit_Cost]]</f>
        <v>250.5</v>
      </c>
      <c r="T633" s="10">
        <f>SalesData[[#This Row],[Unit_Margin]]/SalesData[[#This Row],[Unit_Price]]</f>
        <v>0.73906886174544173</v>
      </c>
      <c r="U633" s="2" t="str">
        <f>IF(SalesData[[#This Row],[Unit_Margin]]&lt;0, "Negative margin", "Positive margin")</f>
        <v>Positive margin</v>
      </c>
      <c r="V633" s="2" t="str">
        <f>IF(SalesData[[#This Row],[Profit]]&lt;0, "Loss", "Profit")</f>
        <v>Profit</v>
      </c>
      <c r="W633" s="2">
        <f>SalesData[[#This Row],[Unit_Price]]*(1-SalesData[[#This Row],[Discount]])</f>
        <v>240.64739999999998</v>
      </c>
      <c r="X633" s="2">
        <f>SalesData[[#This Row],[Effective_Unit_Price]]-SalesData[[#This Row],[Unit_Cost]]</f>
        <v>152.20739999999998</v>
      </c>
      <c r="Y633" s="2" t="str">
        <f>IF(SalesData[[#This Row],[Effective_Unit_Margin]]&lt;0,"Loss per Unit","Positive per Unit")</f>
        <v>Positive per Unit</v>
      </c>
    </row>
    <row r="634" spans="1:25" x14ac:dyDescent="0.3">
      <c r="A634">
        <v>1069</v>
      </c>
      <c r="B634" s="1">
        <v>45144</v>
      </c>
      <c r="C634" t="s">
        <v>13</v>
      </c>
      <c r="D634" t="s">
        <v>14</v>
      </c>
      <c r="E634">
        <v>4</v>
      </c>
      <c r="F634" t="s">
        <v>34</v>
      </c>
      <c r="G634">
        <v>2485.86</v>
      </c>
      <c r="H634">
        <v>2532.87</v>
      </c>
      <c r="I634" t="s">
        <v>29</v>
      </c>
      <c r="J634" s="2">
        <v>0.01</v>
      </c>
      <c r="K634" t="s">
        <v>30</v>
      </c>
      <c r="L634" t="s">
        <v>18</v>
      </c>
      <c r="M634" t="s">
        <v>19</v>
      </c>
      <c r="N634">
        <f>SalesData[[#This Row],[Quantity_Sold]]*SalesData[[#This Row],[Unit_Cost]]</f>
        <v>9943.44</v>
      </c>
      <c r="O634">
        <f>SalesData[[#This Row],[Quantity_Sold]]*SalesData[[#This Row],[Unit_Price]]</f>
        <v>10131.48</v>
      </c>
      <c r="P634">
        <f>SalesData[[#This Row],[Gross_sales]]*(1-SalesData[[#This Row],[Discount]])</f>
        <v>10030.165199999999</v>
      </c>
      <c r="Q634" s="2">
        <f>SalesData[[#This Row],[Sales_amount]]-SalesData[[#This Row],[Total_Cost]]</f>
        <v>86.725199999998949</v>
      </c>
      <c r="R634" s="2">
        <f>SalesData[[#This Row],[Profit]]/SalesData[[#This Row],[Sales_amount]]</f>
        <v>8.6464378473047436E-3</v>
      </c>
      <c r="S634" s="2">
        <f>SalesData[[#This Row],[Unit_Price]]-SalesData[[#This Row],[Unit_Cost]]</f>
        <v>47.009999999999764</v>
      </c>
      <c r="T634" s="10">
        <f>SalesData[[#This Row],[Unit_Margin]]/SalesData[[#This Row],[Unit_Price]]</f>
        <v>1.8559973468831707E-2</v>
      </c>
      <c r="U634" s="2" t="str">
        <f>IF(SalesData[[#This Row],[Unit_Margin]]&lt;0, "Negative margin", "Positive margin")</f>
        <v>Positive margin</v>
      </c>
      <c r="V634" s="2" t="str">
        <f>IF(SalesData[[#This Row],[Profit]]&lt;0, "Loss", "Profit")</f>
        <v>Profit</v>
      </c>
      <c r="W634" s="2">
        <f>SalesData[[#This Row],[Unit_Price]]*(1-SalesData[[#This Row],[Discount]])</f>
        <v>2507.5412999999999</v>
      </c>
      <c r="X634" s="2">
        <f>SalesData[[#This Row],[Effective_Unit_Price]]-SalesData[[#This Row],[Unit_Cost]]</f>
        <v>21.681299999999737</v>
      </c>
      <c r="Y634" s="2" t="str">
        <f>IF(SalesData[[#This Row],[Effective_Unit_Margin]]&lt;0,"Loss per Unit","Positive per Unit")</f>
        <v>Positive per Unit</v>
      </c>
    </row>
    <row r="635" spans="1:25" x14ac:dyDescent="0.3">
      <c r="A635">
        <v>1099</v>
      </c>
      <c r="B635" s="1">
        <v>45167</v>
      </c>
      <c r="C635" t="s">
        <v>41</v>
      </c>
      <c r="D635" t="s">
        <v>20</v>
      </c>
      <c r="E635">
        <v>44</v>
      </c>
      <c r="F635" t="s">
        <v>28</v>
      </c>
      <c r="G635">
        <v>4933.1099999999997</v>
      </c>
      <c r="H635">
        <v>5245.86</v>
      </c>
      <c r="I635" t="s">
        <v>16</v>
      </c>
      <c r="J635" s="2">
        <v>0.13</v>
      </c>
      <c r="K635" t="s">
        <v>26</v>
      </c>
      <c r="L635" t="s">
        <v>21</v>
      </c>
      <c r="M635" t="s">
        <v>50</v>
      </c>
      <c r="N635">
        <f>SalesData[[#This Row],[Quantity_Sold]]*SalesData[[#This Row],[Unit_Cost]]</f>
        <v>217056.84</v>
      </c>
      <c r="O635">
        <f>SalesData[[#This Row],[Quantity_Sold]]*SalesData[[#This Row],[Unit_Price]]</f>
        <v>230817.84</v>
      </c>
      <c r="P635">
        <f>SalesData[[#This Row],[Gross_sales]]*(1-SalesData[[#This Row],[Discount]])</f>
        <v>200811.5208</v>
      </c>
      <c r="Q635" s="2">
        <f>SalesData[[#This Row],[Sales_amount]]-SalesData[[#This Row],[Total_Cost]]</f>
        <v>-16245.319199999998</v>
      </c>
      <c r="R635" s="2">
        <f>SalesData[[#This Row],[Profit]]/SalesData[[#This Row],[Sales_amount]]</f>
        <v>-8.0898342561628561E-2</v>
      </c>
      <c r="S635" s="2">
        <f>SalesData[[#This Row],[Unit_Price]]-SalesData[[#This Row],[Unit_Cost]]</f>
        <v>312.75</v>
      </c>
      <c r="T635" s="10">
        <f>SalesData[[#This Row],[Unit_Margin]]/SalesData[[#This Row],[Unit_Price]]</f>
        <v>5.9618441971383149E-2</v>
      </c>
      <c r="U635" s="2" t="str">
        <f>IF(SalesData[[#This Row],[Unit_Margin]]&lt;0, "Negative margin", "Positive margin")</f>
        <v>Positive margin</v>
      </c>
      <c r="V635" s="2" t="str">
        <f>IF(SalesData[[#This Row],[Profit]]&lt;0, "Loss", "Profit")</f>
        <v>Loss</v>
      </c>
      <c r="W635" s="2">
        <f>SalesData[[#This Row],[Unit_Price]]*(1-SalesData[[#This Row],[Discount]])</f>
        <v>4563.8981999999996</v>
      </c>
      <c r="X635" s="2">
        <f>SalesData[[#This Row],[Effective_Unit_Price]]-SalesData[[#This Row],[Unit_Cost]]</f>
        <v>-369.21180000000004</v>
      </c>
      <c r="Y635" s="2" t="str">
        <f>IF(SalesData[[#This Row],[Effective_Unit_Margin]]&lt;0,"Loss per Unit","Positive per Unit")</f>
        <v>Loss per Unit</v>
      </c>
    </row>
    <row r="636" spans="1:25" x14ac:dyDescent="0.3">
      <c r="A636">
        <v>1012</v>
      </c>
      <c r="B636" s="1">
        <v>45185</v>
      </c>
      <c r="C636" t="s">
        <v>23</v>
      </c>
      <c r="D636" t="s">
        <v>24</v>
      </c>
      <c r="E636">
        <v>19</v>
      </c>
      <c r="F636" t="s">
        <v>34</v>
      </c>
      <c r="G636">
        <v>1427.42</v>
      </c>
      <c r="H636">
        <v>1763.69</v>
      </c>
      <c r="I636" t="s">
        <v>29</v>
      </c>
      <c r="J636" s="2">
        <v>0.03</v>
      </c>
      <c r="K636" t="s">
        <v>17</v>
      </c>
      <c r="L636" t="s">
        <v>21</v>
      </c>
      <c r="M636" t="s">
        <v>27</v>
      </c>
      <c r="N636">
        <f>SalesData[[#This Row],[Quantity_Sold]]*SalesData[[#This Row],[Unit_Cost]]</f>
        <v>27120.980000000003</v>
      </c>
      <c r="O636">
        <f>SalesData[[#This Row],[Quantity_Sold]]*SalesData[[#This Row],[Unit_Price]]</f>
        <v>33510.11</v>
      </c>
      <c r="P636">
        <f>SalesData[[#This Row],[Gross_sales]]*(1-SalesData[[#This Row],[Discount]])</f>
        <v>32504.806700000001</v>
      </c>
      <c r="Q636" s="2">
        <f>SalesData[[#This Row],[Sales_amount]]-SalesData[[#This Row],[Total_Cost]]</f>
        <v>5383.8266999999978</v>
      </c>
      <c r="R636" s="2">
        <f>SalesData[[#This Row],[Profit]]/SalesData[[#This Row],[Sales_amount]]</f>
        <v>0.16563170947883218</v>
      </c>
      <c r="S636" s="2">
        <f>SalesData[[#This Row],[Unit_Price]]-SalesData[[#This Row],[Unit_Cost]]</f>
        <v>336.27</v>
      </c>
      <c r="T636" s="10">
        <f>SalesData[[#This Row],[Unit_Margin]]/SalesData[[#This Row],[Unit_Price]]</f>
        <v>0.19066275819446726</v>
      </c>
      <c r="U636" s="2" t="str">
        <f>IF(SalesData[[#This Row],[Unit_Margin]]&lt;0, "Negative margin", "Positive margin")</f>
        <v>Positive margin</v>
      </c>
      <c r="V636" s="2" t="str">
        <f>IF(SalesData[[#This Row],[Profit]]&lt;0, "Loss", "Profit")</f>
        <v>Profit</v>
      </c>
      <c r="W636" s="2">
        <f>SalesData[[#This Row],[Unit_Price]]*(1-SalesData[[#This Row],[Discount]])</f>
        <v>1710.7792999999999</v>
      </c>
      <c r="X636" s="2">
        <f>SalesData[[#This Row],[Effective_Unit_Price]]-SalesData[[#This Row],[Unit_Cost]]</f>
        <v>283.35929999999985</v>
      </c>
      <c r="Y636" s="2" t="str">
        <f>IF(SalesData[[#This Row],[Effective_Unit_Margin]]&lt;0,"Loss per Unit","Positive per Unit")</f>
        <v>Positive per Unit</v>
      </c>
    </row>
    <row r="637" spans="1:25" x14ac:dyDescent="0.3">
      <c r="A637">
        <v>1025</v>
      </c>
      <c r="B637" s="1">
        <v>45188</v>
      </c>
      <c r="C637" t="s">
        <v>41</v>
      </c>
      <c r="D637" t="s">
        <v>33</v>
      </c>
      <c r="E637">
        <v>26</v>
      </c>
      <c r="F637" t="s">
        <v>34</v>
      </c>
      <c r="G637">
        <v>2007.32</v>
      </c>
      <c r="H637">
        <v>2202.87</v>
      </c>
      <c r="I637" t="s">
        <v>16</v>
      </c>
      <c r="J637" s="2">
        <v>0.11</v>
      </c>
      <c r="K637" t="s">
        <v>17</v>
      </c>
      <c r="L637" t="s">
        <v>18</v>
      </c>
      <c r="M637" t="s">
        <v>51</v>
      </c>
      <c r="N637">
        <f>SalesData[[#This Row],[Quantity_Sold]]*SalesData[[#This Row],[Unit_Cost]]</f>
        <v>52190.32</v>
      </c>
      <c r="O637">
        <f>SalesData[[#This Row],[Quantity_Sold]]*SalesData[[#This Row],[Unit_Price]]</f>
        <v>57274.619999999995</v>
      </c>
      <c r="P637">
        <f>SalesData[[#This Row],[Gross_sales]]*(1-SalesData[[#This Row],[Discount]])</f>
        <v>50974.411799999994</v>
      </c>
      <c r="Q637" s="2">
        <f>SalesData[[#This Row],[Sales_amount]]-SalesData[[#This Row],[Total_Cost]]</f>
        <v>-1215.9082000000053</v>
      </c>
      <c r="R637" s="2">
        <f>SalesData[[#This Row],[Profit]]/SalesData[[#This Row],[Sales_amount]]</f>
        <v>-2.3853305159668471E-2</v>
      </c>
      <c r="S637" s="2">
        <f>SalesData[[#This Row],[Unit_Price]]-SalesData[[#This Row],[Unit_Cost]]</f>
        <v>195.54999999999995</v>
      </c>
      <c r="T637" s="10">
        <f>SalesData[[#This Row],[Unit_Margin]]/SalesData[[#This Row],[Unit_Price]]</f>
        <v>8.8770558407895134E-2</v>
      </c>
      <c r="U637" s="2" t="str">
        <f>IF(SalesData[[#This Row],[Unit_Margin]]&lt;0, "Negative margin", "Positive margin")</f>
        <v>Positive margin</v>
      </c>
      <c r="V637" s="2" t="str">
        <f>IF(SalesData[[#This Row],[Profit]]&lt;0, "Loss", "Profit")</f>
        <v>Loss</v>
      </c>
      <c r="W637" s="2">
        <f>SalesData[[#This Row],[Unit_Price]]*(1-SalesData[[#This Row],[Discount]])</f>
        <v>1960.5543</v>
      </c>
      <c r="X637" s="2">
        <f>SalesData[[#This Row],[Effective_Unit_Price]]-SalesData[[#This Row],[Unit_Cost]]</f>
        <v>-46.765699999999924</v>
      </c>
      <c r="Y637" s="2" t="str">
        <f>IF(SalesData[[#This Row],[Effective_Unit_Margin]]&lt;0,"Loss per Unit","Positive per Unit")</f>
        <v>Loss per Unit</v>
      </c>
    </row>
    <row r="638" spans="1:25" x14ac:dyDescent="0.3">
      <c r="A638">
        <v>1052</v>
      </c>
      <c r="B638" s="1">
        <v>44931</v>
      </c>
      <c r="C638" t="s">
        <v>13</v>
      </c>
      <c r="D638" t="s">
        <v>14</v>
      </c>
      <c r="E638">
        <v>11</v>
      </c>
      <c r="F638" t="s">
        <v>28</v>
      </c>
      <c r="G638">
        <v>3451.59</v>
      </c>
      <c r="H638">
        <v>3929.26</v>
      </c>
      <c r="I638" t="s">
        <v>29</v>
      </c>
      <c r="J638" s="2">
        <v>0.3</v>
      </c>
      <c r="K638" t="s">
        <v>30</v>
      </c>
      <c r="L638" t="s">
        <v>21</v>
      </c>
      <c r="M638" t="s">
        <v>19</v>
      </c>
      <c r="N638">
        <f>SalesData[[#This Row],[Quantity_Sold]]*SalesData[[#This Row],[Unit_Cost]]</f>
        <v>37967.490000000005</v>
      </c>
      <c r="O638">
        <f>SalesData[[#This Row],[Quantity_Sold]]*SalesData[[#This Row],[Unit_Price]]</f>
        <v>43221.86</v>
      </c>
      <c r="P638">
        <f>SalesData[[#This Row],[Gross_sales]]*(1-SalesData[[#This Row],[Discount]])</f>
        <v>30255.302</v>
      </c>
      <c r="Q638" s="2">
        <f>SalesData[[#This Row],[Sales_amount]]-SalesData[[#This Row],[Total_Cost]]</f>
        <v>-7712.1880000000056</v>
      </c>
      <c r="R638" s="2">
        <f>SalesData[[#This Row],[Profit]]/SalesData[[#This Row],[Sales_amount]]</f>
        <v>-0.25490368597213164</v>
      </c>
      <c r="S638" s="2">
        <f>SalesData[[#This Row],[Unit_Price]]-SalesData[[#This Row],[Unit_Cost]]</f>
        <v>477.67000000000007</v>
      </c>
      <c r="T638" s="10">
        <f>SalesData[[#This Row],[Unit_Margin]]/SalesData[[#This Row],[Unit_Price]]</f>
        <v>0.12156741981950801</v>
      </c>
      <c r="U638" s="2" t="str">
        <f>IF(SalesData[[#This Row],[Unit_Margin]]&lt;0, "Negative margin", "Positive margin")</f>
        <v>Positive margin</v>
      </c>
      <c r="V638" s="2" t="str">
        <f>IF(SalesData[[#This Row],[Profit]]&lt;0, "Loss", "Profit")</f>
        <v>Loss</v>
      </c>
      <c r="W638" s="2">
        <f>SalesData[[#This Row],[Unit_Price]]*(1-SalesData[[#This Row],[Discount]])</f>
        <v>2750.482</v>
      </c>
      <c r="X638" s="2">
        <f>SalesData[[#This Row],[Effective_Unit_Price]]-SalesData[[#This Row],[Unit_Cost]]</f>
        <v>-701.10800000000017</v>
      </c>
      <c r="Y638" s="2" t="str">
        <f>IF(SalesData[[#This Row],[Effective_Unit_Margin]]&lt;0,"Loss per Unit","Positive per Unit")</f>
        <v>Loss per Unit</v>
      </c>
    </row>
    <row r="639" spans="1:25" x14ac:dyDescent="0.3">
      <c r="A639">
        <v>1085</v>
      </c>
      <c r="B639" s="1">
        <v>45187</v>
      </c>
      <c r="C639" t="s">
        <v>37</v>
      </c>
      <c r="D639" t="s">
        <v>33</v>
      </c>
      <c r="E639">
        <v>40</v>
      </c>
      <c r="F639" t="s">
        <v>28</v>
      </c>
      <c r="G639">
        <v>4083.23</v>
      </c>
      <c r="H639">
        <v>4521.57</v>
      </c>
      <c r="I639" t="s">
        <v>29</v>
      </c>
      <c r="J639" s="2">
        <v>0.27</v>
      </c>
      <c r="K639" t="s">
        <v>26</v>
      </c>
      <c r="L639" t="s">
        <v>21</v>
      </c>
      <c r="M639" t="s">
        <v>47</v>
      </c>
      <c r="N639">
        <f>SalesData[[#This Row],[Quantity_Sold]]*SalesData[[#This Row],[Unit_Cost]]</f>
        <v>163329.20000000001</v>
      </c>
      <c r="O639">
        <f>SalesData[[#This Row],[Quantity_Sold]]*SalesData[[#This Row],[Unit_Price]]</f>
        <v>180862.8</v>
      </c>
      <c r="P639">
        <f>SalesData[[#This Row],[Gross_sales]]*(1-SalesData[[#This Row],[Discount]])</f>
        <v>132029.84399999998</v>
      </c>
      <c r="Q639" s="2">
        <f>SalesData[[#This Row],[Sales_amount]]-SalesData[[#This Row],[Total_Cost]]</f>
        <v>-31299.356000000029</v>
      </c>
      <c r="R639" s="2">
        <f>SalesData[[#This Row],[Profit]]/SalesData[[#This Row],[Sales_amount]]</f>
        <v>-0.23706273560392932</v>
      </c>
      <c r="S639" s="2">
        <f>SalesData[[#This Row],[Unit_Price]]-SalesData[[#This Row],[Unit_Cost]]</f>
        <v>438.33999999999969</v>
      </c>
      <c r="T639" s="10">
        <f>SalesData[[#This Row],[Unit_Margin]]/SalesData[[#This Row],[Unit_Price]]</f>
        <v>9.6944203009131716E-2</v>
      </c>
      <c r="U639" s="2" t="str">
        <f>IF(SalesData[[#This Row],[Unit_Margin]]&lt;0, "Negative margin", "Positive margin")</f>
        <v>Positive margin</v>
      </c>
      <c r="V639" s="2" t="str">
        <f>IF(SalesData[[#This Row],[Profit]]&lt;0, "Loss", "Profit")</f>
        <v>Loss</v>
      </c>
      <c r="W639" s="2">
        <f>SalesData[[#This Row],[Unit_Price]]*(1-SalesData[[#This Row],[Discount]])</f>
        <v>3300.7460999999998</v>
      </c>
      <c r="X639" s="2">
        <f>SalesData[[#This Row],[Effective_Unit_Price]]-SalesData[[#This Row],[Unit_Cost]]</f>
        <v>-782.48390000000018</v>
      </c>
      <c r="Y639" s="2" t="str">
        <f>IF(SalesData[[#This Row],[Effective_Unit_Margin]]&lt;0,"Loss per Unit","Positive per Unit")</f>
        <v>Loss per Unit</v>
      </c>
    </row>
    <row r="640" spans="1:25" x14ac:dyDescent="0.3">
      <c r="A640">
        <v>1100</v>
      </c>
      <c r="B640" s="1">
        <v>44980</v>
      </c>
      <c r="C640" t="s">
        <v>37</v>
      </c>
      <c r="D640" t="s">
        <v>14</v>
      </c>
      <c r="E640">
        <v>43</v>
      </c>
      <c r="F640" t="s">
        <v>15</v>
      </c>
      <c r="G640">
        <v>2116.09</v>
      </c>
      <c r="H640">
        <v>2472.98</v>
      </c>
      <c r="I640" t="s">
        <v>29</v>
      </c>
      <c r="J640" s="2">
        <v>0.01</v>
      </c>
      <c r="K640" t="s">
        <v>30</v>
      </c>
      <c r="L640" t="s">
        <v>21</v>
      </c>
      <c r="M640" t="s">
        <v>39</v>
      </c>
      <c r="N640">
        <f>SalesData[[#This Row],[Quantity_Sold]]*SalesData[[#This Row],[Unit_Cost]]</f>
        <v>90991.87000000001</v>
      </c>
      <c r="O640">
        <f>SalesData[[#This Row],[Quantity_Sold]]*SalesData[[#This Row],[Unit_Price]]</f>
        <v>106338.14</v>
      </c>
      <c r="P640">
        <f>SalesData[[#This Row],[Gross_sales]]*(1-SalesData[[#This Row],[Discount]])</f>
        <v>105274.7586</v>
      </c>
      <c r="Q640" s="2">
        <f>SalesData[[#This Row],[Sales_amount]]-SalesData[[#This Row],[Total_Cost]]</f>
        <v>14282.888599999991</v>
      </c>
      <c r="R640" s="2">
        <f>SalesData[[#This Row],[Profit]]/SalesData[[#This Row],[Sales_amount]]</f>
        <v>0.13567248968263121</v>
      </c>
      <c r="S640" s="2">
        <f>SalesData[[#This Row],[Unit_Price]]-SalesData[[#This Row],[Unit_Cost]]</f>
        <v>356.88999999999987</v>
      </c>
      <c r="T640" s="10">
        <f>SalesData[[#This Row],[Unit_Margin]]/SalesData[[#This Row],[Unit_Price]]</f>
        <v>0.14431576478580493</v>
      </c>
      <c r="U640" s="2" t="str">
        <f>IF(SalesData[[#This Row],[Unit_Margin]]&lt;0, "Negative margin", "Positive margin")</f>
        <v>Positive margin</v>
      </c>
      <c r="V640" s="2" t="str">
        <f>IF(SalesData[[#This Row],[Profit]]&lt;0, "Loss", "Profit")</f>
        <v>Profit</v>
      </c>
      <c r="W640" s="2">
        <f>SalesData[[#This Row],[Unit_Price]]*(1-SalesData[[#This Row],[Discount]])</f>
        <v>2448.2501999999999</v>
      </c>
      <c r="X640" s="2">
        <f>SalesData[[#This Row],[Effective_Unit_Price]]-SalesData[[#This Row],[Unit_Cost]]</f>
        <v>332.1601999999998</v>
      </c>
      <c r="Y640" s="2" t="str">
        <f>IF(SalesData[[#This Row],[Effective_Unit_Margin]]&lt;0,"Loss per Unit","Positive per Unit")</f>
        <v>Positive per Unit</v>
      </c>
    </row>
    <row r="641" spans="1:25" x14ac:dyDescent="0.3">
      <c r="A641">
        <v>1053</v>
      </c>
      <c r="B641" s="1">
        <v>44973</v>
      </c>
      <c r="C641" t="s">
        <v>37</v>
      </c>
      <c r="D641" t="s">
        <v>20</v>
      </c>
      <c r="E641">
        <v>11</v>
      </c>
      <c r="F641" t="s">
        <v>15</v>
      </c>
      <c r="G641">
        <v>1582.86</v>
      </c>
      <c r="H641">
        <v>1942.55</v>
      </c>
      <c r="I641" t="s">
        <v>29</v>
      </c>
      <c r="J641" s="2">
        <v>0.17</v>
      </c>
      <c r="K641" t="s">
        <v>30</v>
      </c>
      <c r="L641" t="s">
        <v>21</v>
      </c>
      <c r="M641" t="s">
        <v>40</v>
      </c>
      <c r="N641">
        <f>SalesData[[#This Row],[Quantity_Sold]]*SalesData[[#This Row],[Unit_Cost]]</f>
        <v>17411.46</v>
      </c>
      <c r="O641">
        <f>SalesData[[#This Row],[Quantity_Sold]]*SalesData[[#This Row],[Unit_Price]]</f>
        <v>21368.05</v>
      </c>
      <c r="P641">
        <f>SalesData[[#This Row],[Gross_sales]]*(1-SalesData[[#This Row],[Discount]])</f>
        <v>17735.481499999998</v>
      </c>
      <c r="Q641" s="2">
        <f>SalesData[[#This Row],[Sales_amount]]-SalesData[[#This Row],[Total_Cost]]</f>
        <v>324.02149999999892</v>
      </c>
      <c r="R641" s="2">
        <f>SalesData[[#This Row],[Profit]]/SalesData[[#This Row],[Sales_amount]]</f>
        <v>1.8269675960023921E-2</v>
      </c>
      <c r="S641" s="2">
        <f>SalesData[[#This Row],[Unit_Price]]-SalesData[[#This Row],[Unit_Cost]]</f>
        <v>359.69000000000005</v>
      </c>
      <c r="T641" s="10">
        <f>SalesData[[#This Row],[Unit_Margin]]/SalesData[[#This Row],[Unit_Price]]</f>
        <v>0.18516383104681994</v>
      </c>
      <c r="U641" s="2" t="str">
        <f>IF(SalesData[[#This Row],[Unit_Margin]]&lt;0, "Negative margin", "Positive margin")</f>
        <v>Positive margin</v>
      </c>
      <c r="V641" s="2" t="str">
        <f>IF(SalesData[[#This Row],[Profit]]&lt;0, "Loss", "Profit")</f>
        <v>Profit</v>
      </c>
      <c r="W641" s="2">
        <f>SalesData[[#This Row],[Unit_Price]]*(1-SalesData[[#This Row],[Discount]])</f>
        <v>1612.3164999999999</v>
      </c>
      <c r="X641" s="2">
        <f>SalesData[[#This Row],[Effective_Unit_Price]]-SalesData[[#This Row],[Unit_Cost]]</f>
        <v>29.456500000000005</v>
      </c>
      <c r="Y641" s="2" t="str">
        <f>IF(SalesData[[#This Row],[Effective_Unit_Margin]]&lt;0,"Loss per Unit","Positive per Unit")</f>
        <v>Positive per Unit</v>
      </c>
    </row>
    <row r="642" spans="1:25" x14ac:dyDescent="0.3">
      <c r="A642">
        <v>1023</v>
      </c>
      <c r="B642" s="1">
        <v>45141</v>
      </c>
      <c r="C642" t="s">
        <v>23</v>
      </c>
      <c r="D642" t="s">
        <v>20</v>
      </c>
      <c r="E642">
        <v>45</v>
      </c>
      <c r="F642" t="s">
        <v>25</v>
      </c>
      <c r="G642">
        <v>4692.24</v>
      </c>
      <c r="H642">
        <v>4825.92</v>
      </c>
      <c r="I642" t="s">
        <v>16</v>
      </c>
      <c r="J642" s="2">
        <v>0.19</v>
      </c>
      <c r="K642" t="s">
        <v>26</v>
      </c>
      <c r="L642" t="s">
        <v>21</v>
      </c>
      <c r="M642" t="s">
        <v>46</v>
      </c>
      <c r="N642">
        <f>SalesData[[#This Row],[Quantity_Sold]]*SalesData[[#This Row],[Unit_Cost]]</f>
        <v>211150.8</v>
      </c>
      <c r="O642">
        <f>SalesData[[#This Row],[Quantity_Sold]]*SalesData[[#This Row],[Unit_Price]]</f>
        <v>217166.4</v>
      </c>
      <c r="P642">
        <f>SalesData[[#This Row],[Gross_sales]]*(1-SalesData[[#This Row],[Discount]])</f>
        <v>175904.78400000001</v>
      </c>
      <c r="Q642" s="2">
        <f>SalesData[[#This Row],[Sales_amount]]-SalesData[[#This Row],[Total_Cost]]</f>
        <v>-35246.015999999974</v>
      </c>
      <c r="R642" s="2">
        <f>SalesData[[#This Row],[Profit]]/SalesData[[#This Row],[Sales_amount]]</f>
        <v>-0.20036985463681289</v>
      </c>
      <c r="S642" s="2">
        <f>SalesData[[#This Row],[Unit_Price]]-SalesData[[#This Row],[Unit_Cost]]</f>
        <v>133.68000000000029</v>
      </c>
      <c r="T642" s="10">
        <f>SalesData[[#This Row],[Unit_Margin]]/SalesData[[#This Row],[Unit_Price]]</f>
        <v>2.7700417744181482E-2</v>
      </c>
      <c r="U642" s="2" t="str">
        <f>IF(SalesData[[#This Row],[Unit_Margin]]&lt;0, "Negative margin", "Positive margin")</f>
        <v>Positive margin</v>
      </c>
      <c r="V642" s="2" t="str">
        <f>IF(SalesData[[#This Row],[Profit]]&lt;0, "Loss", "Profit")</f>
        <v>Loss</v>
      </c>
      <c r="W642" s="2">
        <f>SalesData[[#This Row],[Unit_Price]]*(1-SalesData[[#This Row],[Discount]])</f>
        <v>3908.9952000000003</v>
      </c>
      <c r="X642" s="2">
        <f>SalesData[[#This Row],[Effective_Unit_Price]]-SalesData[[#This Row],[Unit_Cost]]</f>
        <v>-783.24479999999949</v>
      </c>
      <c r="Y642" s="2" t="str">
        <f>IF(SalesData[[#This Row],[Effective_Unit_Margin]]&lt;0,"Loss per Unit","Positive per Unit")</f>
        <v>Loss per Unit</v>
      </c>
    </row>
    <row r="643" spans="1:25" x14ac:dyDescent="0.3">
      <c r="A643">
        <v>1016</v>
      </c>
      <c r="B643" s="1">
        <v>45103</v>
      </c>
      <c r="C643" t="s">
        <v>32</v>
      </c>
      <c r="D643" t="s">
        <v>14</v>
      </c>
      <c r="E643">
        <v>3</v>
      </c>
      <c r="F643" t="s">
        <v>34</v>
      </c>
      <c r="G643">
        <v>3401.87</v>
      </c>
      <c r="H643">
        <v>3733.71</v>
      </c>
      <c r="I643" t="s">
        <v>16</v>
      </c>
      <c r="J643" s="2">
        <v>0.06</v>
      </c>
      <c r="K643" t="s">
        <v>26</v>
      </c>
      <c r="L643" t="s">
        <v>21</v>
      </c>
      <c r="M643" t="s">
        <v>52</v>
      </c>
      <c r="N643">
        <f>SalesData[[#This Row],[Quantity_Sold]]*SalesData[[#This Row],[Unit_Cost]]</f>
        <v>10205.61</v>
      </c>
      <c r="O643">
        <f>SalesData[[#This Row],[Quantity_Sold]]*SalesData[[#This Row],[Unit_Price]]</f>
        <v>11201.130000000001</v>
      </c>
      <c r="P643">
        <f>SalesData[[#This Row],[Gross_sales]]*(1-SalesData[[#This Row],[Discount]])</f>
        <v>10529.0622</v>
      </c>
      <c r="Q643" s="2">
        <f>SalesData[[#This Row],[Sales_amount]]-SalesData[[#This Row],[Total_Cost]]</f>
        <v>323.45219999999972</v>
      </c>
      <c r="R643" s="2">
        <f>SalesData[[#This Row],[Profit]]/SalesData[[#This Row],[Sales_amount]]</f>
        <v>3.0719943890159536E-2</v>
      </c>
      <c r="S643" s="2">
        <f>SalesData[[#This Row],[Unit_Price]]-SalesData[[#This Row],[Unit_Cost]]</f>
        <v>331.84000000000015</v>
      </c>
      <c r="T643" s="10">
        <f>SalesData[[#This Row],[Unit_Margin]]/SalesData[[#This Row],[Unit_Price]]</f>
        <v>8.887674725675003E-2</v>
      </c>
      <c r="U643" s="2" t="str">
        <f>IF(SalesData[[#This Row],[Unit_Margin]]&lt;0, "Negative margin", "Positive margin")</f>
        <v>Positive margin</v>
      </c>
      <c r="V643" s="2" t="str">
        <f>IF(SalesData[[#This Row],[Profit]]&lt;0, "Loss", "Profit")</f>
        <v>Profit</v>
      </c>
      <c r="W643" s="2">
        <f>SalesData[[#This Row],[Unit_Price]]*(1-SalesData[[#This Row],[Discount]])</f>
        <v>3509.6873999999998</v>
      </c>
      <c r="X643" s="2">
        <f>SalesData[[#This Row],[Effective_Unit_Price]]-SalesData[[#This Row],[Unit_Cost]]</f>
        <v>107.81739999999991</v>
      </c>
      <c r="Y643" s="2" t="str">
        <f>IF(SalesData[[#This Row],[Effective_Unit_Margin]]&lt;0,"Loss per Unit","Positive per Unit")</f>
        <v>Positive per Unit</v>
      </c>
    </row>
    <row r="644" spans="1:25" x14ac:dyDescent="0.3">
      <c r="A644">
        <v>1057</v>
      </c>
      <c r="B644" s="1">
        <v>44935</v>
      </c>
      <c r="C644" t="s">
        <v>32</v>
      </c>
      <c r="D644" t="s">
        <v>14</v>
      </c>
      <c r="E644">
        <v>12</v>
      </c>
      <c r="F644" t="s">
        <v>15</v>
      </c>
      <c r="G644">
        <v>639.16</v>
      </c>
      <c r="H644">
        <v>746.28</v>
      </c>
      <c r="I644" t="s">
        <v>16</v>
      </c>
      <c r="J644" s="2">
        <v>0.04</v>
      </c>
      <c r="K644" t="s">
        <v>26</v>
      </c>
      <c r="L644" t="s">
        <v>21</v>
      </c>
      <c r="M644" t="s">
        <v>52</v>
      </c>
      <c r="N644">
        <f>SalesData[[#This Row],[Quantity_Sold]]*SalesData[[#This Row],[Unit_Cost]]</f>
        <v>7669.92</v>
      </c>
      <c r="O644">
        <f>SalesData[[#This Row],[Quantity_Sold]]*SalesData[[#This Row],[Unit_Price]]</f>
        <v>8955.36</v>
      </c>
      <c r="P644">
        <f>SalesData[[#This Row],[Gross_sales]]*(1-SalesData[[#This Row],[Discount]])</f>
        <v>8597.1455999999998</v>
      </c>
      <c r="Q644" s="2">
        <f>SalesData[[#This Row],[Sales_amount]]-SalesData[[#This Row],[Total_Cost]]</f>
        <v>927.22559999999976</v>
      </c>
      <c r="R644" s="2">
        <f>SalesData[[#This Row],[Profit]]/SalesData[[#This Row],[Sales_amount]]</f>
        <v>0.1078527273052116</v>
      </c>
      <c r="S644" s="2">
        <f>SalesData[[#This Row],[Unit_Price]]-SalesData[[#This Row],[Unit_Cost]]</f>
        <v>107.12</v>
      </c>
      <c r="T644" s="10">
        <f>SalesData[[#This Row],[Unit_Margin]]/SalesData[[#This Row],[Unit_Price]]</f>
        <v>0.14353861821300318</v>
      </c>
      <c r="U644" s="2" t="str">
        <f>IF(SalesData[[#This Row],[Unit_Margin]]&lt;0, "Negative margin", "Positive margin")</f>
        <v>Positive margin</v>
      </c>
      <c r="V644" s="2" t="str">
        <f>IF(SalesData[[#This Row],[Profit]]&lt;0, "Loss", "Profit")</f>
        <v>Profit</v>
      </c>
      <c r="W644" s="2">
        <f>SalesData[[#This Row],[Unit_Price]]*(1-SalesData[[#This Row],[Discount]])</f>
        <v>716.42879999999991</v>
      </c>
      <c r="X644" s="2">
        <f>SalesData[[#This Row],[Effective_Unit_Price]]-SalesData[[#This Row],[Unit_Cost]]</f>
        <v>77.268799999999942</v>
      </c>
      <c r="Y644" s="2" t="str">
        <f>IF(SalesData[[#This Row],[Effective_Unit_Margin]]&lt;0,"Loss per Unit","Positive per Unit")</f>
        <v>Positive per Unit</v>
      </c>
    </row>
    <row r="645" spans="1:25" x14ac:dyDescent="0.3">
      <c r="A645">
        <v>1039</v>
      </c>
      <c r="B645" s="1">
        <v>45025</v>
      </c>
      <c r="C645" t="s">
        <v>41</v>
      </c>
      <c r="D645" t="s">
        <v>14</v>
      </c>
      <c r="E645">
        <v>3</v>
      </c>
      <c r="F645" t="s">
        <v>25</v>
      </c>
      <c r="G645">
        <v>391.19</v>
      </c>
      <c r="H645">
        <v>471.75</v>
      </c>
      <c r="I645" t="s">
        <v>16</v>
      </c>
      <c r="J645" s="2">
        <v>0.27</v>
      </c>
      <c r="K645" t="s">
        <v>17</v>
      </c>
      <c r="L645" t="s">
        <v>18</v>
      </c>
      <c r="M645" t="s">
        <v>48</v>
      </c>
      <c r="N645">
        <f>SalesData[[#This Row],[Quantity_Sold]]*SalesData[[#This Row],[Unit_Cost]]</f>
        <v>1173.57</v>
      </c>
      <c r="O645">
        <f>SalesData[[#This Row],[Quantity_Sold]]*SalesData[[#This Row],[Unit_Price]]</f>
        <v>1415.25</v>
      </c>
      <c r="P645">
        <f>SalesData[[#This Row],[Gross_sales]]*(1-SalesData[[#This Row],[Discount]])</f>
        <v>1033.1324999999999</v>
      </c>
      <c r="Q645" s="2">
        <f>SalesData[[#This Row],[Sales_amount]]-SalesData[[#This Row],[Total_Cost]]</f>
        <v>-140.4375</v>
      </c>
      <c r="R645" s="2">
        <f>SalesData[[#This Row],[Profit]]/SalesData[[#This Row],[Sales_amount]]</f>
        <v>-0.13593367743246873</v>
      </c>
      <c r="S645" s="2">
        <f>SalesData[[#This Row],[Unit_Price]]-SalesData[[#This Row],[Unit_Cost]]</f>
        <v>80.56</v>
      </c>
      <c r="T645" s="10">
        <f>SalesData[[#This Row],[Unit_Margin]]/SalesData[[#This Row],[Unit_Price]]</f>
        <v>0.17076841547429783</v>
      </c>
      <c r="U645" s="2" t="str">
        <f>IF(SalesData[[#This Row],[Unit_Margin]]&lt;0, "Negative margin", "Positive margin")</f>
        <v>Positive margin</v>
      </c>
      <c r="V645" s="2" t="str">
        <f>IF(SalesData[[#This Row],[Profit]]&lt;0, "Loss", "Profit")</f>
        <v>Loss</v>
      </c>
      <c r="W645" s="2">
        <f>SalesData[[#This Row],[Unit_Price]]*(1-SalesData[[#This Row],[Discount]])</f>
        <v>344.3775</v>
      </c>
      <c r="X645" s="2">
        <f>SalesData[[#This Row],[Effective_Unit_Price]]-SalesData[[#This Row],[Unit_Cost]]</f>
        <v>-46.8125</v>
      </c>
      <c r="Y645" s="2" t="str">
        <f>IF(SalesData[[#This Row],[Effective_Unit_Margin]]&lt;0,"Loss per Unit","Positive per Unit")</f>
        <v>Loss per Unit</v>
      </c>
    </row>
    <row r="646" spans="1:25" x14ac:dyDescent="0.3">
      <c r="A646">
        <v>1053</v>
      </c>
      <c r="B646" s="1">
        <v>44946</v>
      </c>
      <c r="C646" t="s">
        <v>23</v>
      </c>
      <c r="D646" t="s">
        <v>20</v>
      </c>
      <c r="E646">
        <v>42</v>
      </c>
      <c r="F646" t="s">
        <v>15</v>
      </c>
      <c r="G646">
        <v>2443.5700000000002</v>
      </c>
      <c r="H646">
        <v>2943.31</v>
      </c>
      <c r="I646" t="s">
        <v>29</v>
      </c>
      <c r="J646" s="2">
        <v>0.28999999999999998</v>
      </c>
      <c r="K646" t="s">
        <v>17</v>
      </c>
      <c r="L646" t="s">
        <v>18</v>
      </c>
      <c r="M646" t="s">
        <v>46</v>
      </c>
      <c r="N646">
        <f>SalesData[[#This Row],[Quantity_Sold]]*SalesData[[#This Row],[Unit_Cost]]</f>
        <v>102629.94</v>
      </c>
      <c r="O646">
        <f>SalesData[[#This Row],[Quantity_Sold]]*SalesData[[#This Row],[Unit_Price]]</f>
        <v>123619.02</v>
      </c>
      <c r="P646">
        <f>SalesData[[#This Row],[Gross_sales]]*(1-SalesData[[#This Row],[Discount]])</f>
        <v>87769.504199999996</v>
      </c>
      <c r="Q646" s="2">
        <f>SalesData[[#This Row],[Sales_amount]]-SalesData[[#This Row],[Total_Cost]]</f>
        <v>-14860.435800000007</v>
      </c>
      <c r="R646" s="2">
        <f>SalesData[[#This Row],[Profit]]/SalesData[[#This Row],[Sales_amount]]</f>
        <v>-0.16931206271984395</v>
      </c>
      <c r="S646" s="2">
        <f>SalesData[[#This Row],[Unit_Price]]-SalesData[[#This Row],[Unit_Cost]]</f>
        <v>499.73999999999978</v>
      </c>
      <c r="T646" s="10">
        <f>SalesData[[#This Row],[Unit_Margin]]/SalesData[[#This Row],[Unit_Price]]</f>
        <v>0.16978843546891079</v>
      </c>
      <c r="U646" s="2" t="str">
        <f>IF(SalesData[[#This Row],[Unit_Margin]]&lt;0, "Negative margin", "Positive margin")</f>
        <v>Positive margin</v>
      </c>
      <c r="V646" s="2" t="str">
        <f>IF(SalesData[[#This Row],[Profit]]&lt;0, "Loss", "Profit")</f>
        <v>Loss</v>
      </c>
      <c r="W646" s="2">
        <f>SalesData[[#This Row],[Unit_Price]]*(1-SalesData[[#This Row],[Discount]])</f>
        <v>2089.7500999999997</v>
      </c>
      <c r="X646" s="2">
        <f>SalesData[[#This Row],[Effective_Unit_Price]]-SalesData[[#This Row],[Unit_Cost]]</f>
        <v>-353.81990000000042</v>
      </c>
      <c r="Y646" s="2" t="str">
        <f>IF(SalesData[[#This Row],[Effective_Unit_Margin]]&lt;0,"Loss per Unit","Positive per Unit")</f>
        <v>Loss per Unit</v>
      </c>
    </row>
    <row r="647" spans="1:25" x14ac:dyDescent="0.3">
      <c r="A647">
        <v>1042</v>
      </c>
      <c r="B647" s="1">
        <v>45167</v>
      </c>
      <c r="C647" t="s">
        <v>37</v>
      </c>
      <c r="D647" t="s">
        <v>24</v>
      </c>
      <c r="E647">
        <v>27</v>
      </c>
      <c r="F647" t="s">
        <v>28</v>
      </c>
      <c r="G647">
        <v>1139.45</v>
      </c>
      <c r="H647">
        <v>1454.41</v>
      </c>
      <c r="I647" t="s">
        <v>16</v>
      </c>
      <c r="J647" s="2">
        <v>0.3</v>
      </c>
      <c r="K647" t="s">
        <v>26</v>
      </c>
      <c r="L647" t="s">
        <v>18</v>
      </c>
      <c r="M647" t="s">
        <v>38</v>
      </c>
      <c r="N647">
        <f>SalesData[[#This Row],[Quantity_Sold]]*SalesData[[#This Row],[Unit_Cost]]</f>
        <v>30765.15</v>
      </c>
      <c r="O647">
        <f>SalesData[[#This Row],[Quantity_Sold]]*SalesData[[#This Row],[Unit_Price]]</f>
        <v>39269.07</v>
      </c>
      <c r="P647">
        <f>SalesData[[#This Row],[Gross_sales]]*(1-SalesData[[#This Row],[Discount]])</f>
        <v>27488.348999999998</v>
      </c>
      <c r="Q647" s="2">
        <f>SalesData[[#This Row],[Sales_amount]]-SalesData[[#This Row],[Total_Cost]]</f>
        <v>-3276.8010000000031</v>
      </c>
      <c r="R647" s="2">
        <f>SalesData[[#This Row],[Profit]]/SalesData[[#This Row],[Sales_amount]]</f>
        <v>-0.11920690471443023</v>
      </c>
      <c r="S647" s="2">
        <f>SalesData[[#This Row],[Unit_Price]]-SalesData[[#This Row],[Unit_Cost]]</f>
        <v>314.96000000000004</v>
      </c>
      <c r="T647" s="10">
        <f>SalesData[[#This Row],[Unit_Margin]]/SalesData[[#This Row],[Unit_Price]]</f>
        <v>0.21655516669989894</v>
      </c>
      <c r="U647" s="2" t="str">
        <f>IF(SalesData[[#This Row],[Unit_Margin]]&lt;0, "Negative margin", "Positive margin")</f>
        <v>Positive margin</v>
      </c>
      <c r="V647" s="2" t="str">
        <f>IF(SalesData[[#This Row],[Profit]]&lt;0, "Loss", "Profit")</f>
        <v>Loss</v>
      </c>
      <c r="W647" s="2">
        <f>SalesData[[#This Row],[Unit_Price]]*(1-SalesData[[#This Row],[Discount]])</f>
        <v>1018.087</v>
      </c>
      <c r="X647" s="2">
        <f>SalesData[[#This Row],[Effective_Unit_Price]]-SalesData[[#This Row],[Unit_Cost]]</f>
        <v>-121.36300000000006</v>
      </c>
      <c r="Y647" s="2" t="str">
        <f>IF(SalesData[[#This Row],[Effective_Unit_Margin]]&lt;0,"Loss per Unit","Positive per Unit")</f>
        <v>Loss per Unit</v>
      </c>
    </row>
    <row r="648" spans="1:25" x14ac:dyDescent="0.3">
      <c r="A648">
        <v>1058</v>
      </c>
      <c r="B648" s="1">
        <v>44987</v>
      </c>
      <c r="C648" t="s">
        <v>37</v>
      </c>
      <c r="D648" t="s">
        <v>33</v>
      </c>
      <c r="E648">
        <v>49</v>
      </c>
      <c r="F648" t="s">
        <v>15</v>
      </c>
      <c r="G648">
        <v>1307.22</v>
      </c>
      <c r="H648">
        <v>1528.4</v>
      </c>
      <c r="I648" t="s">
        <v>16</v>
      </c>
      <c r="J648" s="2">
        <v>0.24</v>
      </c>
      <c r="K648" t="s">
        <v>17</v>
      </c>
      <c r="L648" t="s">
        <v>21</v>
      </c>
      <c r="M648" t="s">
        <v>47</v>
      </c>
      <c r="N648">
        <f>SalesData[[#This Row],[Quantity_Sold]]*SalesData[[#This Row],[Unit_Cost]]</f>
        <v>64053.78</v>
      </c>
      <c r="O648">
        <f>SalesData[[#This Row],[Quantity_Sold]]*SalesData[[#This Row],[Unit_Price]]</f>
        <v>74891.600000000006</v>
      </c>
      <c r="P648">
        <f>SalesData[[#This Row],[Gross_sales]]*(1-SalesData[[#This Row],[Discount]])</f>
        <v>56917.616000000002</v>
      </c>
      <c r="Q648" s="2">
        <f>SalesData[[#This Row],[Sales_amount]]-SalesData[[#This Row],[Total_Cost]]</f>
        <v>-7136.163999999997</v>
      </c>
      <c r="R648" s="2">
        <f>SalesData[[#This Row],[Profit]]/SalesData[[#This Row],[Sales_amount]]</f>
        <v>-0.12537707130952211</v>
      </c>
      <c r="S648" s="2">
        <f>SalesData[[#This Row],[Unit_Price]]-SalesData[[#This Row],[Unit_Cost]]</f>
        <v>221.18000000000006</v>
      </c>
      <c r="T648" s="10">
        <f>SalesData[[#This Row],[Unit_Margin]]/SalesData[[#This Row],[Unit_Price]]</f>
        <v>0.14471342580476318</v>
      </c>
      <c r="U648" s="2" t="str">
        <f>IF(SalesData[[#This Row],[Unit_Margin]]&lt;0, "Negative margin", "Positive margin")</f>
        <v>Positive margin</v>
      </c>
      <c r="V648" s="2" t="str">
        <f>IF(SalesData[[#This Row],[Profit]]&lt;0, "Loss", "Profit")</f>
        <v>Loss</v>
      </c>
      <c r="W648" s="2">
        <f>SalesData[[#This Row],[Unit_Price]]*(1-SalesData[[#This Row],[Discount]])</f>
        <v>1161.5840000000001</v>
      </c>
      <c r="X648" s="2">
        <f>SalesData[[#This Row],[Effective_Unit_Price]]-SalesData[[#This Row],[Unit_Cost]]</f>
        <v>-145.63599999999997</v>
      </c>
      <c r="Y648" s="2" t="str">
        <f>IF(SalesData[[#This Row],[Effective_Unit_Margin]]&lt;0,"Loss per Unit","Positive per Unit")</f>
        <v>Loss per Unit</v>
      </c>
    </row>
    <row r="649" spans="1:25" x14ac:dyDescent="0.3">
      <c r="A649">
        <v>1039</v>
      </c>
      <c r="B649" s="1">
        <v>45104</v>
      </c>
      <c r="C649" t="s">
        <v>13</v>
      </c>
      <c r="D649" t="s">
        <v>33</v>
      </c>
      <c r="E649">
        <v>2</v>
      </c>
      <c r="F649" t="s">
        <v>34</v>
      </c>
      <c r="G649">
        <v>4394.58</v>
      </c>
      <c r="H649">
        <v>4545.78</v>
      </c>
      <c r="I649" t="s">
        <v>16</v>
      </c>
      <c r="J649" s="2">
        <v>0.2</v>
      </c>
      <c r="K649" t="s">
        <v>30</v>
      </c>
      <c r="L649" t="s">
        <v>21</v>
      </c>
      <c r="M649" t="s">
        <v>45</v>
      </c>
      <c r="N649">
        <f>SalesData[[#This Row],[Quantity_Sold]]*SalesData[[#This Row],[Unit_Cost]]</f>
        <v>8789.16</v>
      </c>
      <c r="O649">
        <f>SalesData[[#This Row],[Quantity_Sold]]*SalesData[[#This Row],[Unit_Price]]</f>
        <v>9091.56</v>
      </c>
      <c r="P649">
        <f>SalesData[[#This Row],[Gross_sales]]*(1-SalesData[[#This Row],[Discount]])</f>
        <v>7273.2479999999996</v>
      </c>
      <c r="Q649" s="2">
        <f>SalesData[[#This Row],[Sales_amount]]-SalesData[[#This Row],[Total_Cost]]</f>
        <v>-1515.9120000000003</v>
      </c>
      <c r="R649" s="2">
        <f>SalesData[[#This Row],[Profit]]/SalesData[[#This Row],[Sales_amount]]</f>
        <v>-0.20842297691485295</v>
      </c>
      <c r="S649" s="2">
        <f>SalesData[[#This Row],[Unit_Price]]-SalesData[[#This Row],[Unit_Cost]]</f>
        <v>151.19999999999982</v>
      </c>
      <c r="T649" s="10">
        <f>SalesData[[#This Row],[Unit_Margin]]/SalesData[[#This Row],[Unit_Price]]</f>
        <v>3.3261618468117642E-2</v>
      </c>
      <c r="U649" s="2" t="str">
        <f>IF(SalesData[[#This Row],[Unit_Margin]]&lt;0, "Negative margin", "Positive margin")</f>
        <v>Positive margin</v>
      </c>
      <c r="V649" s="2" t="str">
        <f>IF(SalesData[[#This Row],[Profit]]&lt;0, "Loss", "Profit")</f>
        <v>Loss</v>
      </c>
      <c r="W649" s="2">
        <f>SalesData[[#This Row],[Unit_Price]]*(1-SalesData[[#This Row],[Discount]])</f>
        <v>3636.6239999999998</v>
      </c>
      <c r="X649" s="2">
        <f>SalesData[[#This Row],[Effective_Unit_Price]]-SalesData[[#This Row],[Unit_Cost]]</f>
        <v>-757.95600000000013</v>
      </c>
      <c r="Y649" s="2" t="str">
        <f>IF(SalesData[[#This Row],[Effective_Unit_Margin]]&lt;0,"Loss per Unit","Positive per Unit")</f>
        <v>Loss per Unit</v>
      </c>
    </row>
    <row r="650" spans="1:25" x14ac:dyDescent="0.3">
      <c r="A650">
        <v>1014</v>
      </c>
      <c r="B650" s="1">
        <v>45264</v>
      </c>
      <c r="C650" t="s">
        <v>13</v>
      </c>
      <c r="D650" t="s">
        <v>20</v>
      </c>
      <c r="E650">
        <v>49</v>
      </c>
      <c r="F650" t="s">
        <v>15</v>
      </c>
      <c r="G650">
        <v>493.35</v>
      </c>
      <c r="H650">
        <v>799.27</v>
      </c>
      <c r="I650" t="s">
        <v>29</v>
      </c>
      <c r="J650" s="2">
        <v>0.1</v>
      </c>
      <c r="K650" t="s">
        <v>26</v>
      </c>
      <c r="L650" t="s">
        <v>18</v>
      </c>
      <c r="M650" t="s">
        <v>22</v>
      </c>
      <c r="N650">
        <f>SalesData[[#This Row],[Quantity_Sold]]*SalesData[[#This Row],[Unit_Cost]]</f>
        <v>24174.15</v>
      </c>
      <c r="O650">
        <f>SalesData[[#This Row],[Quantity_Sold]]*SalesData[[#This Row],[Unit_Price]]</f>
        <v>39164.229999999996</v>
      </c>
      <c r="P650">
        <f>SalesData[[#This Row],[Gross_sales]]*(1-SalesData[[#This Row],[Discount]])</f>
        <v>35247.807000000001</v>
      </c>
      <c r="Q650" s="2">
        <f>SalesData[[#This Row],[Sales_amount]]-SalesData[[#This Row],[Total_Cost]]</f>
        <v>11073.656999999999</v>
      </c>
      <c r="R650" s="2">
        <f>SalesData[[#This Row],[Profit]]/SalesData[[#This Row],[Sales_amount]]</f>
        <v>0.31416584299840267</v>
      </c>
      <c r="S650" s="2">
        <f>SalesData[[#This Row],[Unit_Price]]-SalesData[[#This Row],[Unit_Cost]]</f>
        <v>305.91999999999996</v>
      </c>
      <c r="T650" s="10">
        <f>SalesData[[#This Row],[Unit_Margin]]/SalesData[[#This Row],[Unit_Price]]</f>
        <v>0.38274925869856241</v>
      </c>
      <c r="U650" s="2" t="str">
        <f>IF(SalesData[[#This Row],[Unit_Margin]]&lt;0, "Negative margin", "Positive margin")</f>
        <v>Positive margin</v>
      </c>
      <c r="V650" s="2" t="str">
        <f>IF(SalesData[[#This Row],[Profit]]&lt;0, "Loss", "Profit")</f>
        <v>Profit</v>
      </c>
      <c r="W650" s="2">
        <f>SalesData[[#This Row],[Unit_Price]]*(1-SalesData[[#This Row],[Discount]])</f>
        <v>719.34299999999996</v>
      </c>
      <c r="X650" s="2">
        <f>SalesData[[#This Row],[Effective_Unit_Price]]-SalesData[[#This Row],[Unit_Cost]]</f>
        <v>225.99299999999994</v>
      </c>
      <c r="Y650" s="2" t="str">
        <f>IF(SalesData[[#This Row],[Effective_Unit_Margin]]&lt;0,"Loss per Unit","Positive per Unit")</f>
        <v>Positive per Unit</v>
      </c>
    </row>
    <row r="651" spans="1:25" x14ac:dyDescent="0.3">
      <c r="A651">
        <v>1095</v>
      </c>
      <c r="B651" s="1">
        <v>44988</v>
      </c>
      <c r="C651" t="s">
        <v>37</v>
      </c>
      <c r="D651" t="s">
        <v>33</v>
      </c>
      <c r="E651">
        <v>16</v>
      </c>
      <c r="F651" t="s">
        <v>34</v>
      </c>
      <c r="G651">
        <v>3591.05</v>
      </c>
      <c r="H651">
        <v>3625.35</v>
      </c>
      <c r="I651" t="s">
        <v>16</v>
      </c>
      <c r="J651" s="2">
        <v>0.05</v>
      </c>
      <c r="K651" t="s">
        <v>30</v>
      </c>
      <c r="L651" t="s">
        <v>21</v>
      </c>
      <c r="M651" t="s">
        <v>47</v>
      </c>
      <c r="N651">
        <f>SalesData[[#This Row],[Quantity_Sold]]*SalesData[[#This Row],[Unit_Cost]]</f>
        <v>57456.800000000003</v>
      </c>
      <c r="O651">
        <f>SalesData[[#This Row],[Quantity_Sold]]*SalesData[[#This Row],[Unit_Price]]</f>
        <v>58005.599999999999</v>
      </c>
      <c r="P651">
        <f>SalesData[[#This Row],[Gross_sales]]*(1-SalesData[[#This Row],[Discount]])</f>
        <v>55105.319999999992</v>
      </c>
      <c r="Q651" s="2">
        <f>SalesData[[#This Row],[Sales_amount]]-SalesData[[#This Row],[Total_Cost]]</f>
        <v>-2351.4800000000105</v>
      </c>
      <c r="R651" s="2">
        <f>SalesData[[#This Row],[Profit]]/SalesData[[#This Row],[Sales_amount]]</f>
        <v>-4.2672467921427745E-2</v>
      </c>
      <c r="S651" s="2">
        <f>SalesData[[#This Row],[Unit_Price]]-SalesData[[#This Row],[Unit_Cost]]</f>
        <v>34.299999999999727</v>
      </c>
      <c r="T651" s="10">
        <f>SalesData[[#This Row],[Unit_Margin]]/SalesData[[#This Row],[Unit_Price]]</f>
        <v>9.461155474643752E-3</v>
      </c>
      <c r="U651" s="2" t="str">
        <f>IF(SalesData[[#This Row],[Unit_Margin]]&lt;0, "Negative margin", "Positive margin")</f>
        <v>Positive margin</v>
      </c>
      <c r="V651" s="2" t="str">
        <f>IF(SalesData[[#This Row],[Profit]]&lt;0, "Loss", "Profit")</f>
        <v>Loss</v>
      </c>
      <c r="W651" s="2">
        <f>SalesData[[#This Row],[Unit_Price]]*(1-SalesData[[#This Row],[Discount]])</f>
        <v>3444.0824999999995</v>
      </c>
      <c r="X651" s="2">
        <f>SalesData[[#This Row],[Effective_Unit_Price]]-SalesData[[#This Row],[Unit_Cost]]</f>
        <v>-146.96750000000065</v>
      </c>
      <c r="Y651" s="2" t="str">
        <f>IF(SalesData[[#This Row],[Effective_Unit_Margin]]&lt;0,"Loss per Unit","Positive per Unit")</f>
        <v>Loss per Unit</v>
      </c>
    </row>
    <row r="652" spans="1:25" x14ac:dyDescent="0.3">
      <c r="A652">
        <v>1005</v>
      </c>
      <c r="B652" s="1">
        <v>45071</v>
      </c>
      <c r="C652" t="s">
        <v>37</v>
      </c>
      <c r="D652" t="s">
        <v>14</v>
      </c>
      <c r="E652">
        <v>2</v>
      </c>
      <c r="F652" t="s">
        <v>28</v>
      </c>
      <c r="G652">
        <v>1392.15</v>
      </c>
      <c r="H652">
        <v>1448.54</v>
      </c>
      <c r="I652" t="s">
        <v>16</v>
      </c>
      <c r="J652" s="2">
        <v>0.02</v>
      </c>
      <c r="K652" t="s">
        <v>26</v>
      </c>
      <c r="L652" t="s">
        <v>21</v>
      </c>
      <c r="M652" t="s">
        <v>39</v>
      </c>
      <c r="N652">
        <f>SalesData[[#This Row],[Quantity_Sold]]*SalesData[[#This Row],[Unit_Cost]]</f>
        <v>2784.3</v>
      </c>
      <c r="O652">
        <f>SalesData[[#This Row],[Quantity_Sold]]*SalesData[[#This Row],[Unit_Price]]</f>
        <v>2897.08</v>
      </c>
      <c r="P652">
        <f>SalesData[[#This Row],[Gross_sales]]*(1-SalesData[[#This Row],[Discount]])</f>
        <v>2839.1383999999998</v>
      </c>
      <c r="Q652" s="2">
        <f>SalesData[[#This Row],[Sales_amount]]-SalesData[[#This Row],[Total_Cost]]</f>
        <v>54.838399999999638</v>
      </c>
      <c r="R652" s="2">
        <f>SalesData[[#This Row],[Profit]]/SalesData[[#This Row],[Sales_amount]]</f>
        <v>1.9315155611998217E-2</v>
      </c>
      <c r="S652" s="2">
        <f>SalesData[[#This Row],[Unit_Price]]-SalesData[[#This Row],[Unit_Cost]]</f>
        <v>56.389999999999873</v>
      </c>
      <c r="T652" s="10">
        <f>SalesData[[#This Row],[Unit_Margin]]/SalesData[[#This Row],[Unit_Price]]</f>
        <v>3.892885249975829E-2</v>
      </c>
      <c r="U652" s="2" t="str">
        <f>IF(SalesData[[#This Row],[Unit_Margin]]&lt;0, "Negative margin", "Positive margin")</f>
        <v>Positive margin</v>
      </c>
      <c r="V652" s="2" t="str">
        <f>IF(SalesData[[#This Row],[Profit]]&lt;0, "Loss", "Profit")</f>
        <v>Profit</v>
      </c>
      <c r="W652" s="2">
        <f>SalesData[[#This Row],[Unit_Price]]*(1-SalesData[[#This Row],[Discount]])</f>
        <v>1419.5691999999999</v>
      </c>
      <c r="X652" s="2">
        <f>SalesData[[#This Row],[Effective_Unit_Price]]-SalesData[[#This Row],[Unit_Cost]]</f>
        <v>27.419199999999819</v>
      </c>
      <c r="Y652" s="2" t="str">
        <f>IF(SalesData[[#This Row],[Effective_Unit_Margin]]&lt;0,"Loss per Unit","Positive per Unit")</f>
        <v>Positive per Unit</v>
      </c>
    </row>
    <row r="653" spans="1:25" x14ac:dyDescent="0.3">
      <c r="A653">
        <v>1035</v>
      </c>
      <c r="B653" s="1">
        <v>45142</v>
      </c>
      <c r="C653" t="s">
        <v>23</v>
      </c>
      <c r="D653" t="s">
        <v>24</v>
      </c>
      <c r="E653">
        <v>30</v>
      </c>
      <c r="F653" t="s">
        <v>34</v>
      </c>
      <c r="G653">
        <v>3813.62</v>
      </c>
      <c r="H653">
        <v>3839.72</v>
      </c>
      <c r="I653" t="s">
        <v>29</v>
      </c>
      <c r="J653" s="2">
        <v>0.21</v>
      </c>
      <c r="K653" t="s">
        <v>30</v>
      </c>
      <c r="L653" t="s">
        <v>18</v>
      </c>
      <c r="M653" t="s">
        <v>27</v>
      </c>
      <c r="N653">
        <f>SalesData[[#This Row],[Quantity_Sold]]*SalesData[[#This Row],[Unit_Cost]]</f>
        <v>114408.59999999999</v>
      </c>
      <c r="O653">
        <f>SalesData[[#This Row],[Quantity_Sold]]*SalesData[[#This Row],[Unit_Price]]</f>
        <v>115191.59999999999</v>
      </c>
      <c r="P653">
        <f>SalesData[[#This Row],[Gross_sales]]*(1-SalesData[[#This Row],[Discount]])</f>
        <v>91001.364000000001</v>
      </c>
      <c r="Q653" s="2">
        <f>SalesData[[#This Row],[Sales_amount]]-SalesData[[#This Row],[Total_Cost]]</f>
        <v>-23407.23599999999</v>
      </c>
      <c r="R653" s="2">
        <f>SalesData[[#This Row],[Profit]]/SalesData[[#This Row],[Sales_amount]]</f>
        <v>-0.25721851817517799</v>
      </c>
      <c r="S653" s="2">
        <f>SalesData[[#This Row],[Unit_Price]]-SalesData[[#This Row],[Unit_Cost]]</f>
        <v>26.099999999999909</v>
      </c>
      <c r="T653" s="10">
        <f>SalesData[[#This Row],[Unit_Margin]]/SalesData[[#This Row],[Unit_Price]]</f>
        <v>6.797370641609261E-3</v>
      </c>
      <c r="U653" s="2" t="str">
        <f>IF(SalesData[[#This Row],[Unit_Margin]]&lt;0, "Negative margin", "Positive margin")</f>
        <v>Positive margin</v>
      </c>
      <c r="V653" s="2" t="str">
        <f>IF(SalesData[[#This Row],[Profit]]&lt;0, "Loss", "Profit")</f>
        <v>Loss</v>
      </c>
      <c r="W653" s="2">
        <f>SalesData[[#This Row],[Unit_Price]]*(1-SalesData[[#This Row],[Discount]])</f>
        <v>3033.3788</v>
      </c>
      <c r="X653" s="2">
        <f>SalesData[[#This Row],[Effective_Unit_Price]]-SalesData[[#This Row],[Unit_Cost]]</f>
        <v>-780.24119999999994</v>
      </c>
      <c r="Y653" s="2" t="str">
        <f>IF(SalesData[[#This Row],[Effective_Unit_Margin]]&lt;0,"Loss per Unit","Positive per Unit")</f>
        <v>Loss per Unit</v>
      </c>
    </row>
    <row r="654" spans="1:25" x14ac:dyDescent="0.3">
      <c r="A654">
        <v>1087</v>
      </c>
      <c r="B654" s="1">
        <v>44929</v>
      </c>
      <c r="C654" t="s">
        <v>32</v>
      </c>
      <c r="D654" t="s">
        <v>33</v>
      </c>
      <c r="E654">
        <v>20</v>
      </c>
      <c r="F654" t="s">
        <v>15</v>
      </c>
      <c r="G654">
        <v>3625.94</v>
      </c>
      <c r="H654">
        <v>3880.53</v>
      </c>
      <c r="I654" t="s">
        <v>29</v>
      </c>
      <c r="J654" s="2">
        <v>0.24</v>
      </c>
      <c r="K654" t="s">
        <v>26</v>
      </c>
      <c r="L654" t="s">
        <v>18</v>
      </c>
      <c r="M654" t="s">
        <v>35</v>
      </c>
      <c r="N654">
        <f>SalesData[[#This Row],[Quantity_Sold]]*SalesData[[#This Row],[Unit_Cost]]</f>
        <v>72518.8</v>
      </c>
      <c r="O654">
        <f>SalesData[[#This Row],[Quantity_Sold]]*SalesData[[#This Row],[Unit_Price]]</f>
        <v>77610.600000000006</v>
      </c>
      <c r="P654">
        <f>SalesData[[#This Row],[Gross_sales]]*(1-SalesData[[#This Row],[Discount]])</f>
        <v>58984.056000000004</v>
      </c>
      <c r="Q654" s="2">
        <f>SalesData[[#This Row],[Sales_amount]]-SalesData[[#This Row],[Total_Cost]]</f>
        <v>-13534.743999999999</v>
      </c>
      <c r="R654" s="2">
        <f>SalesData[[#This Row],[Profit]]/SalesData[[#This Row],[Sales_amount]]</f>
        <v>-0.22946445052880049</v>
      </c>
      <c r="S654" s="2">
        <f>SalesData[[#This Row],[Unit_Price]]-SalesData[[#This Row],[Unit_Cost]]</f>
        <v>254.59000000000015</v>
      </c>
      <c r="T654" s="10">
        <f>SalesData[[#This Row],[Unit_Margin]]/SalesData[[#This Row],[Unit_Price]]</f>
        <v>6.5607017598111633E-2</v>
      </c>
      <c r="U654" s="2" t="str">
        <f>IF(SalesData[[#This Row],[Unit_Margin]]&lt;0, "Negative margin", "Positive margin")</f>
        <v>Positive margin</v>
      </c>
      <c r="V654" s="2" t="str">
        <f>IF(SalesData[[#This Row],[Profit]]&lt;0, "Loss", "Profit")</f>
        <v>Loss</v>
      </c>
      <c r="W654" s="2">
        <f>SalesData[[#This Row],[Unit_Price]]*(1-SalesData[[#This Row],[Discount]])</f>
        <v>2949.2028</v>
      </c>
      <c r="X654" s="2">
        <f>SalesData[[#This Row],[Effective_Unit_Price]]-SalesData[[#This Row],[Unit_Cost]]</f>
        <v>-676.73720000000003</v>
      </c>
      <c r="Y654" s="2" t="str">
        <f>IF(SalesData[[#This Row],[Effective_Unit_Margin]]&lt;0,"Loss per Unit","Positive per Unit")</f>
        <v>Loss per Unit</v>
      </c>
    </row>
    <row r="655" spans="1:25" x14ac:dyDescent="0.3">
      <c r="A655">
        <v>1093</v>
      </c>
      <c r="B655" s="1">
        <v>45086</v>
      </c>
      <c r="C655" t="s">
        <v>13</v>
      </c>
      <c r="D655" t="s">
        <v>24</v>
      </c>
      <c r="E655">
        <v>38</v>
      </c>
      <c r="F655" t="s">
        <v>25</v>
      </c>
      <c r="G655">
        <v>86.59</v>
      </c>
      <c r="H655">
        <v>390.89</v>
      </c>
      <c r="I655" t="s">
        <v>16</v>
      </c>
      <c r="J655" s="2">
        <v>0.25</v>
      </c>
      <c r="K655" t="s">
        <v>30</v>
      </c>
      <c r="L655" t="s">
        <v>18</v>
      </c>
      <c r="M655" t="s">
        <v>31</v>
      </c>
      <c r="N655">
        <f>SalesData[[#This Row],[Quantity_Sold]]*SalesData[[#This Row],[Unit_Cost]]</f>
        <v>3290.42</v>
      </c>
      <c r="O655">
        <f>SalesData[[#This Row],[Quantity_Sold]]*SalesData[[#This Row],[Unit_Price]]</f>
        <v>14853.82</v>
      </c>
      <c r="P655">
        <f>SalesData[[#This Row],[Gross_sales]]*(1-SalesData[[#This Row],[Discount]])</f>
        <v>11140.365</v>
      </c>
      <c r="Q655" s="2">
        <f>SalesData[[#This Row],[Sales_amount]]-SalesData[[#This Row],[Total_Cost]]</f>
        <v>7849.9449999999997</v>
      </c>
      <c r="R655" s="2">
        <f>SalesData[[#This Row],[Profit]]/SalesData[[#This Row],[Sales_amount]]</f>
        <v>0.70463983899988913</v>
      </c>
      <c r="S655" s="2">
        <f>SalesData[[#This Row],[Unit_Price]]-SalesData[[#This Row],[Unit_Cost]]</f>
        <v>304.29999999999995</v>
      </c>
      <c r="T655" s="10">
        <f>SalesData[[#This Row],[Unit_Margin]]/SalesData[[#This Row],[Unit_Price]]</f>
        <v>0.7784798792499168</v>
      </c>
      <c r="U655" s="2" t="str">
        <f>IF(SalesData[[#This Row],[Unit_Margin]]&lt;0, "Negative margin", "Positive margin")</f>
        <v>Positive margin</v>
      </c>
      <c r="V655" s="2" t="str">
        <f>IF(SalesData[[#This Row],[Profit]]&lt;0, "Loss", "Profit")</f>
        <v>Profit</v>
      </c>
      <c r="W655" s="2">
        <f>SalesData[[#This Row],[Unit_Price]]*(1-SalesData[[#This Row],[Discount]])</f>
        <v>293.16750000000002</v>
      </c>
      <c r="X655" s="2">
        <f>SalesData[[#This Row],[Effective_Unit_Price]]-SalesData[[#This Row],[Unit_Cost]]</f>
        <v>206.57750000000001</v>
      </c>
      <c r="Y655" s="2" t="str">
        <f>IF(SalesData[[#This Row],[Effective_Unit_Margin]]&lt;0,"Loss per Unit","Positive per Unit")</f>
        <v>Positive per Unit</v>
      </c>
    </row>
    <row r="656" spans="1:25" x14ac:dyDescent="0.3">
      <c r="A656">
        <v>1075</v>
      </c>
      <c r="B656" s="1">
        <v>45153</v>
      </c>
      <c r="C656" t="s">
        <v>32</v>
      </c>
      <c r="D656" t="s">
        <v>14</v>
      </c>
      <c r="E656">
        <v>28</v>
      </c>
      <c r="F656" t="s">
        <v>28</v>
      </c>
      <c r="G656">
        <v>2570.2199999999998</v>
      </c>
      <c r="H656">
        <v>2610.8399999999901</v>
      </c>
      <c r="I656" t="s">
        <v>16</v>
      </c>
      <c r="J656" s="2">
        <v>0.27</v>
      </c>
      <c r="K656" t="s">
        <v>26</v>
      </c>
      <c r="L656" t="s">
        <v>21</v>
      </c>
      <c r="M656" t="s">
        <v>52</v>
      </c>
      <c r="N656">
        <f>SalesData[[#This Row],[Quantity_Sold]]*SalesData[[#This Row],[Unit_Cost]]</f>
        <v>71966.159999999989</v>
      </c>
      <c r="O656">
        <f>SalesData[[#This Row],[Quantity_Sold]]*SalesData[[#This Row],[Unit_Price]]</f>
        <v>73103.519999999728</v>
      </c>
      <c r="P656">
        <f>SalesData[[#This Row],[Gross_sales]]*(1-SalesData[[#This Row],[Discount]])</f>
        <v>53365.569599999799</v>
      </c>
      <c r="Q656" s="2">
        <f>SalesData[[#This Row],[Sales_amount]]-SalesData[[#This Row],[Total_Cost]]</f>
        <v>-18600.59040000019</v>
      </c>
      <c r="R656" s="2">
        <f>SalesData[[#This Row],[Profit]]/SalesData[[#This Row],[Sales_amount]]</f>
        <v>-0.34855039568434137</v>
      </c>
      <c r="S656" s="2">
        <f>SalesData[[#This Row],[Unit_Price]]-SalesData[[#This Row],[Unit_Cost]]</f>
        <v>40.619999999990341</v>
      </c>
      <c r="T656" s="10">
        <f>SalesData[[#This Row],[Unit_Margin]]/SalesData[[#This Row],[Unit_Price]]</f>
        <v>1.5558211150430701E-2</v>
      </c>
      <c r="U656" s="2" t="str">
        <f>IF(SalesData[[#This Row],[Unit_Margin]]&lt;0, "Negative margin", "Positive margin")</f>
        <v>Positive margin</v>
      </c>
      <c r="V656" s="2" t="str">
        <f>IF(SalesData[[#This Row],[Profit]]&lt;0, "Loss", "Profit")</f>
        <v>Loss</v>
      </c>
      <c r="W656" s="2">
        <f>SalesData[[#This Row],[Unit_Price]]*(1-SalesData[[#This Row],[Discount]])</f>
        <v>1905.9131999999927</v>
      </c>
      <c r="X656" s="2">
        <f>SalesData[[#This Row],[Effective_Unit_Price]]-SalesData[[#This Row],[Unit_Cost]]</f>
        <v>-664.30680000000712</v>
      </c>
      <c r="Y656" s="2" t="str">
        <f>IF(SalesData[[#This Row],[Effective_Unit_Margin]]&lt;0,"Loss per Unit","Positive per Unit")</f>
        <v>Loss per Unit</v>
      </c>
    </row>
    <row r="657" spans="1:25" x14ac:dyDescent="0.3">
      <c r="A657">
        <v>1018</v>
      </c>
      <c r="B657" s="1">
        <v>45195</v>
      </c>
      <c r="C657" t="s">
        <v>23</v>
      </c>
      <c r="D657" t="s">
        <v>33</v>
      </c>
      <c r="E657">
        <v>25</v>
      </c>
      <c r="F657" t="s">
        <v>15</v>
      </c>
      <c r="G657">
        <v>739.63</v>
      </c>
      <c r="H657">
        <v>1103.03</v>
      </c>
      <c r="I657" t="s">
        <v>29</v>
      </c>
      <c r="J657" s="2">
        <v>0.26</v>
      </c>
      <c r="K657" t="s">
        <v>26</v>
      </c>
      <c r="L657" t="s">
        <v>21</v>
      </c>
      <c r="M657" t="s">
        <v>49</v>
      </c>
      <c r="N657">
        <f>SalesData[[#This Row],[Quantity_Sold]]*SalesData[[#This Row],[Unit_Cost]]</f>
        <v>18490.75</v>
      </c>
      <c r="O657">
        <f>SalesData[[#This Row],[Quantity_Sold]]*SalesData[[#This Row],[Unit_Price]]</f>
        <v>27575.75</v>
      </c>
      <c r="P657">
        <f>SalesData[[#This Row],[Gross_sales]]*(1-SalesData[[#This Row],[Discount]])</f>
        <v>20406.055</v>
      </c>
      <c r="Q657" s="2">
        <f>SalesData[[#This Row],[Sales_amount]]-SalesData[[#This Row],[Total_Cost]]</f>
        <v>1915.3050000000003</v>
      </c>
      <c r="R657" s="2">
        <f>SalesData[[#This Row],[Profit]]/SalesData[[#This Row],[Sales_amount]]</f>
        <v>9.3859641170231101E-2</v>
      </c>
      <c r="S657" s="2">
        <f>SalesData[[#This Row],[Unit_Price]]-SalesData[[#This Row],[Unit_Cost]]</f>
        <v>363.4</v>
      </c>
      <c r="T657" s="10">
        <f>SalesData[[#This Row],[Unit_Margin]]/SalesData[[#This Row],[Unit_Price]]</f>
        <v>0.329456134465971</v>
      </c>
      <c r="U657" s="2" t="str">
        <f>IF(SalesData[[#This Row],[Unit_Margin]]&lt;0, "Negative margin", "Positive margin")</f>
        <v>Positive margin</v>
      </c>
      <c r="V657" s="2" t="str">
        <f>IF(SalesData[[#This Row],[Profit]]&lt;0, "Loss", "Profit")</f>
        <v>Profit</v>
      </c>
      <c r="W657" s="2">
        <f>SalesData[[#This Row],[Unit_Price]]*(1-SalesData[[#This Row],[Discount]])</f>
        <v>816.24220000000003</v>
      </c>
      <c r="X657" s="2">
        <f>SalesData[[#This Row],[Effective_Unit_Price]]-SalesData[[#This Row],[Unit_Cost]]</f>
        <v>76.61220000000003</v>
      </c>
      <c r="Y657" s="2" t="str">
        <f>IF(SalesData[[#This Row],[Effective_Unit_Margin]]&lt;0,"Loss per Unit","Positive per Unit")</f>
        <v>Positive per Unit</v>
      </c>
    </row>
    <row r="658" spans="1:25" x14ac:dyDescent="0.3">
      <c r="A658">
        <v>1076</v>
      </c>
      <c r="B658" s="1">
        <v>45046</v>
      </c>
      <c r="C658" t="s">
        <v>37</v>
      </c>
      <c r="D658" t="s">
        <v>20</v>
      </c>
      <c r="E658">
        <v>32</v>
      </c>
      <c r="F658" t="s">
        <v>28</v>
      </c>
      <c r="G658">
        <v>4337.82</v>
      </c>
      <c r="H658">
        <v>4460.71</v>
      </c>
      <c r="I658" t="s">
        <v>16</v>
      </c>
      <c r="J658" s="2">
        <v>0.3</v>
      </c>
      <c r="K658" t="s">
        <v>17</v>
      </c>
      <c r="L658" t="s">
        <v>21</v>
      </c>
      <c r="M658" t="s">
        <v>40</v>
      </c>
      <c r="N658">
        <f>SalesData[[#This Row],[Quantity_Sold]]*SalesData[[#This Row],[Unit_Cost]]</f>
        <v>138810.23999999999</v>
      </c>
      <c r="O658">
        <f>SalesData[[#This Row],[Quantity_Sold]]*SalesData[[#This Row],[Unit_Price]]</f>
        <v>142742.72</v>
      </c>
      <c r="P658">
        <f>SalesData[[#This Row],[Gross_sales]]*(1-SalesData[[#This Row],[Discount]])</f>
        <v>99919.903999999995</v>
      </c>
      <c r="Q658" s="2">
        <f>SalesData[[#This Row],[Sales_amount]]-SalesData[[#This Row],[Total_Cost]]</f>
        <v>-38890.335999999996</v>
      </c>
      <c r="R658" s="2">
        <f>SalesData[[#This Row],[Profit]]/SalesData[[#This Row],[Sales_amount]]</f>
        <v>-0.38921510573108636</v>
      </c>
      <c r="S658" s="2">
        <f>SalesData[[#This Row],[Unit_Price]]-SalesData[[#This Row],[Unit_Cost]]</f>
        <v>122.89000000000033</v>
      </c>
      <c r="T658" s="10">
        <f>SalesData[[#This Row],[Unit_Margin]]/SalesData[[#This Row],[Unit_Price]]</f>
        <v>2.7549425988239614E-2</v>
      </c>
      <c r="U658" s="2" t="str">
        <f>IF(SalesData[[#This Row],[Unit_Margin]]&lt;0, "Negative margin", "Positive margin")</f>
        <v>Positive margin</v>
      </c>
      <c r="V658" s="2" t="str">
        <f>IF(SalesData[[#This Row],[Profit]]&lt;0, "Loss", "Profit")</f>
        <v>Loss</v>
      </c>
      <c r="W658" s="2">
        <f>SalesData[[#This Row],[Unit_Price]]*(1-SalesData[[#This Row],[Discount]])</f>
        <v>3122.4969999999998</v>
      </c>
      <c r="X658" s="2">
        <f>SalesData[[#This Row],[Effective_Unit_Price]]-SalesData[[#This Row],[Unit_Cost]]</f>
        <v>-1215.3229999999999</v>
      </c>
      <c r="Y658" s="2" t="str">
        <f>IF(SalesData[[#This Row],[Effective_Unit_Margin]]&lt;0,"Loss per Unit","Positive per Unit")</f>
        <v>Loss per Unit</v>
      </c>
    </row>
    <row r="659" spans="1:25" x14ac:dyDescent="0.3">
      <c r="A659">
        <v>1009</v>
      </c>
      <c r="B659" s="1">
        <v>45015</v>
      </c>
      <c r="C659" t="s">
        <v>32</v>
      </c>
      <c r="D659" t="s">
        <v>24</v>
      </c>
      <c r="E659">
        <v>10</v>
      </c>
      <c r="F659" t="s">
        <v>28</v>
      </c>
      <c r="G659">
        <v>4364.3500000000004</v>
      </c>
      <c r="H659">
        <v>4710.1000000000004</v>
      </c>
      <c r="I659" t="s">
        <v>29</v>
      </c>
      <c r="J659" s="2">
        <v>7.0000000000000007E-2</v>
      </c>
      <c r="K659" t="s">
        <v>30</v>
      </c>
      <c r="L659" t="s">
        <v>18</v>
      </c>
      <c r="M659" t="s">
        <v>43</v>
      </c>
      <c r="N659">
        <f>SalesData[[#This Row],[Quantity_Sold]]*SalesData[[#This Row],[Unit_Cost]]</f>
        <v>43643.5</v>
      </c>
      <c r="O659">
        <f>SalesData[[#This Row],[Quantity_Sold]]*SalesData[[#This Row],[Unit_Price]]</f>
        <v>47101</v>
      </c>
      <c r="P659">
        <f>SalesData[[#This Row],[Gross_sales]]*(1-SalesData[[#This Row],[Discount]])</f>
        <v>43803.93</v>
      </c>
      <c r="Q659" s="2">
        <f>SalesData[[#This Row],[Sales_amount]]-SalesData[[#This Row],[Total_Cost]]</f>
        <v>160.43000000000029</v>
      </c>
      <c r="R659" s="2">
        <f>SalesData[[#This Row],[Profit]]/SalesData[[#This Row],[Sales_amount]]</f>
        <v>3.6624567704313356E-3</v>
      </c>
      <c r="S659" s="2">
        <f>SalesData[[#This Row],[Unit_Price]]-SalesData[[#This Row],[Unit_Cost]]</f>
        <v>345.75</v>
      </c>
      <c r="T659" s="10">
        <f>SalesData[[#This Row],[Unit_Margin]]/SalesData[[#This Row],[Unit_Price]]</f>
        <v>7.3406084796501125E-2</v>
      </c>
      <c r="U659" s="2" t="str">
        <f>IF(SalesData[[#This Row],[Unit_Margin]]&lt;0, "Negative margin", "Positive margin")</f>
        <v>Positive margin</v>
      </c>
      <c r="V659" s="2" t="str">
        <f>IF(SalesData[[#This Row],[Profit]]&lt;0, "Loss", "Profit")</f>
        <v>Profit</v>
      </c>
      <c r="W659" s="2">
        <f>SalesData[[#This Row],[Unit_Price]]*(1-SalesData[[#This Row],[Discount]])</f>
        <v>4380.393</v>
      </c>
      <c r="X659" s="2">
        <f>SalesData[[#This Row],[Effective_Unit_Price]]-SalesData[[#This Row],[Unit_Cost]]</f>
        <v>16.042999999999665</v>
      </c>
      <c r="Y659" s="2" t="str">
        <f>IF(SalesData[[#This Row],[Effective_Unit_Margin]]&lt;0,"Loss per Unit","Positive per Unit")</f>
        <v>Positive per Unit</v>
      </c>
    </row>
    <row r="660" spans="1:25" x14ac:dyDescent="0.3">
      <c r="A660">
        <v>1074</v>
      </c>
      <c r="B660" s="1">
        <v>45255</v>
      </c>
      <c r="C660" t="s">
        <v>37</v>
      </c>
      <c r="D660" t="s">
        <v>14</v>
      </c>
      <c r="E660">
        <v>42</v>
      </c>
      <c r="F660" t="s">
        <v>15</v>
      </c>
      <c r="G660">
        <v>2120.81</v>
      </c>
      <c r="H660">
        <v>2611.94</v>
      </c>
      <c r="I660" t="s">
        <v>16</v>
      </c>
      <c r="J660" s="2">
        <v>0.23</v>
      </c>
      <c r="K660" t="s">
        <v>17</v>
      </c>
      <c r="L660" t="s">
        <v>18</v>
      </c>
      <c r="M660" t="s">
        <v>39</v>
      </c>
      <c r="N660">
        <f>SalesData[[#This Row],[Quantity_Sold]]*SalesData[[#This Row],[Unit_Cost]]</f>
        <v>89074.02</v>
      </c>
      <c r="O660">
        <f>SalesData[[#This Row],[Quantity_Sold]]*SalesData[[#This Row],[Unit_Price]]</f>
        <v>109701.48</v>
      </c>
      <c r="P660">
        <f>SalesData[[#This Row],[Gross_sales]]*(1-SalesData[[#This Row],[Discount]])</f>
        <v>84470.139599999995</v>
      </c>
      <c r="Q660" s="2">
        <f>SalesData[[#This Row],[Sales_amount]]-SalesData[[#This Row],[Total_Cost]]</f>
        <v>-4603.8804000000091</v>
      </c>
      <c r="R660" s="2">
        <f>SalesData[[#This Row],[Profit]]/SalesData[[#This Row],[Sales_amount]]</f>
        <v>-5.4503051868994533E-2</v>
      </c>
      <c r="S660" s="2">
        <f>SalesData[[#This Row],[Unit_Price]]-SalesData[[#This Row],[Unit_Cost]]</f>
        <v>491.13000000000011</v>
      </c>
      <c r="T660" s="10">
        <f>SalesData[[#This Row],[Unit_Margin]]/SalesData[[#This Row],[Unit_Price]]</f>
        <v>0.18803265006087433</v>
      </c>
      <c r="U660" s="2" t="str">
        <f>IF(SalesData[[#This Row],[Unit_Margin]]&lt;0, "Negative margin", "Positive margin")</f>
        <v>Positive margin</v>
      </c>
      <c r="V660" s="2" t="str">
        <f>IF(SalesData[[#This Row],[Profit]]&lt;0, "Loss", "Profit")</f>
        <v>Loss</v>
      </c>
      <c r="W660" s="2">
        <f>SalesData[[#This Row],[Unit_Price]]*(1-SalesData[[#This Row],[Discount]])</f>
        <v>2011.1938</v>
      </c>
      <c r="X660" s="2">
        <f>SalesData[[#This Row],[Effective_Unit_Price]]-SalesData[[#This Row],[Unit_Cost]]</f>
        <v>-109.61619999999994</v>
      </c>
      <c r="Y660" s="2" t="str">
        <f>IF(SalesData[[#This Row],[Effective_Unit_Margin]]&lt;0,"Loss per Unit","Positive per Unit")</f>
        <v>Loss per Unit</v>
      </c>
    </row>
    <row r="661" spans="1:25" x14ac:dyDescent="0.3">
      <c r="A661">
        <v>1058</v>
      </c>
      <c r="B661" s="1">
        <v>44994</v>
      </c>
      <c r="C661" t="s">
        <v>37</v>
      </c>
      <c r="D661" t="s">
        <v>24</v>
      </c>
      <c r="E661">
        <v>40</v>
      </c>
      <c r="F661" t="s">
        <v>15</v>
      </c>
      <c r="G661">
        <v>2249.7600000000002</v>
      </c>
      <c r="H661">
        <v>2598.4</v>
      </c>
      <c r="I661" t="s">
        <v>16</v>
      </c>
      <c r="J661" s="2">
        <v>0.18</v>
      </c>
      <c r="K661" t="s">
        <v>30</v>
      </c>
      <c r="L661" t="s">
        <v>21</v>
      </c>
      <c r="M661" t="s">
        <v>38</v>
      </c>
      <c r="N661">
        <f>SalesData[[#This Row],[Quantity_Sold]]*SalesData[[#This Row],[Unit_Cost]]</f>
        <v>89990.400000000009</v>
      </c>
      <c r="O661">
        <f>SalesData[[#This Row],[Quantity_Sold]]*SalesData[[#This Row],[Unit_Price]]</f>
        <v>103936</v>
      </c>
      <c r="P661">
        <f>SalesData[[#This Row],[Gross_sales]]*(1-SalesData[[#This Row],[Discount]])</f>
        <v>85227.520000000004</v>
      </c>
      <c r="Q661" s="2">
        <f>SalesData[[#This Row],[Sales_amount]]-SalesData[[#This Row],[Total_Cost]]</f>
        <v>-4762.8800000000047</v>
      </c>
      <c r="R661" s="2">
        <f>SalesData[[#This Row],[Profit]]/SalesData[[#This Row],[Sales_amount]]</f>
        <v>-5.5884296527694395E-2</v>
      </c>
      <c r="S661" s="2">
        <f>SalesData[[#This Row],[Unit_Price]]-SalesData[[#This Row],[Unit_Cost]]</f>
        <v>348.63999999999987</v>
      </c>
      <c r="T661" s="10">
        <f>SalesData[[#This Row],[Unit_Margin]]/SalesData[[#This Row],[Unit_Price]]</f>
        <v>0.1341748768472906</v>
      </c>
      <c r="U661" s="2" t="str">
        <f>IF(SalesData[[#This Row],[Unit_Margin]]&lt;0, "Negative margin", "Positive margin")</f>
        <v>Positive margin</v>
      </c>
      <c r="V661" s="2" t="str">
        <f>IF(SalesData[[#This Row],[Profit]]&lt;0, "Loss", "Profit")</f>
        <v>Loss</v>
      </c>
      <c r="W661" s="2">
        <f>SalesData[[#This Row],[Unit_Price]]*(1-SalesData[[#This Row],[Discount]])</f>
        <v>2130.6880000000001</v>
      </c>
      <c r="X661" s="2">
        <f>SalesData[[#This Row],[Effective_Unit_Price]]-SalesData[[#This Row],[Unit_Cost]]</f>
        <v>-119.07200000000012</v>
      </c>
      <c r="Y661" s="2" t="str">
        <f>IF(SalesData[[#This Row],[Effective_Unit_Margin]]&lt;0,"Loss per Unit","Positive per Unit")</f>
        <v>Loss per Unit</v>
      </c>
    </row>
    <row r="662" spans="1:25" x14ac:dyDescent="0.3">
      <c r="A662">
        <v>1017</v>
      </c>
      <c r="B662" s="1">
        <v>45283</v>
      </c>
      <c r="C662" t="s">
        <v>41</v>
      </c>
      <c r="D662" t="s">
        <v>33</v>
      </c>
      <c r="E662">
        <v>33</v>
      </c>
      <c r="F662" t="s">
        <v>25</v>
      </c>
      <c r="G662">
        <v>1551.25</v>
      </c>
      <c r="H662">
        <v>1994.01</v>
      </c>
      <c r="I662" t="s">
        <v>16</v>
      </c>
      <c r="J662" s="2">
        <v>0.08</v>
      </c>
      <c r="K662" t="s">
        <v>17</v>
      </c>
      <c r="L662" t="s">
        <v>18</v>
      </c>
      <c r="M662" t="s">
        <v>51</v>
      </c>
      <c r="N662">
        <f>SalesData[[#This Row],[Quantity_Sold]]*SalesData[[#This Row],[Unit_Cost]]</f>
        <v>51191.25</v>
      </c>
      <c r="O662">
        <f>SalesData[[#This Row],[Quantity_Sold]]*SalesData[[#This Row],[Unit_Price]]</f>
        <v>65802.33</v>
      </c>
      <c r="P662">
        <f>SalesData[[#This Row],[Gross_sales]]*(1-SalesData[[#This Row],[Discount]])</f>
        <v>60538.143600000003</v>
      </c>
      <c r="Q662" s="2">
        <f>SalesData[[#This Row],[Sales_amount]]-SalesData[[#This Row],[Total_Cost]]</f>
        <v>9346.8936000000031</v>
      </c>
      <c r="R662" s="2">
        <f>SalesData[[#This Row],[Profit]]/SalesData[[#This Row],[Sales_amount]]</f>
        <v>0.15439676614067832</v>
      </c>
      <c r="S662" s="2">
        <f>SalesData[[#This Row],[Unit_Price]]-SalesData[[#This Row],[Unit_Cost]]</f>
        <v>442.76</v>
      </c>
      <c r="T662" s="10">
        <f>SalesData[[#This Row],[Unit_Margin]]/SalesData[[#This Row],[Unit_Price]]</f>
        <v>0.22204502484942401</v>
      </c>
      <c r="U662" s="2" t="str">
        <f>IF(SalesData[[#This Row],[Unit_Margin]]&lt;0, "Negative margin", "Positive margin")</f>
        <v>Positive margin</v>
      </c>
      <c r="V662" s="2" t="str">
        <f>IF(SalesData[[#This Row],[Profit]]&lt;0, "Loss", "Profit")</f>
        <v>Profit</v>
      </c>
      <c r="W662" s="2">
        <f>SalesData[[#This Row],[Unit_Price]]*(1-SalesData[[#This Row],[Discount]])</f>
        <v>1834.4892</v>
      </c>
      <c r="X662" s="2">
        <f>SalesData[[#This Row],[Effective_Unit_Price]]-SalesData[[#This Row],[Unit_Cost]]</f>
        <v>283.23919999999998</v>
      </c>
      <c r="Y662" s="2" t="str">
        <f>IF(SalesData[[#This Row],[Effective_Unit_Margin]]&lt;0,"Loss per Unit","Positive per Unit")</f>
        <v>Positive per Unit</v>
      </c>
    </row>
    <row r="663" spans="1:25" x14ac:dyDescent="0.3">
      <c r="A663">
        <v>1007</v>
      </c>
      <c r="B663" s="1">
        <v>45024</v>
      </c>
      <c r="C663" t="s">
        <v>32</v>
      </c>
      <c r="D663" t="s">
        <v>33</v>
      </c>
      <c r="E663">
        <v>13</v>
      </c>
      <c r="F663" t="s">
        <v>28</v>
      </c>
      <c r="G663">
        <v>3597.2</v>
      </c>
      <c r="H663">
        <v>4071.8199999999902</v>
      </c>
      <c r="I663" t="s">
        <v>16</v>
      </c>
      <c r="J663" s="2">
        <v>0.28999999999999998</v>
      </c>
      <c r="K663" t="s">
        <v>26</v>
      </c>
      <c r="L663" t="s">
        <v>18</v>
      </c>
      <c r="M663" t="s">
        <v>35</v>
      </c>
      <c r="N663">
        <f>SalesData[[#This Row],[Quantity_Sold]]*SalesData[[#This Row],[Unit_Cost]]</f>
        <v>46763.6</v>
      </c>
      <c r="O663">
        <f>SalesData[[#This Row],[Quantity_Sold]]*SalesData[[#This Row],[Unit_Price]]</f>
        <v>52933.659999999873</v>
      </c>
      <c r="P663">
        <f>SalesData[[#This Row],[Gross_sales]]*(1-SalesData[[#This Row],[Discount]])</f>
        <v>37582.898599999906</v>
      </c>
      <c r="Q663" s="2">
        <f>SalesData[[#This Row],[Sales_amount]]-SalesData[[#This Row],[Total_Cost]]</f>
        <v>-9180.7014000000927</v>
      </c>
      <c r="R663" s="2">
        <f>SalesData[[#This Row],[Profit]]/SalesData[[#This Row],[Sales_amount]]</f>
        <v>-0.24427869435275851</v>
      </c>
      <c r="S663" s="2">
        <f>SalesData[[#This Row],[Unit_Price]]-SalesData[[#This Row],[Unit_Cost]]</f>
        <v>474.61999999999034</v>
      </c>
      <c r="T663" s="10">
        <f>SalesData[[#This Row],[Unit_Margin]]/SalesData[[#This Row],[Unit_Price]]</f>
        <v>0.11656212700954155</v>
      </c>
      <c r="U663" s="2" t="str">
        <f>IF(SalesData[[#This Row],[Unit_Margin]]&lt;0, "Negative margin", "Positive margin")</f>
        <v>Positive margin</v>
      </c>
      <c r="V663" s="2" t="str">
        <f>IF(SalesData[[#This Row],[Profit]]&lt;0, "Loss", "Profit")</f>
        <v>Loss</v>
      </c>
      <c r="W663" s="2">
        <f>SalesData[[#This Row],[Unit_Price]]*(1-SalesData[[#This Row],[Discount]])</f>
        <v>2890.9921999999929</v>
      </c>
      <c r="X663" s="2">
        <f>SalesData[[#This Row],[Effective_Unit_Price]]-SalesData[[#This Row],[Unit_Cost]]</f>
        <v>-706.20780000000696</v>
      </c>
      <c r="Y663" s="2" t="str">
        <f>IF(SalesData[[#This Row],[Effective_Unit_Margin]]&lt;0,"Loss per Unit","Positive per Unit")</f>
        <v>Loss per Unit</v>
      </c>
    </row>
    <row r="664" spans="1:25" x14ac:dyDescent="0.3">
      <c r="A664">
        <v>1046</v>
      </c>
      <c r="B664" s="1">
        <v>45193</v>
      </c>
      <c r="C664" t="s">
        <v>32</v>
      </c>
      <c r="D664" t="s">
        <v>20</v>
      </c>
      <c r="E664">
        <v>41</v>
      </c>
      <c r="F664" t="s">
        <v>28</v>
      </c>
      <c r="G664">
        <v>1825.37</v>
      </c>
      <c r="H664">
        <v>2073.88</v>
      </c>
      <c r="I664" t="s">
        <v>16</v>
      </c>
      <c r="J664" s="2">
        <v>0.27</v>
      </c>
      <c r="K664" t="s">
        <v>17</v>
      </c>
      <c r="L664" t="s">
        <v>21</v>
      </c>
      <c r="M664" t="s">
        <v>36</v>
      </c>
      <c r="N664">
        <f>SalesData[[#This Row],[Quantity_Sold]]*SalesData[[#This Row],[Unit_Cost]]</f>
        <v>74840.17</v>
      </c>
      <c r="O664">
        <f>SalesData[[#This Row],[Quantity_Sold]]*SalesData[[#This Row],[Unit_Price]]</f>
        <v>85029.08</v>
      </c>
      <c r="P664">
        <f>SalesData[[#This Row],[Gross_sales]]*(1-SalesData[[#This Row],[Discount]])</f>
        <v>62071.2284</v>
      </c>
      <c r="Q664" s="2">
        <f>SalesData[[#This Row],[Sales_amount]]-SalesData[[#This Row],[Total_Cost]]</f>
        <v>-12768.941599999998</v>
      </c>
      <c r="R664" s="2">
        <f>SalesData[[#This Row],[Profit]]/SalesData[[#This Row],[Sales_amount]]</f>
        <v>-0.20571433704701739</v>
      </c>
      <c r="S664" s="2">
        <f>SalesData[[#This Row],[Unit_Price]]-SalesData[[#This Row],[Unit_Cost]]</f>
        <v>248.51000000000022</v>
      </c>
      <c r="T664" s="10">
        <f>SalesData[[#This Row],[Unit_Margin]]/SalesData[[#This Row],[Unit_Price]]</f>
        <v>0.11982853395567739</v>
      </c>
      <c r="U664" s="2" t="str">
        <f>IF(SalesData[[#This Row],[Unit_Margin]]&lt;0, "Negative margin", "Positive margin")</f>
        <v>Positive margin</v>
      </c>
      <c r="V664" s="2" t="str">
        <f>IF(SalesData[[#This Row],[Profit]]&lt;0, "Loss", "Profit")</f>
        <v>Loss</v>
      </c>
      <c r="W664" s="2">
        <f>SalesData[[#This Row],[Unit_Price]]*(1-SalesData[[#This Row],[Discount]])</f>
        <v>1513.9324000000001</v>
      </c>
      <c r="X664" s="2">
        <f>SalesData[[#This Row],[Effective_Unit_Price]]-SalesData[[#This Row],[Unit_Cost]]</f>
        <v>-311.43759999999975</v>
      </c>
      <c r="Y664" s="2" t="str">
        <f>IF(SalesData[[#This Row],[Effective_Unit_Margin]]&lt;0,"Loss per Unit","Positive per Unit")</f>
        <v>Loss per Unit</v>
      </c>
    </row>
    <row r="665" spans="1:25" x14ac:dyDescent="0.3">
      <c r="A665">
        <v>1013</v>
      </c>
      <c r="B665" s="1">
        <v>45031</v>
      </c>
      <c r="C665" t="s">
        <v>37</v>
      </c>
      <c r="D665" t="s">
        <v>14</v>
      </c>
      <c r="E665">
        <v>42</v>
      </c>
      <c r="F665" t="s">
        <v>15</v>
      </c>
      <c r="G665">
        <v>1375.57</v>
      </c>
      <c r="H665">
        <v>1729.71</v>
      </c>
      <c r="I665" t="s">
        <v>29</v>
      </c>
      <c r="J665" s="2">
        <v>0.04</v>
      </c>
      <c r="K665" t="s">
        <v>17</v>
      </c>
      <c r="L665" t="s">
        <v>18</v>
      </c>
      <c r="M665" t="s">
        <v>39</v>
      </c>
      <c r="N665">
        <f>SalesData[[#This Row],[Quantity_Sold]]*SalesData[[#This Row],[Unit_Cost]]</f>
        <v>57773.939999999995</v>
      </c>
      <c r="O665">
        <f>SalesData[[#This Row],[Quantity_Sold]]*SalesData[[#This Row],[Unit_Price]]</f>
        <v>72647.820000000007</v>
      </c>
      <c r="P665">
        <f>SalesData[[#This Row],[Gross_sales]]*(1-SalesData[[#This Row],[Discount]])</f>
        <v>69741.907200000001</v>
      </c>
      <c r="Q665" s="2">
        <f>SalesData[[#This Row],[Sales_amount]]-SalesData[[#This Row],[Total_Cost]]</f>
        <v>11967.967200000006</v>
      </c>
      <c r="R665" s="2">
        <f>SalesData[[#This Row],[Profit]]/SalesData[[#This Row],[Sales_amount]]</f>
        <v>0.17160366959393972</v>
      </c>
      <c r="S665" s="2">
        <f>SalesData[[#This Row],[Unit_Price]]-SalesData[[#This Row],[Unit_Cost]]</f>
        <v>354.1400000000001</v>
      </c>
      <c r="T665" s="10">
        <f>SalesData[[#This Row],[Unit_Margin]]/SalesData[[#This Row],[Unit_Price]]</f>
        <v>0.2047395228101821</v>
      </c>
      <c r="U665" s="2" t="str">
        <f>IF(SalesData[[#This Row],[Unit_Margin]]&lt;0, "Negative margin", "Positive margin")</f>
        <v>Positive margin</v>
      </c>
      <c r="V665" s="2" t="str">
        <f>IF(SalesData[[#This Row],[Profit]]&lt;0, "Loss", "Profit")</f>
        <v>Profit</v>
      </c>
      <c r="W665" s="2">
        <f>SalesData[[#This Row],[Unit_Price]]*(1-SalesData[[#This Row],[Discount]])</f>
        <v>1660.5216</v>
      </c>
      <c r="X665" s="2">
        <f>SalesData[[#This Row],[Effective_Unit_Price]]-SalesData[[#This Row],[Unit_Cost]]</f>
        <v>284.9516000000001</v>
      </c>
      <c r="Y665" s="2" t="str">
        <f>IF(SalesData[[#This Row],[Effective_Unit_Margin]]&lt;0,"Loss per Unit","Positive per Unit")</f>
        <v>Positive per Unit</v>
      </c>
    </row>
    <row r="666" spans="1:25" x14ac:dyDescent="0.3">
      <c r="A666">
        <v>1040</v>
      </c>
      <c r="B666" s="1">
        <v>45249</v>
      </c>
      <c r="C666" t="s">
        <v>23</v>
      </c>
      <c r="D666" t="s">
        <v>14</v>
      </c>
      <c r="E666">
        <v>47</v>
      </c>
      <c r="F666" t="s">
        <v>34</v>
      </c>
      <c r="G666">
        <v>2189.54</v>
      </c>
      <c r="H666">
        <v>2617</v>
      </c>
      <c r="I666" t="s">
        <v>29</v>
      </c>
      <c r="J666" s="2">
        <v>0.01</v>
      </c>
      <c r="K666" t="s">
        <v>26</v>
      </c>
      <c r="L666" t="s">
        <v>18</v>
      </c>
      <c r="M666" t="s">
        <v>44</v>
      </c>
      <c r="N666">
        <f>SalesData[[#This Row],[Quantity_Sold]]*SalesData[[#This Row],[Unit_Cost]]</f>
        <v>102908.38</v>
      </c>
      <c r="O666">
        <f>SalesData[[#This Row],[Quantity_Sold]]*SalesData[[#This Row],[Unit_Price]]</f>
        <v>122999</v>
      </c>
      <c r="P666">
        <f>SalesData[[#This Row],[Gross_sales]]*(1-SalesData[[#This Row],[Discount]])</f>
        <v>121769.01</v>
      </c>
      <c r="Q666" s="2">
        <f>SalesData[[#This Row],[Sales_amount]]-SalesData[[#This Row],[Total_Cost]]</f>
        <v>18860.62999999999</v>
      </c>
      <c r="R666" s="2">
        <f>SalesData[[#This Row],[Profit]]/SalesData[[#This Row],[Sales_amount]]</f>
        <v>0.15488858782706694</v>
      </c>
      <c r="S666" s="2">
        <f>SalesData[[#This Row],[Unit_Price]]-SalesData[[#This Row],[Unit_Cost]]</f>
        <v>427.46000000000004</v>
      </c>
      <c r="T666" s="10">
        <f>SalesData[[#This Row],[Unit_Margin]]/SalesData[[#This Row],[Unit_Price]]</f>
        <v>0.16333970194879635</v>
      </c>
      <c r="U666" s="2" t="str">
        <f>IF(SalesData[[#This Row],[Unit_Margin]]&lt;0, "Negative margin", "Positive margin")</f>
        <v>Positive margin</v>
      </c>
      <c r="V666" s="2" t="str">
        <f>IF(SalesData[[#This Row],[Profit]]&lt;0, "Loss", "Profit")</f>
        <v>Profit</v>
      </c>
      <c r="W666" s="2">
        <f>SalesData[[#This Row],[Unit_Price]]*(1-SalesData[[#This Row],[Discount]])</f>
        <v>2590.83</v>
      </c>
      <c r="X666" s="2">
        <f>SalesData[[#This Row],[Effective_Unit_Price]]-SalesData[[#This Row],[Unit_Cost]]</f>
        <v>401.28999999999996</v>
      </c>
      <c r="Y666" s="2" t="str">
        <f>IF(SalesData[[#This Row],[Effective_Unit_Margin]]&lt;0,"Loss per Unit","Positive per Unit")</f>
        <v>Positive per Unit</v>
      </c>
    </row>
    <row r="667" spans="1:25" x14ac:dyDescent="0.3">
      <c r="A667">
        <v>1042</v>
      </c>
      <c r="B667" s="1">
        <v>45049</v>
      </c>
      <c r="C667" t="s">
        <v>41</v>
      </c>
      <c r="D667" t="s">
        <v>20</v>
      </c>
      <c r="E667">
        <v>37</v>
      </c>
      <c r="F667" t="s">
        <v>15</v>
      </c>
      <c r="G667">
        <v>502.86</v>
      </c>
      <c r="H667">
        <v>687.6</v>
      </c>
      <c r="I667" t="s">
        <v>16</v>
      </c>
      <c r="J667" s="2">
        <v>0.21</v>
      </c>
      <c r="K667" t="s">
        <v>17</v>
      </c>
      <c r="L667" t="s">
        <v>18</v>
      </c>
      <c r="M667" t="s">
        <v>50</v>
      </c>
      <c r="N667">
        <f>SalesData[[#This Row],[Quantity_Sold]]*SalesData[[#This Row],[Unit_Cost]]</f>
        <v>18605.82</v>
      </c>
      <c r="O667">
        <f>SalesData[[#This Row],[Quantity_Sold]]*SalesData[[#This Row],[Unit_Price]]</f>
        <v>25441.200000000001</v>
      </c>
      <c r="P667">
        <f>SalesData[[#This Row],[Gross_sales]]*(1-SalesData[[#This Row],[Discount]])</f>
        <v>20098.548000000003</v>
      </c>
      <c r="Q667" s="2">
        <f>SalesData[[#This Row],[Sales_amount]]-SalesData[[#This Row],[Total_Cost]]</f>
        <v>1492.7280000000028</v>
      </c>
      <c r="R667" s="2">
        <f>SalesData[[#This Row],[Profit]]/SalesData[[#This Row],[Sales_amount]]</f>
        <v>7.4270439834758339E-2</v>
      </c>
      <c r="S667" s="2">
        <f>SalesData[[#This Row],[Unit_Price]]-SalesData[[#This Row],[Unit_Cost]]</f>
        <v>184.74</v>
      </c>
      <c r="T667" s="10">
        <f>SalesData[[#This Row],[Unit_Margin]]/SalesData[[#This Row],[Unit_Price]]</f>
        <v>0.26867364746945899</v>
      </c>
      <c r="U667" s="2" t="str">
        <f>IF(SalesData[[#This Row],[Unit_Margin]]&lt;0, "Negative margin", "Positive margin")</f>
        <v>Positive margin</v>
      </c>
      <c r="V667" s="2" t="str">
        <f>IF(SalesData[[#This Row],[Profit]]&lt;0, "Loss", "Profit")</f>
        <v>Profit</v>
      </c>
      <c r="W667" s="2">
        <f>SalesData[[#This Row],[Unit_Price]]*(1-SalesData[[#This Row],[Discount]])</f>
        <v>543.20400000000006</v>
      </c>
      <c r="X667" s="2">
        <f>SalesData[[#This Row],[Effective_Unit_Price]]-SalesData[[#This Row],[Unit_Cost]]</f>
        <v>40.344000000000051</v>
      </c>
      <c r="Y667" s="2" t="str">
        <f>IF(SalesData[[#This Row],[Effective_Unit_Margin]]&lt;0,"Loss per Unit","Positive per Unit")</f>
        <v>Positive per Unit</v>
      </c>
    </row>
    <row r="668" spans="1:25" x14ac:dyDescent="0.3">
      <c r="A668">
        <v>1009</v>
      </c>
      <c r="B668" s="1">
        <v>44955</v>
      </c>
      <c r="C668" t="s">
        <v>37</v>
      </c>
      <c r="D668" t="s">
        <v>20</v>
      </c>
      <c r="E668">
        <v>16</v>
      </c>
      <c r="F668" t="s">
        <v>28</v>
      </c>
      <c r="G668">
        <v>3745.69</v>
      </c>
      <c r="H668">
        <v>3883.77</v>
      </c>
      <c r="I668" t="s">
        <v>16</v>
      </c>
      <c r="J668" s="2">
        <v>0.18</v>
      </c>
      <c r="K668" t="s">
        <v>26</v>
      </c>
      <c r="L668" t="s">
        <v>21</v>
      </c>
      <c r="M668" t="s">
        <v>40</v>
      </c>
      <c r="N668">
        <f>SalesData[[#This Row],[Quantity_Sold]]*SalesData[[#This Row],[Unit_Cost]]</f>
        <v>59931.040000000001</v>
      </c>
      <c r="O668">
        <f>SalesData[[#This Row],[Quantity_Sold]]*SalesData[[#This Row],[Unit_Price]]</f>
        <v>62140.32</v>
      </c>
      <c r="P668">
        <f>SalesData[[#This Row],[Gross_sales]]*(1-SalesData[[#This Row],[Discount]])</f>
        <v>50955.062400000003</v>
      </c>
      <c r="Q668" s="2">
        <f>SalesData[[#This Row],[Sales_amount]]-SalesData[[#This Row],[Total_Cost]]</f>
        <v>-8975.9775999999983</v>
      </c>
      <c r="R668" s="2">
        <f>SalesData[[#This Row],[Profit]]/SalesData[[#This Row],[Sales_amount]]</f>
        <v>-0.17615477593841583</v>
      </c>
      <c r="S668" s="2">
        <f>SalesData[[#This Row],[Unit_Price]]-SalesData[[#This Row],[Unit_Cost]]</f>
        <v>138.07999999999993</v>
      </c>
      <c r="T668" s="10">
        <f>SalesData[[#This Row],[Unit_Margin]]/SalesData[[#This Row],[Unit_Price]]</f>
        <v>3.5553083730498952E-2</v>
      </c>
      <c r="U668" s="2" t="str">
        <f>IF(SalesData[[#This Row],[Unit_Margin]]&lt;0, "Negative margin", "Positive margin")</f>
        <v>Positive margin</v>
      </c>
      <c r="V668" s="2" t="str">
        <f>IF(SalesData[[#This Row],[Profit]]&lt;0, "Loss", "Profit")</f>
        <v>Loss</v>
      </c>
      <c r="W668" s="2">
        <f>SalesData[[#This Row],[Unit_Price]]*(1-SalesData[[#This Row],[Discount]])</f>
        <v>3184.6914000000002</v>
      </c>
      <c r="X668" s="2">
        <f>SalesData[[#This Row],[Effective_Unit_Price]]-SalesData[[#This Row],[Unit_Cost]]</f>
        <v>-560.9985999999999</v>
      </c>
      <c r="Y668" s="2" t="str">
        <f>IF(SalesData[[#This Row],[Effective_Unit_Margin]]&lt;0,"Loss per Unit","Positive per Unit")</f>
        <v>Loss per Unit</v>
      </c>
    </row>
    <row r="669" spans="1:25" x14ac:dyDescent="0.3">
      <c r="A669">
        <v>1050</v>
      </c>
      <c r="B669" s="1">
        <v>45063</v>
      </c>
      <c r="C669" t="s">
        <v>13</v>
      </c>
      <c r="D669" t="s">
        <v>14</v>
      </c>
      <c r="E669">
        <v>45</v>
      </c>
      <c r="F669" t="s">
        <v>15</v>
      </c>
      <c r="G669">
        <v>112.35</v>
      </c>
      <c r="H669">
        <v>586.17999999999995</v>
      </c>
      <c r="I669" t="s">
        <v>16</v>
      </c>
      <c r="J669" s="2">
        <v>0.28000000000000003</v>
      </c>
      <c r="K669" t="s">
        <v>30</v>
      </c>
      <c r="L669" t="s">
        <v>21</v>
      </c>
      <c r="M669" t="s">
        <v>19</v>
      </c>
      <c r="N669">
        <f>SalesData[[#This Row],[Quantity_Sold]]*SalesData[[#This Row],[Unit_Cost]]</f>
        <v>5055.75</v>
      </c>
      <c r="O669">
        <f>SalesData[[#This Row],[Quantity_Sold]]*SalesData[[#This Row],[Unit_Price]]</f>
        <v>26378.1</v>
      </c>
      <c r="P669">
        <f>SalesData[[#This Row],[Gross_sales]]*(1-SalesData[[#This Row],[Discount]])</f>
        <v>18992.232</v>
      </c>
      <c r="Q669" s="2">
        <f>SalesData[[#This Row],[Sales_amount]]-SalesData[[#This Row],[Total_Cost]]</f>
        <v>13936.482</v>
      </c>
      <c r="R669" s="2">
        <f>SalesData[[#This Row],[Profit]]/SalesData[[#This Row],[Sales_amount]]</f>
        <v>0.73379906058434841</v>
      </c>
      <c r="S669" s="2">
        <f>SalesData[[#This Row],[Unit_Price]]-SalesData[[#This Row],[Unit_Cost]]</f>
        <v>473.82999999999993</v>
      </c>
      <c r="T669" s="10">
        <f>SalesData[[#This Row],[Unit_Margin]]/SalesData[[#This Row],[Unit_Price]]</f>
        <v>0.80833532362073079</v>
      </c>
      <c r="U669" s="2" t="str">
        <f>IF(SalesData[[#This Row],[Unit_Margin]]&lt;0, "Negative margin", "Positive margin")</f>
        <v>Positive margin</v>
      </c>
      <c r="V669" s="2" t="str">
        <f>IF(SalesData[[#This Row],[Profit]]&lt;0, "Loss", "Profit")</f>
        <v>Profit</v>
      </c>
      <c r="W669" s="2">
        <f>SalesData[[#This Row],[Unit_Price]]*(1-SalesData[[#This Row],[Discount]])</f>
        <v>422.04959999999994</v>
      </c>
      <c r="X669" s="2">
        <f>SalesData[[#This Row],[Effective_Unit_Price]]-SalesData[[#This Row],[Unit_Cost]]</f>
        <v>309.69959999999992</v>
      </c>
      <c r="Y669" s="2" t="str">
        <f>IF(SalesData[[#This Row],[Effective_Unit_Margin]]&lt;0,"Loss per Unit","Positive per Unit")</f>
        <v>Positive per Unit</v>
      </c>
    </row>
    <row r="670" spans="1:25" x14ac:dyDescent="0.3">
      <c r="A670">
        <v>1027</v>
      </c>
      <c r="B670" s="1">
        <v>45121</v>
      </c>
      <c r="C670" t="s">
        <v>13</v>
      </c>
      <c r="D670" t="s">
        <v>24</v>
      </c>
      <c r="E670">
        <v>22</v>
      </c>
      <c r="F670" t="s">
        <v>25</v>
      </c>
      <c r="G670">
        <v>3240.2</v>
      </c>
      <c r="H670">
        <v>3606.0899999999901</v>
      </c>
      <c r="I670" t="s">
        <v>29</v>
      </c>
      <c r="J670" s="2">
        <v>7.0000000000000007E-2</v>
      </c>
      <c r="K670" t="s">
        <v>17</v>
      </c>
      <c r="L670" t="s">
        <v>18</v>
      </c>
      <c r="M670" t="s">
        <v>31</v>
      </c>
      <c r="N670">
        <f>SalesData[[#This Row],[Quantity_Sold]]*SalesData[[#This Row],[Unit_Cost]]</f>
        <v>71284.399999999994</v>
      </c>
      <c r="O670">
        <f>SalesData[[#This Row],[Quantity_Sold]]*SalesData[[#This Row],[Unit_Price]]</f>
        <v>79333.979999999778</v>
      </c>
      <c r="P670">
        <f>SalesData[[#This Row],[Gross_sales]]*(1-SalesData[[#This Row],[Discount]])</f>
        <v>73780.601399999781</v>
      </c>
      <c r="Q670" s="2">
        <f>SalesData[[#This Row],[Sales_amount]]-SalesData[[#This Row],[Total_Cost]]</f>
        <v>2496.2013999997871</v>
      </c>
      <c r="R670" s="2">
        <f>SalesData[[#This Row],[Profit]]/SalesData[[#This Row],[Sales_amount]]</f>
        <v>3.3832760273485578E-2</v>
      </c>
      <c r="S670" s="2">
        <f>SalesData[[#This Row],[Unit_Price]]-SalesData[[#This Row],[Unit_Cost]]</f>
        <v>365.88999999999032</v>
      </c>
      <c r="T670" s="10">
        <f>SalesData[[#This Row],[Unit_Margin]]/SalesData[[#This Row],[Unit_Price]]</f>
        <v>0.10146446705434177</v>
      </c>
      <c r="U670" s="2" t="str">
        <f>IF(SalesData[[#This Row],[Unit_Margin]]&lt;0, "Negative margin", "Positive margin")</f>
        <v>Positive margin</v>
      </c>
      <c r="V670" s="2" t="str">
        <f>IF(SalesData[[#This Row],[Profit]]&lt;0, "Loss", "Profit")</f>
        <v>Profit</v>
      </c>
      <c r="W670" s="2">
        <f>SalesData[[#This Row],[Unit_Price]]*(1-SalesData[[#This Row],[Discount]])</f>
        <v>3353.6636999999905</v>
      </c>
      <c r="X670" s="2">
        <f>SalesData[[#This Row],[Effective_Unit_Price]]-SalesData[[#This Row],[Unit_Cost]]</f>
        <v>113.46369999999069</v>
      </c>
      <c r="Y670" s="2" t="str">
        <f>IF(SalesData[[#This Row],[Effective_Unit_Margin]]&lt;0,"Loss per Unit","Positive per Unit")</f>
        <v>Positive per Unit</v>
      </c>
    </row>
    <row r="671" spans="1:25" x14ac:dyDescent="0.3">
      <c r="A671">
        <v>1066</v>
      </c>
      <c r="B671" s="1">
        <v>45152</v>
      </c>
      <c r="C671" t="s">
        <v>41</v>
      </c>
      <c r="D671" t="s">
        <v>24</v>
      </c>
      <c r="E671">
        <v>20</v>
      </c>
      <c r="F671" t="s">
        <v>34</v>
      </c>
      <c r="G671">
        <v>955.18</v>
      </c>
      <c r="H671">
        <v>1072.82</v>
      </c>
      <c r="I671" t="s">
        <v>29</v>
      </c>
      <c r="J671" s="2">
        <v>0.03</v>
      </c>
      <c r="K671" t="s">
        <v>26</v>
      </c>
      <c r="L671" t="s">
        <v>21</v>
      </c>
      <c r="M671" t="s">
        <v>42</v>
      </c>
      <c r="N671">
        <f>SalesData[[#This Row],[Quantity_Sold]]*SalesData[[#This Row],[Unit_Cost]]</f>
        <v>19103.599999999999</v>
      </c>
      <c r="O671">
        <f>SalesData[[#This Row],[Quantity_Sold]]*SalesData[[#This Row],[Unit_Price]]</f>
        <v>21456.399999999998</v>
      </c>
      <c r="P671">
        <f>SalesData[[#This Row],[Gross_sales]]*(1-SalesData[[#This Row],[Discount]])</f>
        <v>20812.707999999999</v>
      </c>
      <c r="Q671" s="2">
        <f>SalesData[[#This Row],[Sales_amount]]-SalesData[[#This Row],[Total_Cost]]</f>
        <v>1709.1080000000002</v>
      </c>
      <c r="R671" s="2">
        <f>SalesData[[#This Row],[Profit]]/SalesData[[#This Row],[Sales_amount]]</f>
        <v>8.2118482611681295E-2</v>
      </c>
      <c r="S671" s="2">
        <f>SalesData[[#This Row],[Unit_Price]]-SalesData[[#This Row],[Unit_Cost]]</f>
        <v>117.63999999999999</v>
      </c>
      <c r="T671" s="10">
        <f>SalesData[[#This Row],[Unit_Margin]]/SalesData[[#This Row],[Unit_Price]]</f>
        <v>0.10965492813333085</v>
      </c>
      <c r="U671" s="2" t="str">
        <f>IF(SalesData[[#This Row],[Unit_Margin]]&lt;0, "Negative margin", "Positive margin")</f>
        <v>Positive margin</v>
      </c>
      <c r="V671" s="2" t="str">
        <f>IF(SalesData[[#This Row],[Profit]]&lt;0, "Loss", "Profit")</f>
        <v>Profit</v>
      </c>
      <c r="W671" s="2">
        <f>SalesData[[#This Row],[Unit_Price]]*(1-SalesData[[#This Row],[Discount]])</f>
        <v>1040.6353999999999</v>
      </c>
      <c r="X671" s="2">
        <f>SalesData[[#This Row],[Effective_Unit_Price]]-SalesData[[#This Row],[Unit_Cost]]</f>
        <v>85.455399999999941</v>
      </c>
      <c r="Y671" s="2" t="str">
        <f>IF(SalesData[[#This Row],[Effective_Unit_Margin]]&lt;0,"Loss per Unit","Positive per Unit")</f>
        <v>Positive per Unit</v>
      </c>
    </row>
    <row r="672" spans="1:25" x14ac:dyDescent="0.3">
      <c r="A672">
        <v>1005</v>
      </c>
      <c r="B672" s="1">
        <v>45258</v>
      </c>
      <c r="C672" t="s">
        <v>23</v>
      </c>
      <c r="D672" t="s">
        <v>20</v>
      </c>
      <c r="E672">
        <v>43</v>
      </c>
      <c r="F672" t="s">
        <v>15</v>
      </c>
      <c r="G672">
        <v>1200.4000000000001</v>
      </c>
      <c r="H672">
        <v>1430.45</v>
      </c>
      <c r="I672" t="s">
        <v>29</v>
      </c>
      <c r="J672" s="2">
        <v>0.08</v>
      </c>
      <c r="K672" t="s">
        <v>26</v>
      </c>
      <c r="L672" t="s">
        <v>21</v>
      </c>
      <c r="M672" t="s">
        <v>46</v>
      </c>
      <c r="N672">
        <f>SalesData[[#This Row],[Quantity_Sold]]*SalesData[[#This Row],[Unit_Cost]]</f>
        <v>51617.200000000004</v>
      </c>
      <c r="O672">
        <f>SalesData[[#This Row],[Quantity_Sold]]*SalesData[[#This Row],[Unit_Price]]</f>
        <v>61509.35</v>
      </c>
      <c r="P672">
        <f>SalesData[[#This Row],[Gross_sales]]*(1-SalesData[[#This Row],[Discount]])</f>
        <v>56588.601999999999</v>
      </c>
      <c r="Q672" s="2">
        <f>SalesData[[#This Row],[Sales_amount]]-SalesData[[#This Row],[Total_Cost]]</f>
        <v>4971.4019999999946</v>
      </c>
      <c r="R672" s="2">
        <f>SalesData[[#This Row],[Profit]]/SalesData[[#This Row],[Sales_amount]]</f>
        <v>8.7851648994615464E-2</v>
      </c>
      <c r="S672" s="2">
        <f>SalesData[[#This Row],[Unit_Price]]-SalesData[[#This Row],[Unit_Cost]]</f>
        <v>230.04999999999995</v>
      </c>
      <c r="T672" s="10">
        <f>SalesData[[#This Row],[Unit_Margin]]/SalesData[[#This Row],[Unit_Price]]</f>
        <v>0.16082351707504627</v>
      </c>
      <c r="U672" s="2" t="str">
        <f>IF(SalesData[[#This Row],[Unit_Margin]]&lt;0, "Negative margin", "Positive margin")</f>
        <v>Positive margin</v>
      </c>
      <c r="V672" s="2" t="str">
        <f>IF(SalesData[[#This Row],[Profit]]&lt;0, "Loss", "Profit")</f>
        <v>Profit</v>
      </c>
      <c r="W672" s="2">
        <f>SalesData[[#This Row],[Unit_Price]]*(1-SalesData[[#This Row],[Discount]])</f>
        <v>1316.0140000000001</v>
      </c>
      <c r="X672" s="2">
        <f>SalesData[[#This Row],[Effective_Unit_Price]]-SalesData[[#This Row],[Unit_Cost]]</f>
        <v>115.61400000000003</v>
      </c>
      <c r="Y672" s="2" t="str">
        <f>IF(SalesData[[#This Row],[Effective_Unit_Margin]]&lt;0,"Loss per Unit","Positive per Unit")</f>
        <v>Positive per Unit</v>
      </c>
    </row>
    <row r="673" spans="1:25" x14ac:dyDescent="0.3">
      <c r="A673">
        <v>1029</v>
      </c>
      <c r="B673" s="1">
        <v>45096</v>
      </c>
      <c r="C673" t="s">
        <v>37</v>
      </c>
      <c r="D673" t="s">
        <v>24</v>
      </c>
      <c r="E673">
        <v>27</v>
      </c>
      <c r="F673" t="s">
        <v>25</v>
      </c>
      <c r="G673">
        <v>3196.38</v>
      </c>
      <c r="H673">
        <v>3596.64</v>
      </c>
      <c r="I673" t="s">
        <v>29</v>
      </c>
      <c r="J673" s="2">
        <v>0.01</v>
      </c>
      <c r="K673" t="s">
        <v>17</v>
      </c>
      <c r="L673" t="s">
        <v>21</v>
      </c>
      <c r="M673" t="s">
        <v>38</v>
      </c>
      <c r="N673">
        <f>SalesData[[#This Row],[Quantity_Sold]]*SalesData[[#This Row],[Unit_Cost]]</f>
        <v>86302.260000000009</v>
      </c>
      <c r="O673">
        <f>SalesData[[#This Row],[Quantity_Sold]]*SalesData[[#This Row],[Unit_Price]]</f>
        <v>97109.28</v>
      </c>
      <c r="P673">
        <f>SalesData[[#This Row],[Gross_sales]]*(1-SalesData[[#This Row],[Discount]])</f>
        <v>96138.1872</v>
      </c>
      <c r="Q673" s="2">
        <f>SalesData[[#This Row],[Sales_amount]]-SalesData[[#This Row],[Total_Cost]]</f>
        <v>9835.927199999991</v>
      </c>
      <c r="R673" s="2">
        <f>SalesData[[#This Row],[Profit]]/SalesData[[#This Row],[Sales_amount]]</f>
        <v>0.10231030443228485</v>
      </c>
      <c r="S673" s="2">
        <f>SalesData[[#This Row],[Unit_Price]]-SalesData[[#This Row],[Unit_Cost]]</f>
        <v>400.25999999999976</v>
      </c>
      <c r="T673" s="10">
        <f>SalesData[[#This Row],[Unit_Margin]]/SalesData[[#This Row],[Unit_Price]]</f>
        <v>0.11128720138796204</v>
      </c>
      <c r="U673" s="2" t="str">
        <f>IF(SalesData[[#This Row],[Unit_Margin]]&lt;0, "Negative margin", "Positive margin")</f>
        <v>Positive margin</v>
      </c>
      <c r="V673" s="2" t="str">
        <f>IF(SalesData[[#This Row],[Profit]]&lt;0, "Loss", "Profit")</f>
        <v>Profit</v>
      </c>
      <c r="W673" s="2">
        <f>SalesData[[#This Row],[Unit_Price]]*(1-SalesData[[#This Row],[Discount]])</f>
        <v>3560.6735999999996</v>
      </c>
      <c r="X673" s="2">
        <f>SalesData[[#This Row],[Effective_Unit_Price]]-SalesData[[#This Row],[Unit_Cost]]</f>
        <v>364.29359999999951</v>
      </c>
      <c r="Y673" s="2" t="str">
        <f>IF(SalesData[[#This Row],[Effective_Unit_Margin]]&lt;0,"Loss per Unit","Positive per Unit")</f>
        <v>Positive per Unit</v>
      </c>
    </row>
    <row r="674" spans="1:25" x14ac:dyDescent="0.3">
      <c r="A674">
        <v>1037</v>
      </c>
      <c r="B674" s="1">
        <v>44935</v>
      </c>
      <c r="C674" t="s">
        <v>32</v>
      </c>
      <c r="D674" t="s">
        <v>14</v>
      </c>
      <c r="E674">
        <v>41</v>
      </c>
      <c r="F674" t="s">
        <v>28</v>
      </c>
      <c r="G674">
        <v>4965.07</v>
      </c>
      <c r="H674">
        <v>5243.13</v>
      </c>
      <c r="I674" t="s">
        <v>29</v>
      </c>
      <c r="J674" s="2">
        <v>0.01</v>
      </c>
      <c r="K674" t="s">
        <v>30</v>
      </c>
      <c r="L674" t="s">
        <v>18</v>
      </c>
      <c r="M674" t="s">
        <v>52</v>
      </c>
      <c r="N674">
        <f>SalesData[[#This Row],[Quantity_Sold]]*SalesData[[#This Row],[Unit_Cost]]</f>
        <v>203567.87</v>
      </c>
      <c r="O674">
        <f>SalesData[[#This Row],[Quantity_Sold]]*SalesData[[#This Row],[Unit_Price]]</f>
        <v>214968.33000000002</v>
      </c>
      <c r="P674">
        <f>SalesData[[#This Row],[Gross_sales]]*(1-SalesData[[#This Row],[Discount]])</f>
        <v>212818.64670000001</v>
      </c>
      <c r="Q674" s="2">
        <f>SalesData[[#This Row],[Sales_amount]]-SalesData[[#This Row],[Total_Cost]]</f>
        <v>9250.7767000000167</v>
      </c>
      <c r="R674" s="2">
        <f>SalesData[[#This Row],[Profit]]/SalesData[[#This Row],[Sales_amount]]</f>
        <v>4.346788612484874E-2</v>
      </c>
      <c r="S674" s="2">
        <f>SalesData[[#This Row],[Unit_Price]]-SalesData[[#This Row],[Unit_Cost]]</f>
        <v>278.0600000000004</v>
      </c>
      <c r="T674" s="10">
        <f>SalesData[[#This Row],[Unit_Margin]]/SalesData[[#This Row],[Unit_Price]]</f>
        <v>5.3033207263600252E-2</v>
      </c>
      <c r="U674" s="2" t="str">
        <f>IF(SalesData[[#This Row],[Unit_Margin]]&lt;0, "Negative margin", "Positive margin")</f>
        <v>Positive margin</v>
      </c>
      <c r="V674" s="2" t="str">
        <f>IF(SalesData[[#This Row],[Profit]]&lt;0, "Loss", "Profit")</f>
        <v>Profit</v>
      </c>
      <c r="W674" s="2">
        <f>SalesData[[#This Row],[Unit_Price]]*(1-SalesData[[#This Row],[Discount]])</f>
        <v>5190.6986999999999</v>
      </c>
      <c r="X674" s="2">
        <f>SalesData[[#This Row],[Effective_Unit_Price]]-SalesData[[#This Row],[Unit_Cost]]</f>
        <v>225.62870000000021</v>
      </c>
      <c r="Y674" s="2" t="str">
        <f>IF(SalesData[[#This Row],[Effective_Unit_Margin]]&lt;0,"Loss per Unit","Positive per Unit")</f>
        <v>Positive per Unit</v>
      </c>
    </row>
    <row r="675" spans="1:25" x14ac:dyDescent="0.3">
      <c r="A675">
        <v>1038</v>
      </c>
      <c r="B675" s="1">
        <v>44966</v>
      </c>
      <c r="C675" t="s">
        <v>41</v>
      </c>
      <c r="D675" t="s">
        <v>33</v>
      </c>
      <c r="E675">
        <v>16</v>
      </c>
      <c r="F675" t="s">
        <v>15</v>
      </c>
      <c r="G675">
        <v>3899.7</v>
      </c>
      <c r="H675">
        <v>4228.18</v>
      </c>
      <c r="I675" t="s">
        <v>29</v>
      </c>
      <c r="J675" s="2">
        <v>0.27</v>
      </c>
      <c r="K675" t="s">
        <v>17</v>
      </c>
      <c r="L675" t="s">
        <v>21</v>
      </c>
      <c r="M675" t="s">
        <v>51</v>
      </c>
      <c r="N675">
        <f>SalesData[[#This Row],[Quantity_Sold]]*SalesData[[#This Row],[Unit_Cost]]</f>
        <v>62395.199999999997</v>
      </c>
      <c r="O675">
        <f>SalesData[[#This Row],[Quantity_Sold]]*SalesData[[#This Row],[Unit_Price]]</f>
        <v>67650.880000000005</v>
      </c>
      <c r="P675">
        <f>SalesData[[#This Row],[Gross_sales]]*(1-SalesData[[#This Row],[Discount]])</f>
        <v>49385.142400000004</v>
      </c>
      <c r="Q675" s="2">
        <f>SalesData[[#This Row],[Sales_amount]]-SalesData[[#This Row],[Total_Cost]]</f>
        <v>-13010.057599999993</v>
      </c>
      <c r="R675" s="2">
        <f>SalesData[[#This Row],[Profit]]/SalesData[[#This Row],[Sales_amount]]</f>
        <v>-0.26344072260891144</v>
      </c>
      <c r="S675" s="2">
        <f>SalesData[[#This Row],[Unit_Price]]-SalesData[[#This Row],[Unit_Cost]]</f>
        <v>328.48000000000047</v>
      </c>
      <c r="T675" s="10">
        <f>SalesData[[#This Row],[Unit_Margin]]/SalesData[[#This Row],[Unit_Price]]</f>
        <v>7.768827249549462E-2</v>
      </c>
      <c r="U675" s="2" t="str">
        <f>IF(SalesData[[#This Row],[Unit_Margin]]&lt;0, "Negative margin", "Positive margin")</f>
        <v>Positive margin</v>
      </c>
      <c r="V675" s="2" t="str">
        <f>IF(SalesData[[#This Row],[Profit]]&lt;0, "Loss", "Profit")</f>
        <v>Loss</v>
      </c>
      <c r="W675" s="2">
        <f>SalesData[[#This Row],[Unit_Price]]*(1-SalesData[[#This Row],[Discount]])</f>
        <v>3086.5714000000003</v>
      </c>
      <c r="X675" s="2">
        <f>SalesData[[#This Row],[Effective_Unit_Price]]-SalesData[[#This Row],[Unit_Cost]]</f>
        <v>-813.12859999999955</v>
      </c>
      <c r="Y675" s="2" t="str">
        <f>IF(SalesData[[#This Row],[Effective_Unit_Margin]]&lt;0,"Loss per Unit","Positive per Unit")</f>
        <v>Loss per Unit</v>
      </c>
    </row>
    <row r="676" spans="1:25" x14ac:dyDescent="0.3">
      <c r="A676">
        <v>1083</v>
      </c>
      <c r="B676" s="1">
        <v>44951</v>
      </c>
      <c r="C676" t="s">
        <v>23</v>
      </c>
      <c r="D676" t="s">
        <v>33</v>
      </c>
      <c r="E676">
        <v>34</v>
      </c>
      <c r="F676" t="s">
        <v>28</v>
      </c>
      <c r="G676">
        <v>1167.9100000000001</v>
      </c>
      <c r="H676">
        <v>1547.26</v>
      </c>
      <c r="I676" t="s">
        <v>29</v>
      </c>
      <c r="J676" s="2">
        <v>0.11</v>
      </c>
      <c r="K676" t="s">
        <v>26</v>
      </c>
      <c r="L676" t="s">
        <v>18</v>
      </c>
      <c r="M676" t="s">
        <v>49</v>
      </c>
      <c r="N676">
        <f>SalesData[[#This Row],[Quantity_Sold]]*SalesData[[#This Row],[Unit_Cost]]</f>
        <v>39708.94</v>
      </c>
      <c r="O676">
        <f>SalesData[[#This Row],[Quantity_Sold]]*SalesData[[#This Row],[Unit_Price]]</f>
        <v>52606.84</v>
      </c>
      <c r="P676">
        <f>SalesData[[#This Row],[Gross_sales]]*(1-SalesData[[#This Row],[Discount]])</f>
        <v>46820.087599999999</v>
      </c>
      <c r="Q676" s="2">
        <f>SalesData[[#This Row],[Sales_amount]]-SalesData[[#This Row],[Total_Cost]]</f>
        <v>7111.1475999999966</v>
      </c>
      <c r="R676" s="2">
        <f>SalesData[[#This Row],[Profit]]/SalesData[[#This Row],[Sales_amount]]</f>
        <v>0.15188240698635508</v>
      </c>
      <c r="S676" s="2">
        <f>SalesData[[#This Row],[Unit_Price]]-SalesData[[#This Row],[Unit_Cost]]</f>
        <v>379.34999999999991</v>
      </c>
      <c r="T676" s="10">
        <f>SalesData[[#This Row],[Unit_Margin]]/SalesData[[#This Row],[Unit_Price]]</f>
        <v>0.24517534221785603</v>
      </c>
      <c r="U676" s="2" t="str">
        <f>IF(SalesData[[#This Row],[Unit_Margin]]&lt;0, "Negative margin", "Positive margin")</f>
        <v>Positive margin</v>
      </c>
      <c r="V676" s="2" t="str">
        <f>IF(SalesData[[#This Row],[Profit]]&lt;0, "Loss", "Profit")</f>
        <v>Profit</v>
      </c>
      <c r="W676" s="2">
        <f>SalesData[[#This Row],[Unit_Price]]*(1-SalesData[[#This Row],[Discount]])</f>
        <v>1377.0614</v>
      </c>
      <c r="X676" s="2">
        <f>SalesData[[#This Row],[Effective_Unit_Price]]-SalesData[[#This Row],[Unit_Cost]]</f>
        <v>209.15139999999997</v>
      </c>
      <c r="Y676" s="2" t="str">
        <f>IF(SalesData[[#This Row],[Effective_Unit_Margin]]&lt;0,"Loss per Unit","Positive per Unit")</f>
        <v>Positive per Unit</v>
      </c>
    </row>
    <row r="677" spans="1:25" x14ac:dyDescent="0.3">
      <c r="A677">
        <v>1008</v>
      </c>
      <c r="B677" s="1">
        <v>45187</v>
      </c>
      <c r="C677" t="s">
        <v>32</v>
      </c>
      <c r="D677" t="s">
        <v>24</v>
      </c>
      <c r="E677">
        <v>32</v>
      </c>
      <c r="F677" t="s">
        <v>25</v>
      </c>
      <c r="G677">
        <v>921.32</v>
      </c>
      <c r="H677">
        <v>1236.0999999999999</v>
      </c>
      <c r="I677" t="s">
        <v>29</v>
      </c>
      <c r="J677" s="2">
        <v>0.12</v>
      </c>
      <c r="K677" t="s">
        <v>30</v>
      </c>
      <c r="L677" t="s">
        <v>18</v>
      </c>
      <c r="M677" t="s">
        <v>43</v>
      </c>
      <c r="N677">
        <f>SalesData[[#This Row],[Quantity_Sold]]*SalesData[[#This Row],[Unit_Cost]]</f>
        <v>29482.240000000002</v>
      </c>
      <c r="O677">
        <f>SalesData[[#This Row],[Quantity_Sold]]*SalesData[[#This Row],[Unit_Price]]</f>
        <v>39555.199999999997</v>
      </c>
      <c r="P677">
        <f>SalesData[[#This Row],[Gross_sales]]*(1-SalesData[[#This Row],[Discount]])</f>
        <v>34808.576000000001</v>
      </c>
      <c r="Q677" s="2">
        <f>SalesData[[#This Row],[Sales_amount]]-SalesData[[#This Row],[Total_Cost]]</f>
        <v>5326.3359999999993</v>
      </c>
      <c r="R677" s="2">
        <f>SalesData[[#This Row],[Profit]]/SalesData[[#This Row],[Sales_amount]]</f>
        <v>0.1530179229394503</v>
      </c>
      <c r="S677" s="2">
        <f>SalesData[[#This Row],[Unit_Price]]-SalesData[[#This Row],[Unit_Cost]]</f>
        <v>314.77999999999986</v>
      </c>
      <c r="T677" s="10">
        <f>SalesData[[#This Row],[Unit_Margin]]/SalesData[[#This Row],[Unit_Price]]</f>
        <v>0.2546557721867162</v>
      </c>
      <c r="U677" s="2" t="str">
        <f>IF(SalesData[[#This Row],[Unit_Margin]]&lt;0, "Negative margin", "Positive margin")</f>
        <v>Positive margin</v>
      </c>
      <c r="V677" s="2" t="str">
        <f>IF(SalesData[[#This Row],[Profit]]&lt;0, "Loss", "Profit")</f>
        <v>Profit</v>
      </c>
      <c r="W677" s="2">
        <f>SalesData[[#This Row],[Unit_Price]]*(1-SalesData[[#This Row],[Discount]])</f>
        <v>1087.768</v>
      </c>
      <c r="X677" s="2">
        <f>SalesData[[#This Row],[Effective_Unit_Price]]-SalesData[[#This Row],[Unit_Cost]]</f>
        <v>166.44799999999998</v>
      </c>
      <c r="Y677" s="2" t="str">
        <f>IF(SalesData[[#This Row],[Effective_Unit_Margin]]&lt;0,"Loss per Unit","Positive per Unit")</f>
        <v>Positive per Unit</v>
      </c>
    </row>
    <row r="678" spans="1:25" x14ac:dyDescent="0.3">
      <c r="A678">
        <v>1065</v>
      </c>
      <c r="B678" s="1">
        <v>45152</v>
      </c>
      <c r="C678" t="s">
        <v>13</v>
      </c>
      <c r="D678" t="s">
        <v>20</v>
      </c>
      <c r="E678">
        <v>26</v>
      </c>
      <c r="F678" t="s">
        <v>28</v>
      </c>
      <c r="G678">
        <v>4337.8500000000004</v>
      </c>
      <c r="H678">
        <v>4612.49</v>
      </c>
      <c r="I678" t="s">
        <v>16</v>
      </c>
      <c r="J678" s="2">
        <v>0.01</v>
      </c>
      <c r="K678" t="s">
        <v>17</v>
      </c>
      <c r="L678" t="s">
        <v>21</v>
      </c>
      <c r="M678" t="s">
        <v>22</v>
      </c>
      <c r="N678">
        <f>SalesData[[#This Row],[Quantity_Sold]]*SalesData[[#This Row],[Unit_Cost]]</f>
        <v>112784.1</v>
      </c>
      <c r="O678">
        <f>SalesData[[#This Row],[Quantity_Sold]]*SalesData[[#This Row],[Unit_Price]]</f>
        <v>119924.73999999999</v>
      </c>
      <c r="P678">
        <f>SalesData[[#This Row],[Gross_sales]]*(1-SalesData[[#This Row],[Discount]])</f>
        <v>118725.49259999998</v>
      </c>
      <c r="Q678" s="2">
        <f>SalesData[[#This Row],[Sales_amount]]-SalesData[[#This Row],[Total_Cost]]</f>
        <v>5941.3925999999774</v>
      </c>
      <c r="R678" s="2">
        <f>SalesData[[#This Row],[Profit]]/SalesData[[#This Row],[Sales_amount]]</f>
        <v>5.0043107591199655E-2</v>
      </c>
      <c r="S678" s="2">
        <f>SalesData[[#This Row],[Unit_Price]]-SalesData[[#This Row],[Unit_Cost]]</f>
        <v>274.63999999999942</v>
      </c>
      <c r="T678" s="10">
        <f>SalesData[[#This Row],[Unit_Margin]]/SalesData[[#This Row],[Unit_Price]]</f>
        <v>5.9542676515287718E-2</v>
      </c>
      <c r="U678" s="2" t="str">
        <f>IF(SalesData[[#This Row],[Unit_Margin]]&lt;0, "Negative margin", "Positive margin")</f>
        <v>Positive margin</v>
      </c>
      <c r="V678" s="2" t="str">
        <f>IF(SalesData[[#This Row],[Profit]]&lt;0, "Loss", "Profit")</f>
        <v>Profit</v>
      </c>
      <c r="W678" s="2">
        <f>SalesData[[#This Row],[Unit_Price]]*(1-SalesData[[#This Row],[Discount]])</f>
        <v>4566.3651</v>
      </c>
      <c r="X678" s="2">
        <f>SalesData[[#This Row],[Effective_Unit_Price]]-SalesData[[#This Row],[Unit_Cost]]</f>
        <v>228.51509999999962</v>
      </c>
      <c r="Y678" s="2" t="str">
        <f>IF(SalesData[[#This Row],[Effective_Unit_Margin]]&lt;0,"Loss per Unit","Positive per Unit")</f>
        <v>Positive per Unit</v>
      </c>
    </row>
    <row r="679" spans="1:25" x14ac:dyDescent="0.3">
      <c r="A679">
        <v>1086</v>
      </c>
      <c r="B679" s="1">
        <v>45050</v>
      </c>
      <c r="C679" t="s">
        <v>13</v>
      </c>
      <c r="D679" t="s">
        <v>20</v>
      </c>
      <c r="E679">
        <v>25</v>
      </c>
      <c r="F679" t="s">
        <v>25</v>
      </c>
      <c r="G679">
        <v>2248.71</v>
      </c>
      <c r="H679">
        <v>2626.02</v>
      </c>
      <c r="I679" t="s">
        <v>29</v>
      </c>
      <c r="J679" s="2">
        <v>0.08</v>
      </c>
      <c r="K679" t="s">
        <v>26</v>
      </c>
      <c r="L679" t="s">
        <v>18</v>
      </c>
      <c r="M679" t="s">
        <v>22</v>
      </c>
      <c r="N679">
        <f>SalesData[[#This Row],[Quantity_Sold]]*SalesData[[#This Row],[Unit_Cost]]</f>
        <v>56217.75</v>
      </c>
      <c r="O679">
        <f>SalesData[[#This Row],[Quantity_Sold]]*SalesData[[#This Row],[Unit_Price]]</f>
        <v>65650.5</v>
      </c>
      <c r="P679">
        <f>SalesData[[#This Row],[Gross_sales]]*(1-SalesData[[#This Row],[Discount]])</f>
        <v>60398.46</v>
      </c>
      <c r="Q679" s="2">
        <f>SalesData[[#This Row],[Sales_amount]]-SalesData[[#This Row],[Total_Cost]]</f>
        <v>4180.7099999999991</v>
      </c>
      <c r="R679" s="2">
        <f>SalesData[[#This Row],[Profit]]/SalesData[[#This Row],[Sales_amount]]</f>
        <v>6.9218817830785734E-2</v>
      </c>
      <c r="S679" s="2">
        <f>SalesData[[#This Row],[Unit_Price]]-SalesData[[#This Row],[Unit_Cost]]</f>
        <v>377.30999999999995</v>
      </c>
      <c r="T679" s="10">
        <f>SalesData[[#This Row],[Unit_Margin]]/SalesData[[#This Row],[Unit_Price]]</f>
        <v>0.14368131240432286</v>
      </c>
      <c r="U679" s="2" t="str">
        <f>IF(SalesData[[#This Row],[Unit_Margin]]&lt;0, "Negative margin", "Positive margin")</f>
        <v>Positive margin</v>
      </c>
      <c r="V679" s="2" t="str">
        <f>IF(SalesData[[#This Row],[Profit]]&lt;0, "Loss", "Profit")</f>
        <v>Profit</v>
      </c>
      <c r="W679" s="2">
        <f>SalesData[[#This Row],[Unit_Price]]*(1-SalesData[[#This Row],[Discount]])</f>
        <v>2415.9384</v>
      </c>
      <c r="X679" s="2">
        <f>SalesData[[#This Row],[Effective_Unit_Price]]-SalesData[[#This Row],[Unit_Cost]]</f>
        <v>167.22839999999997</v>
      </c>
      <c r="Y679" s="2" t="str">
        <f>IF(SalesData[[#This Row],[Effective_Unit_Margin]]&lt;0,"Loss per Unit","Positive per Unit")</f>
        <v>Positive per Unit</v>
      </c>
    </row>
    <row r="680" spans="1:25" x14ac:dyDescent="0.3">
      <c r="A680">
        <v>1017</v>
      </c>
      <c r="B680" s="1">
        <v>44964</v>
      </c>
      <c r="C680" t="s">
        <v>32</v>
      </c>
      <c r="D680" t="s">
        <v>20</v>
      </c>
      <c r="E680">
        <v>2</v>
      </c>
      <c r="F680" t="s">
        <v>25</v>
      </c>
      <c r="G680">
        <v>728.41</v>
      </c>
      <c r="H680">
        <v>1094.92</v>
      </c>
      <c r="I680" t="s">
        <v>29</v>
      </c>
      <c r="J680" s="2">
        <v>0.24</v>
      </c>
      <c r="K680" t="s">
        <v>17</v>
      </c>
      <c r="L680" t="s">
        <v>21</v>
      </c>
      <c r="M680" t="s">
        <v>36</v>
      </c>
      <c r="N680">
        <f>SalesData[[#This Row],[Quantity_Sold]]*SalesData[[#This Row],[Unit_Cost]]</f>
        <v>1456.82</v>
      </c>
      <c r="O680">
        <f>SalesData[[#This Row],[Quantity_Sold]]*SalesData[[#This Row],[Unit_Price]]</f>
        <v>2189.84</v>
      </c>
      <c r="P680">
        <f>SalesData[[#This Row],[Gross_sales]]*(1-SalesData[[#This Row],[Discount]])</f>
        <v>1664.2784000000001</v>
      </c>
      <c r="Q680" s="2">
        <f>SalesData[[#This Row],[Sales_amount]]-SalesData[[#This Row],[Total_Cost]]</f>
        <v>207.45840000000021</v>
      </c>
      <c r="R680" s="2">
        <f>SalesData[[#This Row],[Profit]]/SalesData[[#This Row],[Sales_amount]]</f>
        <v>0.12465366371395567</v>
      </c>
      <c r="S680" s="2">
        <f>SalesData[[#This Row],[Unit_Price]]-SalesData[[#This Row],[Unit_Cost]]</f>
        <v>366.5100000000001</v>
      </c>
      <c r="T680" s="10">
        <f>SalesData[[#This Row],[Unit_Margin]]/SalesData[[#This Row],[Unit_Price]]</f>
        <v>0.33473678442260629</v>
      </c>
      <c r="U680" s="2" t="str">
        <f>IF(SalesData[[#This Row],[Unit_Margin]]&lt;0, "Negative margin", "Positive margin")</f>
        <v>Positive margin</v>
      </c>
      <c r="V680" s="2" t="str">
        <f>IF(SalesData[[#This Row],[Profit]]&lt;0, "Loss", "Profit")</f>
        <v>Profit</v>
      </c>
      <c r="W680" s="2">
        <f>SalesData[[#This Row],[Unit_Price]]*(1-SalesData[[#This Row],[Discount]])</f>
        <v>832.13920000000007</v>
      </c>
      <c r="X680" s="2">
        <f>SalesData[[#This Row],[Effective_Unit_Price]]-SalesData[[#This Row],[Unit_Cost]]</f>
        <v>103.72920000000011</v>
      </c>
      <c r="Y680" s="2" t="str">
        <f>IF(SalesData[[#This Row],[Effective_Unit_Margin]]&lt;0,"Loss per Unit","Positive per Unit")</f>
        <v>Positive per Unit</v>
      </c>
    </row>
    <row r="681" spans="1:25" x14ac:dyDescent="0.3">
      <c r="A681">
        <v>1071</v>
      </c>
      <c r="B681" s="1">
        <v>45254</v>
      </c>
      <c r="C681" t="s">
        <v>41</v>
      </c>
      <c r="D681" t="s">
        <v>20</v>
      </c>
      <c r="E681">
        <v>12</v>
      </c>
      <c r="F681" t="s">
        <v>25</v>
      </c>
      <c r="G681">
        <v>4317.95</v>
      </c>
      <c r="H681">
        <v>4636.59</v>
      </c>
      <c r="I681" t="s">
        <v>29</v>
      </c>
      <c r="J681" s="2">
        <v>0.18</v>
      </c>
      <c r="K681" t="s">
        <v>30</v>
      </c>
      <c r="L681" t="s">
        <v>21</v>
      </c>
      <c r="M681" t="s">
        <v>50</v>
      </c>
      <c r="N681">
        <f>SalesData[[#This Row],[Quantity_Sold]]*SalesData[[#This Row],[Unit_Cost]]</f>
        <v>51815.399999999994</v>
      </c>
      <c r="O681">
        <f>SalesData[[#This Row],[Quantity_Sold]]*SalesData[[#This Row],[Unit_Price]]</f>
        <v>55639.08</v>
      </c>
      <c r="P681">
        <f>SalesData[[#This Row],[Gross_sales]]*(1-SalesData[[#This Row],[Discount]])</f>
        <v>45624.045600000005</v>
      </c>
      <c r="Q681" s="2">
        <f>SalesData[[#This Row],[Sales_amount]]-SalesData[[#This Row],[Total_Cost]]</f>
        <v>-6191.3543999999893</v>
      </c>
      <c r="R681" s="2">
        <f>SalesData[[#This Row],[Profit]]/SalesData[[#This Row],[Sales_amount]]</f>
        <v>-0.13570375705568707</v>
      </c>
      <c r="S681" s="2">
        <f>SalesData[[#This Row],[Unit_Price]]-SalesData[[#This Row],[Unit_Cost]]</f>
        <v>318.64000000000033</v>
      </c>
      <c r="T681" s="10">
        <f>SalesData[[#This Row],[Unit_Margin]]/SalesData[[#This Row],[Unit_Price]]</f>
        <v>6.8722919214336473E-2</v>
      </c>
      <c r="U681" s="2" t="str">
        <f>IF(SalesData[[#This Row],[Unit_Margin]]&lt;0, "Negative margin", "Positive margin")</f>
        <v>Positive margin</v>
      </c>
      <c r="V681" s="2" t="str">
        <f>IF(SalesData[[#This Row],[Profit]]&lt;0, "Loss", "Profit")</f>
        <v>Loss</v>
      </c>
      <c r="W681" s="2">
        <f>SalesData[[#This Row],[Unit_Price]]*(1-SalesData[[#This Row],[Discount]])</f>
        <v>3802.0038000000004</v>
      </c>
      <c r="X681" s="2">
        <f>SalesData[[#This Row],[Effective_Unit_Price]]-SalesData[[#This Row],[Unit_Cost]]</f>
        <v>-515.94619999999941</v>
      </c>
      <c r="Y681" s="2" t="str">
        <f>IF(SalesData[[#This Row],[Effective_Unit_Margin]]&lt;0,"Loss per Unit","Positive per Unit")</f>
        <v>Loss per Unit</v>
      </c>
    </row>
    <row r="682" spans="1:25" x14ac:dyDescent="0.3">
      <c r="A682">
        <v>1089</v>
      </c>
      <c r="B682" s="1">
        <v>45177</v>
      </c>
      <c r="C682" t="s">
        <v>13</v>
      </c>
      <c r="D682" t="s">
        <v>20</v>
      </c>
      <c r="E682">
        <v>40</v>
      </c>
      <c r="F682" t="s">
        <v>15</v>
      </c>
      <c r="G682">
        <v>4089.66</v>
      </c>
      <c r="H682">
        <v>4275.96</v>
      </c>
      <c r="I682" t="s">
        <v>29</v>
      </c>
      <c r="J682" s="2">
        <v>0.23</v>
      </c>
      <c r="K682" t="s">
        <v>30</v>
      </c>
      <c r="L682" t="s">
        <v>18</v>
      </c>
      <c r="M682" t="s">
        <v>22</v>
      </c>
      <c r="N682">
        <f>SalesData[[#This Row],[Quantity_Sold]]*SalesData[[#This Row],[Unit_Cost]]</f>
        <v>163586.4</v>
      </c>
      <c r="O682">
        <f>SalesData[[#This Row],[Quantity_Sold]]*SalesData[[#This Row],[Unit_Price]]</f>
        <v>171038.4</v>
      </c>
      <c r="P682">
        <f>SalesData[[#This Row],[Gross_sales]]*(1-SalesData[[#This Row],[Discount]])</f>
        <v>131699.568</v>
      </c>
      <c r="Q682" s="2">
        <f>SalesData[[#This Row],[Sales_amount]]-SalesData[[#This Row],[Total_Cost]]</f>
        <v>-31886.831999999995</v>
      </c>
      <c r="R682" s="2">
        <f>SalesData[[#This Row],[Profit]]/SalesData[[#This Row],[Sales_amount]]</f>
        <v>-0.2421179695896952</v>
      </c>
      <c r="S682" s="2">
        <f>SalesData[[#This Row],[Unit_Price]]-SalesData[[#This Row],[Unit_Cost]]</f>
        <v>186.30000000000018</v>
      </c>
      <c r="T682" s="10">
        <f>SalesData[[#This Row],[Unit_Margin]]/SalesData[[#This Row],[Unit_Price]]</f>
        <v>4.3569163415934711E-2</v>
      </c>
      <c r="U682" s="2" t="str">
        <f>IF(SalesData[[#This Row],[Unit_Margin]]&lt;0, "Negative margin", "Positive margin")</f>
        <v>Positive margin</v>
      </c>
      <c r="V682" s="2" t="str">
        <f>IF(SalesData[[#This Row],[Profit]]&lt;0, "Loss", "Profit")</f>
        <v>Loss</v>
      </c>
      <c r="W682" s="2">
        <f>SalesData[[#This Row],[Unit_Price]]*(1-SalesData[[#This Row],[Discount]])</f>
        <v>3292.4892</v>
      </c>
      <c r="X682" s="2">
        <f>SalesData[[#This Row],[Effective_Unit_Price]]-SalesData[[#This Row],[Unit_Cost]]</f>
        <v>-797.17079999999987</v>
      </c>
      <c r="Y682" s="2" t="str">
        <f>IF(SalesData[[#This Row],[Effective_Unit_Margin]]&lt;0,"Loss per Unit","Positive per Unit")</f>
        <v>Loss per Unit</v>
      </c>
    </row>
    <row r="683" spans="1:25" x14ac:dyDescent="0.3">
      <c r="A683">
        <v>1045</v>
      </c>
      <c r="B683" s="1">
        <v>45102</v>
      </c>
      <c r="C683" t="s">
        <v>37</v>
      </c>
      <c r="D683" t="s">
        <v>24</v>
      </c>
      <c r="E683">
        <v>9</v>
      </c>
      <c r="F683" t="s">
        <v>28</v>
      </c>
      <c r="G683">
        <v>4920.34</v>
      </c>
      <c r="H683">
        <v>5129.1899999999996</v>
      </c>
      <c r="I683" t="s">
        <v>16</v>
      </c>
      <c r="J683" s="2">
        <v>0.13</v>
      </c>
      <c r="K683" t="s">
        <v>30</v>
      </c>
      <c r="L683" t="s">
        <v>18</v>
      </c>
      <c r="M683" t="s">
        <v>38</v>
      </c>
      <c r="N683">
        <f>SalesData[[#This Row],[Quantity_Sold]]*SalesData[[#This Row],[Unit_Cost]]</f>
        <v>44283.06</v>
      </c>
      <c r="O683">
        <f>SalesData[[#This Row],[Quantity_Sold]]*SalesData[[#This Row],[Unit_Price]]</f>
        <v>46162.71</v>
      </c>
      <c r="P683">
        <f>SalesData[[#This Row],[Gross_sales]]*(1-SalesData[[#This Row],[Discount]])</f>
        <v>40161.557699999998</v>
      </c>
      <c r="Q683" s="2">
        <f>SalesData[[#This Row],[Sales_amount]]-SalesData[[#This Row],[Total_Cost]]</f>
        <v>-4121.5023000000001</v>
      </c>
      <c r="R683" s="2">
        <f>SalesData[[#This Row],[Profit]]/SalesData[[#This Row],[Sales_amount]]</f>
        <v>-0.10262306882583891</v>
      </c>
      <c r="S683" s="2">
        <f>SalesData[[#This Row],[Unit_Price]]-SalesData[[#This Row],[Unit_Cost]]</f>
        <v>208.84999999999945</v>
      </c>
      <c r="T683" s="10">
        <f>SalesData[[#This Row],[Unit_Margin]]/SalesData[[#This Row],[Unit_Price]]</f>
        <v>4.0717930121520057E-2</v>
      </c>
      <c r="U683" s="2" t="str">
        <f>IF(SalesData[[#This Row],[Unit_Margin]]&lt;0, "Negative margin", "Positive margin")</f>
        <v>Positive margin</v>
      </c>
      <c r="V683" s="2" t="str">
        <f>IF(SalesData[[#This Row],[Profit]]&lt;0, "Loss", "Profit")</f>
        <v>Loss</v>
      </c>
      <c r="W683" s="2">
        <f>SalesData[[#This Row],[Unit_Price]]*(1-SalesData[[#This Row],[Discount]])</f>
        <v>4462.3952999999992</v>
      </c>
      <c r="X683" s="2">
        <f>SalesData[[#This Row],[Effective_Unit_Price]]-SalesData[[#This Row],[Unit_Cost]]</f>
        <v>-457.94470000000092</v>
      </c>
      <c r="Y683" s="2" t="str">
        <f>IF(SalesData[[#This Row],[Effective_Unit_Margin]]&lt;0,"Loss per Unit","Positive per Unit")</f>
        <v>Loss per Unit</v>
      </c>
    </row>
    <row r="684" spans="1:25" x14ac:dyDescent="0.3">
      <c r="A684">
        <v>1004</v>
      </c>
      <c r="B684" s="1">
        <v>45016</v>
      </c>
      <c r="C684" t="s">
        <v>32</v>
      </c>
      <c r="D684" t="s">
        <v>33</v>
      </c>
      <c r="E684">
        <v>12</v>
      </c>
      <c r="F684" t="s">
        <v>28</v>
      </c>
      <c r="G684">
        <v>4553.2299999999996</v>
      </c>
      <c r="H684">
        <v>5038.74</v>
      </c>
      <c r="I684" t="s">
        <v>29</v>
      </c>
      <c r="J684" s="2">
        <v>0.09</v>
      </c>
      <c r="K684" t="s">
        <v>30</v>
      </c>
      <c r="L684" t="s">
        <v>21</v>
      </c>
      <c r="M684" t="s">
        <v>35</v>
      </c>
      <c r="N684">
        <f>SalesData[[#This Row],[Quantity_Sold]]*SalesData[[#This Row],[Unit_Cost]]</f>
        <v>54638.759999999995</v>
      </c>
      <c r="O684">
        <f>SalesData[[#This Row],[Quantity_Sold]]*SalesData[[#This Row],[Unit_Price]]</f>
        <v>60464.88</v>
      </c>
      <c r="P684">
        <f>SalesData[[#This Row],[Gross_sales]]*(1-SalesData[[#This Row],[Discount]])</f>
        <v>55023.040800000002</v>
      </c>
      <c r="Q684" s="2">
        <f>SalesData[[#This Row],[Sales_amount]]-SalesData[[#This Row],[Total_Cost]]</f>
        <v>384.28080000000773</v>
      </c>
      <c r="R684" s="2">
        <f>SalesData[[#This Row],[Profit]]/SalesData[[#This Row],[Sales_amount]]</f>
        <v>6.9839978745778021E-3</v>
      </c>
      <c r="S684" s="2">
        <f>SalesData[[#This Row],[Unit_Price]]-SalesData[[#This Row],[Unit_Cost]]</f>
        <v>485.51000000000022</v>
      </c>
      <c r="T684" s="10">
        <f>SalesData[[#This Row],[Unit_Margin]]/SalesData[[#This Row],[Unit_Price]]</f>
        <v>9.6355438065865717E-2</v>
      </c>
      <c r="U684" s="2" t="str">
        <f>IF(SalesData[[#This Row],[Unit_Margin]]&lt;0, "Negative margin", "Positive margin")</f>
        <v>Positive margin</v>
      </c>
      <c r="V684" s="2" t="str">
        <f>IF(SalesData[[#This Row],[Profit]]&lt;0, "Loss", "Profit")</f>
        <v>Profit</v>
      </c>
      <c r="W684" s="2">
        <f>SalesData[[#This Row],[Unit_Price]]*(1-SalesData[[#This Row],[Discount]])</f>
        <v>4585.2533999999996</v>
      </c>
      <c r="X684" s="2">
        <f>SalesData[[#This Row],[Effective_Unit_Price]]-SalesData[[#This Row],[Unit_Cost]]</f>
        <v>32.023400000000038</v>
      </c>
      <c r="Y684" s="2" t="str">
        <f>IF(SalesData[[#This Row],[Effective_Unit_Margin]]&lt;0,"Loss per Unit","Positive per Unit")</f>
        <v>Positive per Unit</v>
      </c>
    </row>
    <row r="685" spans="1:25" x14ac:dyDescent="0.3">
      <c r="A685">
        <v>1036</v>
      </c>
      <c r="B685" s="1">
        <v>44963</v>
      </c>
      <c r="C685" t="s">
        <v>32</v>
      </c>
      <c r="D685" t="s">
        <v>33</v>
      </c>
      <c r="E685">
        <v>26</v>
      </c>
      <c r="F685" t="s">
        <v>34</v>
      </c>
      <c r="G685">
        <v>4266.3599999999997</v>
      </c>
      <c r="H685">
        <v>4331.4299999999903</v>
      </c>
      <c r="I685" t="s">
        <v>16</v>
      </c>
      <c r="J685" s="2">
        <v>0.14000000000000001</v>
      </c>
      <c r="K685" t="s">
        <v>30</v>
      </c>
      <c r="L685" t="s">
        <v>21</v>
      </c>
      <c r="M685" t="s">
        <v>35</v>
      </c>
      <c r="N685">
        <f>SalesData[[#This Row],[Quantity_Sold]]*SalesData[[#This Row],[Unit_Cost]]</f>
        <v>110925.35999999999</v>
      </c>
      <c r="O685">
        <f>SalesData[[#This Row],[Quantity_Sold]]*SalesData[[#This Row],[Unit_Price]]</f>
        <v>112617.17999999975</v>
      </c>
      <c r="P685">
        <f>SalesData[[#This Row],[Gross_sales]]*(1-SalesData[[#This Row],[Discount]])</f>
        <v>96850.774799999781</v>
      </c>
      <c r="Q685" s="2">
        <f>SalesData[[#This Row],[Sales_amount]]-SalesData[[#This Row],[Total_Cost]]</f>
        <v>-14074.585200000205</v>
      </c>
      <c r="R685" s="2">
        <f>SalesData[[#This Row],[Profit]]/SalesData[[#This Row],[Sales_amount]]</f>
        <v>-0.14532238104511516</v>
      </c>
      <c r="S685" s="2">
        <f>SalesData[[#This Row],[Unit_Price]]-SalesData[[#This Row],[Unit_Cost]]</f>
        <v>65.069999999990614</v>
      </c>
      <c r="T685" s="10">
        <f>SalesData[[#This Row],[Unit_Margin]]/SalesData[[#This Row],[Unit_Price]]</f>
        <v>1.5022752301200934E-2</v>
      </c>
      <c r="U685" s="2" t="str">
        <f>IF(SalesData[[#This Row],[Unit_Margin]]&lt;0, "Negative margin", "Positive margin")</f>
        <v>Positive margin</v>
      </c>
      <c r="V685" s="2" t="str">
        <f>IF(SalesData[[#This Row],[Profit]]&lt;0, "Loss", "Profit")</f>
        <v>Loss</v>
      </c>
      <c r="W685" s="2">
        <f>SalesData[[#This Row],[Unit_Price]]*(1-SalesData[[#This Row],[Discount]])</f>
        <v>3725.0297999999916</v>
      </c>
      <c r="X685" s="2">
        <f>SalesData[[#This Row],[Effective_Unit_Price]]-SalesData[[#This Row],[Unit_Cost]]</f>
        <v>-541.33020000000806</v>
      </c>
      <c r="Y685" s="2" t="str">
        <f>IF(SalesData[[#This Row],[Effective_Unit_Margin]]&lt;0,"Loss per Unit","Positive per Unit")</f>
        <v>Loss per Unit</v>
      </c>
    </row>
    <row r="686" spans="1:25" x14ac:dyDescent="0.3">
      <c r="A686">
        <v>1070</v>
      </c>
      <c r="B686" s="1">
        <v>45242</v>
      </c>
      <c r="C686" t="s">
        <v>13</v>
      </c>
      <c r="D686" t="s">
        <v>24</v>
      </c>
      <c r="E686">
        <v>9</v>
      </c>
      <c r="F686" t="s">
        <v>34</v>
      </c>
      <c r="G686">
        <v>310.24</v>
      </c>
      <c r="H686">
        <v>451.81</v>
      </c>
      <c r="I686" t="s">
        <v>16</v>
      </c>
      <c r="J686" s="2">
        <v>0.1</v>
      </c>
      <c r="K686" t="s">
        <v>17</v>
      </c>
      <c r="L686" t="s">
        <v>21</v>
      </c>
      <c r="M686" t="s">
        <v>31</v>
      </c>
      <c r="N686">
        <f>SalesData[[#This Row],[Quantity_Sold]]*SalesData[[#This Row],[Unit_Cost]]</f>
        <v>2792.16</v>
      </c>
      <c r="O686">
        <f>SalesData[[#This Row],[Quantity_Sold]]*SalesData[[#This Row],[Unit_Price]]</f>
        <v>4066.29</v>
      </c>
      <c r="P686">
        <f>SalesData[[#This Row],[Gross_sales]]*(1-SalesData[[#This Row],[Discount]])</f>
        <v>3659.6610000000001</v>
      </c>
      <c r="Q686" s="2">
        <f>SalesData[[#This Row],[Sales_amount]]-SalesData[[#This Row],[Total_Cost]]</f>
        <v>867.5010000000002</v>
      </c>
      <c r="R686" s="2">
        <f>SalesData[[#This Row],[Profit]]/SalesData[[#This Row],[Sales_amount]]</f>
        <v>0.23704408687034131</v>
      </c>
      <c r="S686" s="2">
        <f>SalesData[[#This Row],[Unit_Price]]-SalesData[[#This Row],[Unit_Cost]]</f>
        <v>141.57</v>
      </c>
      <c r="T686" s="10">
        <f>SalesData[[#This Row],[Unit_Margin]]/SalesData[[#This Row],[Unit_Price]]</f>
        <v>0.3133396781833071</v>
      </c>
      <c r="U686" s="2" t="str">
        <f>IF(SalesData[[#This Row],[Unit_Margin]]&lt;0, "Negative margin", "Positive margin")</f>
        <v>Positive margin</v>
      </c>
      <c r="V686" s="2" t="str">
        <f>IF(SalesData[[#This Row],[Profit]]&lt;0, "Loss", "Profit")</f>
        <v>Profit</v>
      </c>
      <c r="W686" s="2">
        <f>SalesData[[#This Row],[Unit_Price]]*(1-SalesData[[#This Row],[Discount]])</f>
        <v>406.62900000000002</v>
      </c>
      <c r="X686" s="2">
        <f>SalesData[[#This Row],[Effective_Unit_Price]]-SalesData[[#This Row],[Unit_Cost]]</f>
        <v>96.38900000000001</v>
      </c>
      <c r="Y686" s="2" t="str">
        <f>IF(SalesData[[#This Row],[Effective_Unit_Margin]]&lt;0,"Loss per Unit","Positive per Unit")</f>
        <v>Positive per Unit</v>
      </c>
    </row>
    <row r="687" spans="1:25" x14ac:dyDescent="0.3">
      <c r="A687">
        <v>1031</v>
      </c>
      <c r="B687" s="1">
        <v>45102</v>
      </c>
      <c r="C687" t="s">
        <v>41</v>
      </c>
      <c r="D687" t="s">
        <v>20</v>
      </c>
      <c r="E687">
        <v>10</v>
      </c>
      <c r="F687" t="s">
        <v>34</v>
      </c>
      <c r="G687">
        <v>566.86</v>
      </c>
      <c r="H687">
        <v>818.14</v>
      </c>
      <c r="I687" t="s">
        <v>16</v>
      </c>
      <c r="J687" s="2">
        <v>0.25</v>
      </c>
      <c r="K687" t="s">
        <v>30</v>
      </c>
      <c r="L687" t="s">
        <v>21</v>
      </c>
      <c r="M687" t="s">
        <v>50</v>
      </c>
      <c r="N687">
        <f>SalesData[[#This Row],[Quantity_Sold]]*SalesData[[#This Row],[Unit_Cost]]</f>
        <v>5668.6</v>
      </c>
      <c r="O687">
        <f>SalesData[[#This Row],[Quantity_Sold]]*SalesData[[#This Row],[Unit_Price]]</f>
        <v>8181.4</v>
      </c>
      <c r="P687">
        <f>SalesData[[#This Row],[Gross_sales]]*(1-SalesData[[#This Row],[Discount]])</f>
        <v>6136.0499999999993</v>
      </c>
      <c r="Q687" s="2">
        <f>SalesData[[#This Row],[Sales_amount]]-SalesData[[#This Row],[Total_Cost]]</f>
        <v>467.44999999999891</v>
      </c>
      <c r="R687" s="2">
        <f>SalesData[[#This Row],[Profit]]/SalesData[[#This Row],[Sales_amount]]</f>
        <v>7.618093072905191E-2</v>
      </c>
      <c r="S687" s="2">
        <f>SalesData[[#This Row],[Unit_Price]]-SalesData[[#This Row],[Unit_Cost]]</f>
        <v>251.27999999999997</v>
      </c>
      <c r="T687" s="10">
        <f>SalesData[[#This Row],[Unit_Margin]]/SalesData[[#This Row],[Unit_Price]]</f>
        <v>0.30713569804678903</v>
      </c>
      <c r="U687" s="2" t="str">
        <f>IF(SalesData[[#This Row],[Unit_Margin]]&lt;0, "Negative margin", "Positive margin")</f>
        <v>Positive margin</v>
      </c>
      <c r="V687" s="2" t="str">
        <f>IF(SalesData[[#This Row],[Profit]]&lt;0, "Loss", "Profit")</f>
        <v>Profit</v>
      </c>
      <c r="W687" s="2">
        <f>SalesData[[#This Row],[Unit_Price]]*(1-SalesData[[#This Row],[Discount]])</f>
        <v>613.60500000000002</v>
      </c>
      <c r="X687" s="2">
        <f>SalesData[[#This Row],[Effective_Unit_Price]]-SalesData[[#This Row],[Unit_Cost]]</f>
        <v>46.745000000000005</v>
      </c>
      <c r="Y687" s="2" t="str">
        <f>IF(SalesData[[#This Row],[Effective_Unit_Margin]]&lt;0,"Loss per Unit","Positive per Unit")</f>
        <v>Positive per Unit</v>
      </c>
    </row>
    <row r="688" spans="1:25" x14ac:dyDescent="0.3">
      <c r="A688">
        <v>1019</v>
      </c>
      <c r="B688" s="1">
        <v>45210</v>
      </c>
      <c r="C688" t="s">
        <v>37</v>
      </c>
      <c r="D688" t="s">
        <v>24</v>
      </c>
      <c r="E688">
        <v>32</v>
      </c>
      <c r="F688" t="s">
        <v>34</v>
      </c>
      <c r="G688">
        <v>2866.47</v>
      </c>
      <c r="H688">
        <v>3286.47</v>
      </c>
      <c r="I688" t="s">
        <v>29</v>
      </c>
      <c r="J688" s="2">
        <v>0.09</v>
      </c>
      <c r="K688" t="s">
        <v>30</v>
      </c>
      <c r="L688" t="s">
        <v>18</v>
      </c>
      <c r="M688" t="s">
        <v>38</v>
      </c>
      <c r="N688">
        <f>SalesData[[#This Row],[Quantity_Sold]]*SalesData[[#This Row],[Unit_Cost]]</f>
        <v>91727.039999999994</v>
      </c>
      <c r="O688">
        <f>SalesData[[#This Row],[Quantity_Sold]]*SalesData[[#This Row],[Unit_Price]]</f>
        <v>105167.03999999999</v>
      </c>
      <c r="P688">
        <f>SalesData[[#This Row],[Gross_sales]]*(1-SalesData[[#This Row],[Discount]])</f>
        <v>95702.006399999998</v>
      </c>
      <c r="Q688" s="2">
        <f>SalesData[[#This Row],[Sales_amount]]-SalesData[[#This Row],[Total_Cost]]</f>
        <v>3974.9664000000048</v>
      </c>
      <c r="R688" s="2">
        <f>SalesData[[#This Row],[Profit]]/SalesData[[#This Row],[Sales_amount]]</f>
        <v>4.1534828260403167E-2</v>
      </c>
      <c r="S688" s="2">
        <f>SalesData[[#This Row],[Unit_Price]]-SalesData[[#This Row],[Unit_Cost]]</f>
        <v>420</v>
      </c>
      <c r="T688" s="10">
        <f>SalesData[[#This Row],[Unit_Margin]]/SalesData[[#This Row],[Unit_Price]]</f>
        <v>0.12779669371696684</v>
      </c>
      <c r="U688" s="2" t="str">
        <f>IF(SalesData[[#This Row],[Unit_Margin]]&lt;0, "Negative margin", "Positive margin")</f>
        <v>Positive margin</v>
      </c>
      <c r="V688" s="2" t="str">
        <f>IF(SalesData[[#This Row],[Profit]]&lt;0, "Loss", "Profit")</f>
        <v>Profit</v>
      </c>
      <c r="W688" s="2">
        <f>SalesData[[#This Row],[Unit_Price]]*(1-SalesData[[#This Row],[Discount]])</f>
        <v>2990.6876999999999</v>
      </c>
      <c r="X688" s="2">
        <f>SalesData[[#This Row],[Effective_Unit_Price]]-SalesData[[#This Row],[Unit_Cost]]</f>
        <v>124.21770000000015</v>
      </c>
      <c r="Y688" s="2" t="str">
        <f>IF(SalesData[[#This Row],[Effective_Unit_Margin]]&lt;0,"Loss per Unit","Positive per Unit")</f>
        <v>Positive per Unit</v>
      </c>
    </row>
    <row r="689" spans="1:25" x14ac:dyDescent="0.3">
      <c r="A689">
        <v>1061</v>
      </c>
      <c r="B689" s="1">
        <v>45007</v>
      </c>
      <c r="C689" t="s">
        <v>41</v>
      </c>
      <c r="D689" t="s">
        <v>33</v>
      </c>
      <c r="E689">
        <v>34</v>
      </c>
      <c r="F689" t="s">
        <v>28</v>
      </c>
      <c r="G689">
        <v>2680.82</v>
      </c>
      <c r="H689">
        <v>2771.02</v>
      </c>
      <c r="I689" t="s">
        <v>29</v>
      </c>
      <c r="J689" s="2">
        <v>0.2</v>
      </c>
      <c r="K689" t="s">
        <v>26</v>
      </c>
      <c r="L689" t="s">
        <v>18</v>
      </c>
      <c r="M689" t="s">
        <v>51</v>
      </c>
      <c r="N689">
        <f>SalesData[[#This Row],[Quantity_Sold]]*SalesData[[#This Row],[Unit_Cost]]</f>
        <v>91147.88</v>
      </c>
      <c r="O689">
        <f>SalesData[[#This Row],[Quantity_Sold]]*SalesData[[#This Row],[Unit_Price]]</f>
        <v>94214.68</v>
      </c>
      <c r="P689">
        <f>SalesData[[#This Row],[Gross_sales]]*(1-SalesData[[#This Row],[Discount]])</f>
        <v>75371.743999999992</v>
      </c>
      <c r="Q689" s="2">
        <f>SalesData[[#This Row],[Sales_amount]]-SalesData[[#This Row],[Total_Cost]]</f>
        <v>-15776.136000000013</v>
      </c>
      <c r="R689" s="2">
        <f>SalesData[[#This Row],[Profit]]/SalesData[[#This Row],[Sales_amount]]</f>
        <v>-0.2093110118295792</v>
      </c>
      <c r="S689" s="2">
        <f>SalesData[[#This Row],[Unit_Price]]-SalesData[[#This Row],[Unit_Cost]]</f>
        <v>90.199999999999818</v>
      </c>
      <c r="T689" s="10">
        <f>SalesData[[#This Row],[Unit_Margin]]/SalesData[[#This Row],[Unit_Price]]</f>
        <v>3.2551190536336733E-2</v>
      </c>
      <c r="U689" s="2" t="str">
        <f>IF(SalesData[[#This Row],[Unit_Margin]]&lt;0, "Negative margin", "Positive margin")</f>
        <v>Positive margin</v>
      </c>
      <c r="V689" s="2" t="str">
        <f>IF(SalesData[[#This Row],[Profit]]&lt;0, "Loss", "Profit")</f>
        <v>Loss</v>
      </c>
      <c r="W689" s="2">
        <f>SalesData[[#This Row],[Unit_Price]]*(1-SalesData[[#This Row],[Discount]])</f>
        <v>2216.8160000000003</v>
      </c>
      <c r="X689" s="2">
        <f>SalesData[[#This Row],[Effective_Unit_Price]]-SalesData[[#This Row],[Unit_Cost]]</f>
        <v>-464.00399999999991</v>
      </c>
      <c r="Y689" s="2" t="str">
        <f>IF(SalesData[[#This Row],[Effective_Unit_Margin]]&lt;0,"Loss per Unit","Positive per Unit")</f>
        <v>Loss per Unit</v>
      </c>
    </row>
    <row r="690" spans="1:25" x14ac:dyDescent="0.3">
      <c r="A690">
        <v>1054</v>
      </c>
      <c r="B690" s="1">
        <v>45040</v>
      </c>
      <c r="C690" t="s">
        <v>23</v>
      </c>
      <c r="D690" t="s">
        <v>14</v>
      </c>
      <c r="E690">
        <v>48</v>
      </c>
      <c r="F690" t="s">
        <v>25</v>
      </c>
      <c r="G690">
        <v>2316.92</v>
      </c>
      <c r="H690">
        <v>2462.63</v>
      </c>
      <c r="I690" t="s">
        <v>29</v>
      </c>
      <c r="J690" s="2">
        <v>0.04</v>
      </c>
      <c r="K690" t="s">
        <v>30</v>
      </c>
      <c r="L690" t="s">
        <v>18</v>
      </c>
      <c r="M690" t="s">
        <v>44</v>
      </c>
      <c r="N690">
        <f>SalesData[[#This Row],[Quantity_Sold]]*SalesData[[#This Row],[Unit_Cost]]</f>
        <v>111212.16</v>
      </c>
      <c r="O690">
        <f>SalesData[[#This Row],[Quantity_Sold]]*SalesData[[#This Row],[Unit_Price]]</f>
        <v>118206.24</v>
      </c>
      <c r="P690">
        <f>SalesData[[#This Row],[Gross_sales]]*(1-SalesData[[#This Row],[Discount]])</f>
        <v>113477.9904</v>
      </c>
      <c r="Q690" s="2">
        <f>SalesData[[#This Row],[Sales_amount]]-SalesData[[#This Row],[Total_Cost]]</f>
        <v>2265.8303999999916</v>
      </c>
      <c r="R690" s="2">
        <f>SalesData[[#This Row],[Profit]]/SalesData[[#This Row],[Sales_amount]]</f>
        <v>1.9967135406726341E-2</v>
      </c>
      <c r="S690" s="2">
        <f>SalesData[[#This Row],[Unit_Price]]-SalesData[[#This Row],[Unit_Cost]]</f>
        <v>145.71000000000004</v>
      </c>
      <c r="T690" s="10">
        <f>SalesData[[#This Row],[Unit_Margin]]/SalesData[[#This Row],[Unit_Price]]</f>
        <v>5.9168449990457367E-2</v>
      </c>
      <c r="U690" s="2" t="str">
        <f>IF(SalesData[[#This Row],[Unit_Margin]]&lt;0, "Negative margin", "Positive margin")</f>
        <v>Positive margin</v>
      </c>
      <c r="V690" s="2" t="str">
        <f>IF(SalesData[[#This Row],[Profit]]&lt;0, "Loss", "Profit")</f>
        <v>Profit</v>
      </c>
      <c r="W690" s="2">
        <f>SalesData[[#This Row],[Unit_Price]]*(1-SalesData[[#This Row],[Discount]])</f>
        <v>2364.1248000000001</v>
      </c>
      <c r="X690" s="2">
        <f>SalesData[[#This Row],[Effective_Unit_Price]]-SalesData[[#This Row],[Unit_Cost]]</f>
        <v>47.204799999999977</v>
      </c>
      <c r="Y690" s="2" t="str">
        <f>IF(SalesData[[#This Row],[Effective_Unit_Margin]]&lt;0,"Loss per Unit","Positive per Unit")</f>
        <v>Positive per Unit</v>
      </c>
    </row>
    <row r="691" spans="1:25" x14ac:dyDescent="0.3">
      <c r="A691">
        <v>1039</v>
      </c>
      <c r="B691" s="1">
        <v>44966</v>
      </c>
      <c r="C691" t="s">
        <v>23</v>
      </c>
      <c r="D691" t="s">
        <v>24</v>
      </c>
      <c r="E691">
        <v>20</v>
      </c>
      <c r="F691" t="s">
        <v>25</v>
      </c>
      <c r="G691">
        <v>2014.11</v>
      </c>
      <c r="H691">
        <v>2056.35</v>
      </c>
      <c r="I691" t="s">
        <v>16</v>
      </c>
      <c r="J691" s="2">
        <v>0.21</v>
      </c>
      <c r="K691" t="s">
        <v>26</v>
      </c>
      <c r="L691" t="s">
        <v>21</v>
      </c>
      <c r="M691" t="s">
        <v>27</v>
      </c>
      <c r="N691">
        <f>SalesData[[#This Row],[Quantity_Sold]]*SalesData[[#This Row],[Unit_Cost]]</f>
        <v>40282.199999999997</v>
      </c>
      <c r="O691">
        <f>SalesData[[#This Row],[Quantity_Sold]]*SalesData[[#This Row],[Unit_Price]]</f>
        <v>41127</v>
      </c>
      <c r="P691">
        <f>SalesData[[#This Row],[Gross_sales]]*(1-SalesData[[#This Row],[Discount]])</f>
        <v>32490.33</v>
      </c>
      <c r="Q691" s="2">
        <f>SalesData[[#This Row],[Sales_amount]]-SalesData[[#This Row],[Total_Cost]]</f>
        <v>-7791.8699999999953</v>
      </c>
      <c r="R691" s="2">
        <f>SalesData[[#This Row],[Profit]]/SalesData[[#This Row],[Sales_amount]]</f>
        <v>-0.23982120218538855</v>
      </c>
      <c r="S691" s="2">
        <f>SalesData[[#This Row],[Unit_Price]]-SalesData[[#This Row],[Unit_Cost]]</f>
        <v>42.240000000000009</v>
      </c>
      <c r="T691" s="10">
        <f>SalesData[[#This Row],[Unit_Margin]]/SalesData[[#This Row],[Unit_Price]]</f>
        <v>2.0541250273542932E-2</v>
      </c>
      <c r="U691" s="2" t="str">
        <f>IF(SalesData[[#This Row],[Unit_Margin]]&lt;0, "Negative margin", "Positive margin")</f>
        <v>Positive margin</v>
      </c>
      <c r="V691" s="2" t="str">
        <f>IF(SalesData[[#This Row],[Profit]]&lt;0, "Loss", "Profit")</f>
        <v>Loss</v>
      </c>
      <c r="W691" s="2">
        <f>SalesData[[#This Row],[Unit_Price]]*(1-SalesData[[#This Row],[Discount]])</f>
        <v>1624.5165</v>
      </c>
      <c r="X691" s="2">
        <f>SalesData[[#This Row],[Effective_Unit_Price]]-SalesData[[#This Row],[Unit_Cost]]</f>
        <v>-389.59349999999995</v>
      </c>
      <c r="Y691" s="2" t="str">
        <f>IF(SalesData[[#This Row],[Effective_Unit_Margin]]&lt;0,"Loss per Unit","Positive per Unit")</f>
        <v>Loss per Unit</v>
      </c>
    </row>
    <row r="692" spans="1:25" x14ac:dyDescent="0.3">
      <c r="A692">
        <v>1091</v>
      </c>
      <c r="B692" s="1">
        <v>45227</v>
      </c>
      <c r="C692" t="s">
        <v>13</v>
      </c>
      <c r="D692" t="s">
        <v>20</v>
      </c>
      <c r="E692">
        <v>39</v>
      </c>
      <c r="F692" t="s">
        <v>15</v>
      </c>
      <c r="G692">
        <v>2184.4899999999998</v>
      </c>
      <c r="H692">
        <v>2540.4199999999901</v>
      </c>
      <c r="I692" t="s">
        <v>16</v>
      </c>
      <c r="J692" s="2">
        <v>0.27</v>
      </c>
      <c r="K692" t="s">
        <v>26</v>
      </c>
      <c r="L692" t="s">
        <v>18</v>
      </c>
      <c r="M692" t="s">
        <v>22</v>
      </c>
      <c r="N692">
        <f>SalesData[[#This Row],[Quantity_Sold]]*SalesData[[#This Row],[Unit_Cost]]</f>
        <v>85195.109999999986</v>
      </c>
      <c r="O692">
        <f>SalesData[[#This Row],[Quantity_Sold]]*SalesData[[#This Row],[Unit_Price]]</f>
        <v>99076.379999999612</v>
      </c>
      <c r="P692">
        <f>SalesData[[#This Row],[Gross_sales]]*(1-SalesData[[#This Row],[Discount]])</f>
        <v>72325.757399999711</v>
      </c>
      <c r="Q692" s="2">
        <f>SalesData[[#This Row],[Sales_amount]]-SalesData[[#This Row],[Total_Cost]]</f>
        <v>-12869.352600000275</v>
      </c>
      <c r="R692" s="2">
        <f>SalesData[[#This Row],[Profit]]/SalesData[[#This Row],[Sales_amount]]</f>
        <v>-0.1779359534228718</v>
      </c>
      <c r="S692" s="2">
        <f>SalesData[[#This Row],[Unit_Price]]-SalesData[[#This Row],[Unit_Cost]]</f>
        <v>355.92999999999029</v>
      </c>
      <c r="T692" s="10">
        <f>SalesData[[#This Row],[Unit_Margin]]/SalesData[[#This Row],[Unit_Price]]</f>
        <v>0.1401067540013036</v>
      </c>
      <c r="U692" s="2" t="str">
        <f>IF(SalesData[[#This Row],[Unit_Margin]]&lt;0, "Negative margin", "Positive margin")</f>
        <v>Positive margin</v>
      </c>
      <c r="V692" s="2" t="str">
        <f>IF(SalesData[[#This Row],[Profit]]&lt;0, "Loss", "Profit")</f>
        <v>Loss</v>
      </c>
      <c r="W692" s="2">
        <f>SalesData[[#This Row],[Unit_Price]]*(1-SalesData[[#This Row],[Discount]])</f>
        <v>1854.5065999999927</v>
      </c>
      <c r="X692" s="2">
        <f>SalesData[[#This Row],[Effective_Unit_Price]]-SalesData[[#This Row],[Unit_Cost]]</f>
        <v>-329.98340000000712</v>
      </c>
      <c r="Y692" s="2" t="str">
        <f>IF(SalesData[[#This Row],[Effective_Unit_Margin]]&lt;0,"Loss per Unit","Positive per Unit")</f>
        <v>Loss per Unit</v>
      </c>
    </row>
    <row r="693" spans="1:25" x14ac:dyDescent="0.3">
      <c r="A693">
        <v>1074</v>
      </c>
      <c r="B693" s="1">
        <v>45150</v>
      </c>
      <c r="C693" t="s">
        <v>13</v>
      </c>
      <c r="D693" t="s">
        <v>33</v>
      </c>
      <c r="E693">
        <v>2</v>
      </c>
      <c r="F693" t="s">
        <v>25</v>
      </c>
      <c r="G693">
        <v>2868.02</v>
      </c>
      <c r="H693">
        <v>2994.74</v>
      </c>
      <c r="I693" t="s">
        <v>16</v>
      </c>
      <c r="J693" s="2">
        <v>0.18</v>
      </c>
      <c r="K693" t="s">
        <v>26</v>
      </c>
      <c r="L693" t="s">
        <v>18</v>
      </c>
      <c r="M693" t="s">
        <v>45</v>
      </c>
      <c r="N693">
        <f>SalesData[[#This Row],[Quantity_Sold]]*SalesData[[#This Row],[Unit_Cost]]</f>
        <v>5736.04</v>
      </c>
      <c r="O693">
        <f>SalesData[[#This Row],[Quantity_Sold]]*SalesData[[#This Row],[Unit_Price]]</f>
        <v>5989.48</v>
      </c>
      <c r="P693">
        <f>SalesData[[#This Row],[Gross_sales]]*(1-SalesData[[#This Row],[Discount]])</f>
        <v>4911.3735999999999</v>
      </c>
      <c r="Q693" s="2">
        <f>SalesData[[#This Row],[Sales_amount]]-SalesData[[#This Row],[Total_Cost]]</f>
        <v>-824.66640000000007</v>
      </c>
      <c r="R693" s="2">
        <f>SalesData[[#This Row],[Profit]]/SalesData[[#This Row],[Sales_amount]]</f>
        <v>-0.16790952331543257</v>
      </c>
      <c r="S693" s="2">
        <f>SalesData[[#This Row],[Unit_Price]]-SalesData[[#This Row],[Unit_Cost]]</f>
        <v>126.7199999999998</v>
      </c>
      <c r="T693" s="10">
        <f>SalesData[[#This Row],[Unit_Margin]]/SalesData[[#This Row],[Unit_Price]]</f>
        <v>4.2314190881345227E-2</v>
      </c>
      <c r="U693" s="2" t="str">
        <f>IF(SalesData[[#This Row],[Unit_Margin]]&lt;0, "Negative margin", "Positive margin")</f>
        <v>Positive margin</v>
      </c>
      <c r="V693" s="2" t="str">
        <f>IF(SalesData[[#This Row],[Profit]]&lt;0, "Loss", "Profit")</f>
        <v>Loss</v>
      </c>
      <c r="W693" s="2">
        <f>SalesData[[#This Row],[Unit_Price]]*(1-SalesData[[#This Row],[Discount]])</f>
        <v>2455.6867999999999</v>
      </c>
      <c r="X693" s="2">
        <f>SalesData[[#This Row],[Effective_Unit_Price]]-SalesData[[#This Row],[Unit_Cost]]</f>
        <v>-412.33320000000003</v>
      </c>
      <c r="Y693" s="2" t="str">
        <f>IF(SalesData[[#This Row],[Effective_Unit_Margin]]&lt;0,"Loss per Unit","Positive per Unit")</f>
        <v>Loss per Unit</v>
      </c>
    </row>
    <row r="694" spans="1:25" x14ac:dyDescent="0.3">
      <c r="A694">
        <v>1090</v>
      </c>
      <c r="B694" s="1">
        <v>45244</v>
      </c>
      <c r="C694" t="s">
        <v>13</v>
      </c>
      <c r="D694" t="s">
        <v>33</v>
      </c>
      <c r="E694">
        <v>1</v>
      </c>
      <c r="F694" t="s">
        <v>28</v>
      </c>
      <c r="G694">
        <v>60.28</v>
      </c>
      <c r="H694">
        <v>260.73</v>
      </c>
      <c r="I694" t="s">
        <v>16</v>
      </c>
      <c r="J694" s="2">
        <v>0.17</v>
      </c>
      <c r="K694" t="s">
        <v>17</v>
      </c>
      <c r="L694" t="s">
        <v>18</v>
      </c>
      <c r="M694" t="s">
        <v>45</v>
      </c>
      <c r="N694">
        <f>SalesData[[#This Row],[Quantity_Sold]]*SalesData[[#This Row],[Unit_Cost]]</f>
        <v>60.28</v>
      </c>
      <c r="O694">
        <f>SalesData[[#This Row],[Quantity_Sold]]*SalesData[[#This Row],[Unit_Price]]</f>
        <v>260.73</v>
      </c>
      <c r="P694">
        <f>SalesData[[#This Row],[Gross_sales]]*(1-SalesData[[#This Row],[Discount]])</f>
        <v>216.4059</v>
      </c>
      <c r="Q694" s="2">
        <f>SalesData[[#This Row],[Sales_amount]]-SalesData[[#This Row],[Total_Cost]]</f>
        <v>156.1259</v>
      </c>
      <c r="R694" s="2">
        <f>SalesData[[#This Row],[Profit]]/SalesData[[#This Row],[Sales_amount]]</f>
        <v>0.72144936898670509</v>
      </c>
      <c r="S694" s="2">
        <f>SalesData[[#This Row],[Unit_Price]]-SalesData[[#This Row],[Unit_Cost]]</f>
        <v>200.45000000000002</v>
      </c>
      <c r="T694" s="10">
        <f>SalesData[[#This Row],[Unit_Margin]]/SalesData[[#This Row],[Unit_Price]]</f>
        <v>0.76880297625896521</v>
      </c>
      <c r="U694" s="2" t="str">
        <f>IF(SalesData[[#This Row],[Unit_Margin]]&lt;0, "Negative margin", "Positive margin")</f>
        <v>Positive margin</v>
      </c>
      <c r="V694" s="2" t="str">
        <f>IF(SalesData[[#This Row],[Profit]]&lt;0, "Loss", "Profit")</f>
        <v>Profit</v>
      </c>
      <c r="W694" s="2">
        <f>SalesData[[#This Row],[Unit_Price]]*(1-SalesData[[#This Row],[Discount]])</f>
        <v>216.4059</v>
      </c>
      <c r="X694" s="2">
        <f>SalesData[[#This Row],[Effective_Unit_Price]]-SalesData[[#This Row],[Unit_Cost]]</f>
        <v>156.1259</v>
      </c>
      <c r="Y694" s="2" t="str">
        <f>IF(SalesData[[#This Row],[Effective_Unit_Margin]]&lt;0,"Loss per Unit","Positive per Unit")</f>
        <v>Positive per Unit</v>
      </c>
    </row>
    <row r="695" spans="1:25" x14ac:dyDescent="0.3">
      <c r="A695">
        <v>1019</v>
      </c>
      <c r="B695" s="1">
        <v>45275</v>
      </c>
      <c r="C695" t="s">
        <v>23</v>
      </c>
      <c r="D695" t="s">
        <v>33</v>
      </c>
      <c r="E695">
        <v>36</v>
      </c>
      <c r="F695" t="s">
        <v>28</v>
      </c>
      <c r="G695">
        <v>1340.51</v>
      </c>
      <c r="H695">
        <v>1567.92</v>
      </c>
      <c r="I695" t="s">
        <v>29</v>
      </c>
      <c r="J695" s="2">
        <v>0.28999999999999998</v>
      </c>
      <c r="K695" t="s">
        <v>17</v>
      </c>
      <c r="L695" t="s">
        <v>18</v>
      </c>
      <c r="M695" t="s">
        <v>49</v>
      </c>
      <c r="N695">
        <f>SalesData[[#This Row],[Quantity_Sold]]*SalesData[[#This Row],[Unit_Cost]]</f>
        <v>48258.36</v>
      </c>
      <c r="O695">
        <f>SalesData[[#This Row],[Quantity_Sold]]*SalesData[[#This Row],[Unit_Price]]</f>
        <v>56445.120000000003</v>
      </c>
      <c r="P695">
        <f>SalesData[[#This Row],[Gross_sales]]*(1-SalesData[[#This Row],[Discount]])</f>
        <v>40076.035199999998</v>
      </c>
      <c r="Q695" s="2">
        <f>SalesData[[#This Row],[Sales_amount]]-SalesData[[#This Row],[Total_Cost]]</f>
        <v>-8182.3248000000021</v>
      </c>
      <c r="R695" s="2">
        <f>SalesData[[#This Row],[Profit]]/SalesData[[#This Row],[Sales_amount]]</f>
        <v>-0.20417001729751955</v>
      </c>
      <c r="S695" s="2">
        <f>SalesData[[#This Row],[Unit_Price]]-SalesData[[#This Row],[Unit_Cost]]</f>
        <v>227.41000000000008</v>
      </c>
      <c r="T695" s="10">
        <f>SalesData[[#This Row],[Unit_Margin]]/SalesData[[#This Row],[Unit_Price]]</f>
        <v>0.14503928771876121</v>
      </c>
      <c r="U695" s="2" t="str">
        <f>IF(SalesData[[#This Row],[Unit_Margin]]&lt;0, "Negative margin", "Positive margin")</f>
        <v>Positive margin</v>
      </c>
      <c r="V695" s="2" t="str">
        <f>IF(SalesData[[#This Row],[Profit]]&lt;0, "Loss", "Profit")</f>
        <v>Loss</v>
      </c>
      <c r="W695" s="2">
        <f>SalesData[[#This Row],[Unit_Price]]*(1-SalesData[[#This Row],[Discount]])</f>
        <v>1113.2231999999999</v>
      </c>
      <c r="X695" s="2">
        <f>SalesData[[#This Row],[Effective_Unit_Price]]-SalesData[[#This Row],[Unit_Cost]]</f>
        <v>-227.28680000000008</v>
      </c>
      <c r="Y695" s="2" t="str">
        <f>IF(SalesData[[#This Row],[Effective_Unit_Margin]]&lt;0,"Loss per Unit","Positive per Unit")</f>
        <v>Loss per Unit</v>
      </c>
    </row>
    <row r="696" spans="1:25" x14ac:dyDescent="0.3">
      <c r="A696">
        <v>1039</v>
      </c>
      <c r="B696" s="1">
        <v>45041</v>
      </c>
      <c r="C696" t="s">
        <v>41</v>
      </c>
      <c r="D696" t="s">
        <v>33</v>
      </c>
      <c r="E696">
        <v>24</v>
      </c>
      <c r="F696" t="s">
        <v>28</v>
      </c>
      <c r="G696">
        <v>2615.48</v>
      </c>
      <c r="H696">
        <v>3062.22</v>
      </c>
      <c r="I696" t="s">
        <v>29</v>
      </c>
      <c r="J696" s="2">
        <v>0.19</v>
      </c>
      <c r="K696" t="s">
        <v>26</v>
      </c>
      <c r="L696" t="s">
        <v>21</v>
      </c>
      <c r="M696" t="s">
        <v>51</v>
      </c>
      <c r="N696">
        <f>SalesData[[#This Row],[Quantity_Sold]]*SalesData[[#This Row],[Unit_Cost]]</f>
        <v>62771.520000000004</v>
      </c>
      <c r="O696">
        <f>SalesData[[#This Row],[Quantity_Sold]]*SalesData[[#This Row],[Unit_Price]]</f>
        <v>73493.279999999999</v>
      </c>
      <c r="P696">
        <f>SalesData[[#This Row],[Gross_sales]]*(1-SalesData[[#This Row],[Discount]])</f>
        <v>59529.556800000006</v>
      </c>
      <c r="Q696" s="2">
        <f>SalesData[[#This Row],[Sales_amount]]-SalesData[[#This Row],[Total_Cost]]</f>
        <v>-3241.9631999999983</v>
      </c>
      <c r="R696" s="2">
        <f>SalesData[[#This Row],[Profit]]/SalesData[[#This Row],[Sales_amount]]</f>
        <v>-5.4459723442792339E-2</v>
      </c>
      <c r="S696" s="2">
        <f>SalesData[[#This Row],[Unit_Price]]-SalesData[[#This Row],[Unit_Cost]]</f>
        <v>446.73999999999978</v>
      </c>
      <c r="T696" s="10">
        <f>SalesData[[#This Row],[Unit_Margin]]/SalesData[[#This Row],[Unit_Price]]</f>
        <v>0.14588762401133812</v>
      </c>
      <c r="U696" s="2" t="str">
        <f>IF(SalesData[[#This Row],[Unit_Margin]]&lt;0, "Negative margin", "Positive margin")</f>
        <v>Positive margin</v>
      </c>
      <c r="V696" s="2" t="str">
        <f>IF(SalesData[[#This Row],[Profit]]&lt;0, "Loss", "Profit")</f>
        <v>Loss</v>
      </c>
      <c r="W696" s="2">
        <f>SalesData[[#This Row],[Unit_Price]]*(1-SalesData[[#This Row],[Discount]])</f>
        <v>2480.3982000000001</v>
      </c>
      <c r="X696" s="2">
        <f>SalesData[[#This Row],[Effective_Unit_Price]]-SalesData[[#This Row],[Unit_Cost]]</f>
        <v>-135.08179999999993</v>
      </c>
      <c r="Y696" s="2" t="str">
        <f>IF(SalesData[[#This Row],[Effective_Unit_Margin]]&lt;0,"Loss per Unit","Positive per Unit")</f>
        <v>Loss per Unit</v>
      </c>
    </row>
    <row r="697" spans="1:25" x14ac:dyDescent="0.3">
      <c r="A697">
        <v>1067</v>
      </c>
      <c r="B697" s="1">
        <v>45112</v>
      </c>
      <c r="C697" t="s">
        <v>41</v>
      </c>
      <c r="D697" t="s">
        <v>20</v>
      </c>
      <c r="E697">
        <v>27</v>
      </c>
      <c r="F697" t="s">
        <v>15</v>
      </c>
      <c r="G697">
        <v>3624.97</v>
      </c>
      <c r="H697">
        <v>3836.52</v>
      </c>
      <c r="I697" t="s">
        <v>29</v>
      </c>
      <c r="J697" s="2">
        <v>0.08</v>
      </c>
      <c r="K697" t="s">
        <v>17</v>
      </c>
      <c r="L697" t="s">
        <v>18</v>
      </c>
      <c r="M697" t="s">
        <v>50</v>
      </c>
      <c r="N697">
        <f>SalesData[[#This Row],[Quantity_Sold]]*SalesData[[#This Row],[Unit_Cost]]</f>
        <v>97874.189999999988</v>
      </c>
      <c r="O697">
        <f>SalesData[[#This Row],[Quantity_Sold]]*SalesData[[#This Row],[Unit_Price]]</f>
        <v>103586.04</v>
      </c>
      <c r="P697">
        <f>SalesData[[#This Row],[Gross_sales]]*(1-SalesData[[#This Row],[Discount]])</f>
        <v>95299.156799999997</v>
      </c>
      <c r="Q697" s="2">
        <f>SalesData[[#This Row],[Sales_amount]]-SalesData[[#This Row],[Total_Cost]]</f>
        <v>-2575.0331999999908</v>
      </c>
      <c r="R697" s="2">
        <f>SalesData[[#This Row],[Profit]]/SalesData[[#This Row],[Sales_amount]]</f>
        <v>-2.7020524487998313E-2</v>
      </c>
      <c r="S697" s="2">
        <f>SalesData[[#This Row],[Unit_Price]]-SalesData[[#This Row],[Unit_Cost]]</f>
        <v>211.55000000000018</v>
      </c>
      <c r="T697" s="10">
        <f>SalesData[[#This Row],[Unit_Margin]]/SalesData[[#This Row],[Unit_Price]]</f>
        <v>5.5141117471041515E-2</v>
      </c>
      <c r="U697" s="2" t="str">
        <f>IF(SalesData[[#This Row],[Unit_Margin]]&lt;0, "Negative margin", "Positive margin")</f>
        <v>Positive margin</v>
      </c>
      <c r="V697" s="2" t="str">
        <f>IF(SalesData[[#This Row],[Profit]]&lt;0, "Loss", "Profit")</f>
        <v>Loss</v>
      </c>
      <c r="W697" s="2">
        <f>SalesData[[#This Row],[Unit_Price]]*(1-SalesData[[#This Row],[Discount]])</f>
        <v>3529.5984000000003</v>
      </c>
      <c r="X697" s="2">
        <f>SalesData[[#This Row],[Effective_Unit_Price]]-SalesData[[#This Row],[Unit_Cost]]</f>
        <v>-95.371599999999489</v>
      </c>
      <c r="Y697" s="2" t="str">
        <f>IF(SalesData[[#This Row],[Effective_Unit_Margin]]&lt;0,"Loss per Unit","Positive per Unit")</f>
        <v>Loss per Unit</v>
      </c>
    </row>
    <row r="698" spans="1:25" x14ac:dyDescent="0.3">
      <c r="A698">
        <v>1045</v>
      </c>
      <c r="B698" s="1">
        <v>45249</v>
      </c>
      <c r="C698" t="s">
        <v>13</v>
      </c>
      <c r="D698" t="s">
        <v>14</v>
      </c>
      <c r="E698">
        <v>2</v>
      </c>
      <c r="F698" t="s">
        <v>34</v>
      </c>
      <c r="G698">
        <v>912.08</v>
      </c>
      <c r="H698">
        <v>993.24</v>
      </c>
      <c r="I698" t="s">
        <v>16</v>
      </c>
      <c r="J698" s="2">
        <v>0.09</v>
      </c>
      <c r="K698" t="s">
        <v>30</v>
      </c>
      <c r="L698" t="s">
        <v>18</v>
      </c>
      <c r="M698" t="s">
        <v>19</v>
      </c>
      <c r="N698">
        <f>SalesData[[#This Row],[Quantity_Sold]]*SalesData[[#This Row],[Unit_Cost]]</f>
        <v>1824.16</v>
      </c>
      <c r="O698">
        <f>SalesData[[#This Row],[Quantity_Sold]]*SalesData[[#This Row],[Unit_Price]]</f>
        <v>1986.48</v>
      </c>
      <c r="P698">
        <f>SalesData[[#This Row],[Gross_sales]]*(1-SalesData[[#This Row],[Discount]])</f>
        <v>1807.6968000000002</v>
      </c>
      <c r="Q698" s="2">
        <f>SalesData[[#This Row],[Sales_amount]]-SalesData[[#This Row],[Total_Cost]]</f>
        <v>-16.463199999999915</v>
      </c>
      <c r="R698" s="2">
        <f>SalesData[[#This Row],[Profit]]/SalesData[[#This Row],[Sales_amount]]</f>
        <v>-9.1072794951011227E-3</v>
      </c>
      <c r="S698" s="2">
        <f>SalesData[[#This Row],[Unit_Price]]-SalesData[[#This Row],[Unit_Cost]]</f>
        <v>81.159999999999968</v>
      </c>
      <c r="T698" s="10">
        <f>SalesData[[#This Row],[Unit_Margin]]/SalesData[[#This Row],[Unit_Price]]</f>
        <v>8.1712375659457909E-2</v>
      </c>
      <c r="U698" s="2" t="str">
        <f>IF(SalesData[[#This Row],[Unit_Margin]]&lt;0, "Negative margin", "Positive margin")</f>
        <v>Positive margin</v>
      </c>
      <c r="V698" s="2" t="str">
        <f>IF(SalesData[[#This Row],[Profit]]&lt;0, "Loss", "Profit")</f>
        <v>Loss</v>
      </c>
      <c r="W698" s="2">
        <f>SalesData[[#This Row],[Unit_Price]]*(1-SalesData[[#This Row],[Discount]])</f>
        <v>903.84840000000008</v>
      </c>
      <c r="X698" s="2">
        <f>SalesData[[#This Row],[Effective_Unit_Price]]-SalesData[[#This Row],[Unit_Cost]]</f>
        <v>-8.2315999999999576</v>
      </c>
      <c r="Y698" s="2" t="str">
        <f>IF(SalesData[[#This Row],[Effective_Unit_Margin]]&lt;0,"Loss per Unit","Positive per Unit")</f>
        <v>Loss per Unit</v>
      </c>
    </row>
    <row r="699" spans="1:25" x14ac:dyDescent="0.3">
      <c r="A699">
        <v>1013</v>
      </c>
      <c r="B699" s="1">
        <v>44982</v>
      </c>
      <c r="C699" t="s">
        <v>37</v>
      </c>
      <c r="D699" t="s">
        <v>33</v>
      </c>
      <c r="E699">
        <v>31</v>
      </c>
      <c r="F699" t="s">
        <v>25</v>
      </c>
      <c r="G699">
        <v>2757.06</v>
      </c>
      <c r="H699">
        <v>3023.97</v>
      </c>
      <c r="I699" t="s">
        <v>16</v>
      </c>
      <c r="J699" s="2">
        <v>0.21</v>
      </c>
      <c r="K699" t="s">
        <v>17</v>
      </c>
      <c r="L699" t="s">
        <v>18</v>
      </c>
      <c r="M699" t="s">
        <v>47</v>
      </c>
      <c r="N699">
        <f>SalesData[[#This Row],[Quantity_Sold]]*SalesData[[#This Row],[Unit_Cost]]</f>
        <v>85468.86</v>
      </c>
      <c r="O699">
        <f>SalesData[[#This Row],[Quantity_Sold]]*SalesData[[#This Row],[Unit_Price]]</f>
        <v>93743.069999999992</v>
      </c>
      <c r="P699">
        <f>SalesData[[#This Row],[Gross_sales]]*(1-SalesData[[#This Row],[Discount]])</f>
        <v>74057.025299999994</v>
      </c>
      <c r="Q699" s="2">
        <f>SalesData[[#This Row],[Sales_amount]]-SalesData[[#This Row],[Total_Cost]]</f>
        <v>-11411.834700000007</v>
      </c>
      <c r="R699" s="2">
        <f>SalesData[[#This Row],[Profit]]/SalesData[[#This Row],[Sales_amount]]</f>
        <v>-0.15409523477038725</v>
      </c>
      <c r="S699" s="2">
        <f>SalesData[[#This Row],[Unit_Price]]-SalesData[[#This Row],[Unit_Cost]]</f>
        <v>266.90999999999985</v>
      </c>
      <c r="T699" s="10">
        <f>SalesData[[#This Row],[Unit_Margin]]/SalesData[[#This Row],[Unit_Price]]</f>
        <v>8.8264764531394119E-2</v>
      </c>
      <c r="U699" s="2" t="str">
        <f>IF(SalesData[[#This Row],[Unit_Margin]]&lt;0, "Negative margin", "Positive margin")</f>
        <v>Positive margin</v>
      </c>
      <c r="V699" s="2" t="str">
        <f>IF(SalesData[[#This Row],[Profit]]&lt;0, "Loss", "Profit")</f>
        <v>Loss</v>
      </c>
      <c r="W699" s="2">
        <f>SalesData[[#This Row],[Unit_Price]]*(1-SalesData[[#This Row],[Discount]])</f>
        <v>2388.9362999999998</v>
      </c>
      <c r="X699" s="2">
        <f>SalesData[[#This Row],[Effective_Unit_Price]]-SalesData[[#This Row],[Unit_Cost]]</f>
        <v>-368.1237000000001</v>
      </c>
      <c r="Y699" s="2" t="str">
        <f>IF(SalesData[[#This Row],[Effective_Unit_Margin]]&lt;0,"Loss per Unit","Positive per Unit")</f>
        <v>Loss per Unit</v>
      </c>
    </row>
    <row r="700" spans="1:25" x14ac:dyDescent="0.3">
      <c r="A700">
        <v>1092</v>
      </c>
      <c r="B700" s="1">
        <v>44966</v>
      </c>
      <c r="C700" t="s">
        <v>41</v>
      </c>
      <c r="D700" t="s">
        <v>24</v>
      </c>
      <c r="E700">
        <v>14</v>
      </c>
      <c r="F700" t="s">
        <v>28</v>
      </c>
      <c r="G700">
        <v>3586.58</v>
      </c>
      <c r="H700">
        <v>4068.43</v>
      </c>
      <c r="I700" t="s">
        <v>29</v>
      </c>
      <c r="J700" s="2">
        <v>0.22</v>
      </c>
      <c r="K700" t="s">
        <v>30</v>
      </c>
      <c r="L700" t="s">
        <v>18</v>
      </c>
      <c r="M700" t="s">
        <v>42</v>
      </c>
      <c r="N700">
        <f>SalesData[[#This Row],[Quantity_Sold]]*SalesData[[#This Row],[Unit_Cost]]</f>
        <v>50212.119999999995</v>
      </c>
      <c r="O700">
        <f>SalesData[[#This Row],[Quantity_Sold]]*SalesData[[#This Row],[Unit_Price]]</f>
        <v>56958.02</v>
      </c>
      <c r="P700">
        <f>SalesData[[#This Row],[Gross_sales]]*(1-SalesData[[#This Row],[Discount]])</f>
        <v>44427.255599999997</v>
      </c>
      <c r="Q700" s="2">
        <f>SalesData[[#This Row],[Sales_amount]]-SalesData[[#This Row],[Total_Cost]]</f>
        <v>-5784.8643999999986</v>
      </c>
      <c r="R700" s="2">
        <f>SalesData[[#This Row],[Profit]]/SalesData[[#This Row],[Sales_amount]]</f>
        <v>-0.13020980751284578</v>
      </c>
      <c r="S700" s="2">
        <f>SalesData[[#This Row],[Unit_Price]]-SalesData[[#This Row],[Unit_Cost]]</f>
        <v>481.84999999999991</v>
      </c>
      <c r="T700" s="10">
        <f>SalesData[[#This Row],[Unit_Margin]]/SalesData[[#This Row],[Unit_Price]]</f>
        <v>0.11843635013998027</v>
      </c>
      <c r="U700" s="2" t="str">
        <f>IF(SalesData[[#This Row],[Unit_Margin]]&lt;0, "Negative margin", "Positive margin")</f>
        <v>Positive margin</v>
      </c>
      <c r="V700" s="2" t="str">
        <f>IF(SalesData[[#This Row],[Profit]]&lt;0, "Loss", "Profit")</f>
        <v>Loss</v>
      </c>
      <c r="W700" s="2">
        <f>SalesData[[#This Row],[Unit_Price]]*(1-SalesData[[#This Row],[Discount]])</f>
        <v>3173.3753999999999</v>
      </c>
      <c r="X700" s="2">
        <f>SalesData[[#This Row],[Effective_Unit_Price]]-SalesData[[#This Row],[Unit_Cost]]</f>
        <v>-413.20460000000003</v>
      </c>
      <c r="Y700" s="2" t="str">
        <f>IF(SalesData[[#This Row],[Effective_Unit_Margin]]&lt;0,"Loss per Unit","Positive per Unit")</f>
        <v>Loss per Unit</v>
      </c>
    </row>
    <row r="701" spans="1:25" x14ac:dyDescent="0.3">
      <c r="A701">
        <v>1058</v>
      </c>
      <c r="B701" s="1">
        <v>45280</v>
      </c>
      <c r="C701" t="s">
        <v>23</v>
      </c>
      <c r="D701" t="s">
        <v>14</v>
      </c>
      <c r="E701">
        <v>2</v>
      </c>
      <c r="F701" t="s">
        <v>28</v>
      </c>
      <c r="G701">
        <v>2250.91</v>
      </c>
      <c r="H701">
        <v>2558.6799999999998</v>
      </c>
      <c r="I701" t="s">
        <v>29</v>
      </c>
      <c r="J701" s="2">
        <v>0.09</v>
      </c>
      <c r="K701" t="s">
        <v>30</v>
      </c>
      <c r="L701" t="s">
        <v>21</v>
      </c>
      <c r="M701" t="s">
        <v>44</v>
      </c>
      <c r="N701">
        <f>SalesData[[#This Row],[Quantity_Sold]]*SalesData[[#This Row],[Unit_Cost]]</f>
        <v>4501.82</v>
      </c>
      <c r="O701">
        <f>SalesData[[#This Row],[Quantity_Sold]]*SalesData[[#This Row],[Unit_Price]]</f>
        <v>5117.3599999999997</v>
      </c>
      <c r="P701">
        <f>SalesData[[#This Row],[Gross_sales]]*(1-SalesData[[#This Row],[Discount]])</f>
        <v>4656.7975999999999</v>
      </c>
      <c r="Q701" s="2">
        <f>SalesData[[#This Row],[Sales_amount]]-SalesData[[#This Row],[Total_Cost]]</f>
        <v>154.97760000000017</v>
      </c>
      <c r="R701" s="2">
        <f>SalesData[[#This Row],[Profit]]/SalesData[[#This Row],[Sales_amount]]</f>
        <v>3.327986597484936E-2</v>
      </c>
      <c r="S701" s="2">
        <f>SalesData[[#This Row],[Unit_Price]]-SalesData[[#This Row],[Unit_Cost]]</f>
        <v>307.77</v>
      </c>
      <c r="T701" s="10">
        <f>SalesData[[#This Row],[Unit_Margin]]/SalesData[[#This Row],[Unit_Price]]</f>
        <v>0.12028467803711289</v>
      </c>
      <c r="U701" s="2" t="str">
        <f>IF(SalesData[[#This Row],[Unit_Margin]]&lt;0, "Negative margin", "Positive margin")</f>
        <v>Positive margin</v>
      </c>
      <c r="V701" s="2" t="str">
        <f>IF(SalesData[[#This Row],[Profit]]&lt;0, "Loss", "Profit")</f>
        <v>Profit</v>
      </c>
      <c r="W701" s="2">
        <f>SalesData[[#This Row],[Unit_Price]]*(1-SalesData[[#This Row],[Discount]])</f>
        <v>2328.3987999999999</v>
      </c>
      <c r="X701" s="2">
        <f>SalesData[[#This Row],[Effective_Unit_Price]]-SalesData[[#This Row],[Unit_Cost]]</f>
        <v>77.488800000000083</v>
      </c>
      <c r="Y701" s="2" t="str">
        <f>IF(SalesData[[#This Row],[Effective_Unit_Margin]]&lt;0,"Loss per Unit","Positive per Unit")</f>
        <v>Positive per Unit</v>
      </c>
    </row>
    <row r="702" spans="1:25" x14ac:dyDescent="0.3">
      <c r="A702">
        <v>1020</v>
      </c>
      <c r="B702" s="1">
        <v>44966</v>
      </c>
      <c r="C702" t="s">
        <v>32</v>
      </c>
      <c r="D702" t="s">
        <v>33</v>
      </c>
      <c r="E702">
        <v>29</v>
      </c>
      <c r="F702" t="s">
        <v>34</v>
      </c>
      <c r="G702">
        <v>184.05</v>
      </c>
      <c r="H702">
        <v>675.91</v>
      </c>
      <c r="I702" t="s">
        <v>16</v>
      </c>
      <c r="J702" s="2">
        <v>0.1</v>
      </c>
      <c r="K702" t="s">
        <v>17</v>
      </c>
      <c r="L702" t="s">
        <v>21</v>
      </c>
      <c r="M702" t="s">
        <v>35</v>
      </c>
      <c r="N702">
        <f>SalesData[[#This Row],[Quantity_Sold]]*SalesData[[#This Row],[Unit_Cost]]</f>
        <v>5337.4500000000007</v>
      </c>
      <c r="O702">
        <f>SalesData[[#This Row],[Quantity_Sold]]*SalesData[[#This Row],[Unit_Price]]</f>
        <v>19601.39</v>
      </c>
      <c r="P702">
        <f>SalesData[[#This Row],[Gross_sales]]*(1-SalesData[[#This Row],[Discount]])</f>
        <v>17641.251</v>
      </c>
      <c r="Q702" s="2">
        <f>SalesData[[#This Row],[Sales_amount]]-SalesData[[#This Row],[Total_Cost]]</f>
        <v>12303.800999999999</v>
      </c>
      <c r="R702" s="2">
        <f>SalesData[[#This Row],[Profit]]/SalesData[[#This Row],[Sales_amount]]</f>
        <v>0.6974449260996286</v>
      </c>
      <c r="S702" s="2">
        <f>SalesData[[#This Row],[Unit_Price]]-SalesData[[#This Row],[Unit_Cost]]</f>
        <v>491.85999999999996</v>
      </c>
      <c r="T702" s="10">
        <f>SalesData[[#This Row],[Unit_Margin]]/SalesData[[#This Row],[Unit_Price]]</f>
        <v>0.72770043348966573</v>
      </c>
      <c r="U702" s="2" t="str">
        <f>IF(SalesData[[#This Row],[Unit_Margin]]&lt;0, "Negative margin", "Positive margin")</f>
        <v>Positive margin</v>
      </c>
      <c r="V702" s="2" t="str">
        <f>IF(SalesData[[#This Row],[Profit]]&lt;0, "Loss", "Profit")</f>
        <v>Profit</v>
      </c>
      <c r="W702" s="2">
        <f>SalesData[[#This Row],[Unit_Price]]*(1-SalesData[[#This Row],[Discount]])</f>
        <v>608.31899999999996</v>
      </c>
      <c r="X702" s="2">
        <f>SalesData[[#This Row],[Effective_Unit_Price]]-SalesData[[#This Row],[Unit_Cost]]</f>
        <v>424.26899999999995</v>
      </c>
      <c r="Y702" s="2" t="str">
        <f>IF(SalesData[[#This Row],[Effective_Unit_Margin]]&lt;0,"Loss per Unit","Positive per Unit")</f>
        <v>Positive per Unit</v>
      </c>
    </row>
    <row r="703" spans="1:25" x14ac:dyDescent="0.3">
      <c r="A703">
        <v>1092</v>
      </c>
      <c r="B703" s="1">
        <v>45273</v>
      </c>
      <c r="C703" t="s">
        <v>32</v>
      </c>
      <c r="D703" t="s">
        <v>14</v>
      </c>
      <c r="E703">
        <v>15</v>
      </c>
      <c r="F703" t="s">
        <v>28</v>
      </c>
      <c r="G703">
        <v>2273.88</v>
      </c>
      <c r="H703">
        <v>2696.02</v>
      </c>
      <c r="I703" t="s">
        <v>29</v>
      </c>
      <c r="J703" s="2">
        <v>0.3</v>
      </c>
      <c r="K703" t="s">
        <v>17</v>
      </c>
      <c r="L703" t="s">
        <v>18</v>
      </c>
      <c r="M703" t="s">
        <v>52</v>
      </c>
      <c r="N703">
        <f>SalesData[[#This Row],[Quantity_Sold]]*SalesData[[#This Row],[Unit_Cost]]</f>
        <v>34108.200000000004</v>
      </c>
      <c r="O703">
        <f>SalesData[[#This Row],[Quantity_Sold]]*SalesData[[#This Row],[Unit_Price]]</f>
        <v>40440.300000000003</v>
      </c>
      <c r="P703">
        <f>SalesData[[#This Row],[Gross_sales]]*(1-SalesData[[#This Row],[Discount]])</f>
        <v>28308.21</v>
      </c>
      <c r="Q703" s="2">
        <f>SalesData[[#This Row],[Sales_amount]]-SalesData[[#This Row],[Total_Cost]]</f>
        <v>-5799.9900000000052</v>
      </c>
      <c r="R703" s="2">
        <f>SalesData[[#This Row],[Profit]]/SalesData[[#This Row],[Sales_amount]]</f>
        <v>-0.20488720410085998</v>
      </c>
      <c r="S703" s="2">
        <f>SalesData[[#This Row],[Unit_Price]]-SalesData[[#This Row],[Unit_Cost]]</f>
        <v>422.13999999999987</v>
      </c>
      <c r="T703" s="10">
        <f>SalesData[[#This Row],[Unit_Margin]]/SalesData[[#This Row],[Unit_Price]]</f>
        <v>0.15657895712939809</v>
      </c>
      <c r="U703" s="2" t="str">
        <f>IF(SalesData[[#This Row],[Unit_Margin]]&lt;0, "Negative margin", "Positive margin")</f>
        <v>Positive margin</v>
      </c>
      <c r="V703" s="2" t="str">
        <f>IF(SalesData[[#This Row],[Profit]]&lt;0, "Loss", "Profit")</f>
        <v>Loss</v>
      </c>
      <c r="W703" s="2">
        <f>SalesData[[#This Row],[Unit_Price]]*(1-SalesData[[#This Row],[Discount]])</f>
        <v>1887.2139999999999</v>
      </c>
      <c r="X703" s="2">
        <f>SalesData[[#This Row],[Effective_Unit_Price]]-SalesData[[#This Row],[Unit_Cost]]</f>
        <v>-386.66600000000017</v>
      </c>
      <c r="Y703" s="2" t="str">
        <f>IF(SalesData[[#This Row],[Effective_Unit_Margin]]&lt;0,"Loss per Unit","Positive per Unit")</f>
        <v>Loss per Unit</v>
      </c>
    </row>
    <row r="704" spans="1:25" x14ac:dyDescent="0.3">
      <c r="A704">
        <v>1072</v>
      </c>
      <c r="B704" s="1">
        <v>45163</v>
      </c>
      <c r="C704" t="s">
        <v>32</v>
      </c>
      <c r="D704" t="s">
        <v>24</v>
      </c>
      <c r="E704">
        <v>12</v>
      </c>
      <c r="F704" t="s">
        <v>25</v>
      </c>
      <c r="G704">
        <v>1517.4</v>
      </c>
      <c r="H704">
        <v>1545.02</v>
      </c>
      <c r="I704" t="s">
        <v>29</v>
      </c>
      <c r="J704" s="2">
        <v>0.03</v>
      </c>
      <c r="K704" t="s">
        <v>26</v>
      </c>
      <c r="L704" t="s">
        <v>21</v>
      </c>
      <c r="M704" t="s">
        <v>43</v>
      </c>
      <c r="N704">
        <f>SalesData[[#This Row],[Quantity_Sold]]*SalesData[[#This Row],[Unit_Cost]]</f>
        <v>18208.800000000003</v>
      </c>
      <c r="O704">
        <f>SalesData[[#This Row],[Quantity_Sold]]*SalesData[[#This Row],[Unit_Price]]</f>
        <v>18540.239999999998</v>
      </c>
      <c r="P704">
        <f>SalesData[[#This Row],[Gross_sales]]*(1-SalesData[[#This Row],[Discount]])</f>
        <v>17984.032799999997</v>
      </c>
      <c r="Q704" s="2">
        <f>SalesData[[#This Row],[Sales_amount]]-SalesData[[#This Row],[Total_Cost]]</f>
        <v>-224.76720000000569</v>
      </c>
      <c r="R704" s="2">
        <f>SalesData[[#This Row],[Profit]]/SalesData[[#This Row],[Sales_amount]]</f>
        <v>-1.2498153361909223E-2</v>
      </c>
      <c r="S704" s="2">
        <f>SalesData[[#This Row],[Unit_Price]]-SalesData[[#This Row],[Unit_Cost]]</f>
        <v>27.619999999999891</v>
      </c>
      <c r="T704" s="10">
        <f>SalesData[[#This Row],[Unit_Margin]]/SalesData[[#This Row],[Unit_Price]]</f>
        <v>1.7876791238948291E-2</v>
      </c>
      <c r="U704" s="2" t="str">
        <f>IF(SalesData[[#This Row],[Unit_Margin]]&lt;0, "Negative margin", "Positive margin")</f>
        <v>Positive margin</v>
      </c>
      <c r="V704" s="2" t="str">
        <f>IF(SalesData[[#This Row],[Profit]]&lt;0, "Loss", "Profit")</f>
        <v>Loss</v>
      </c>
      <c r="W704" s="2">
        <f>SalesData[[#This Row],[Unit_Price]]*(1-SalesData[[#This Row],[Discount]])</f>
        <v>1498.6694</v>
      </c>
      <c r="X704" s="2">
        <f>SalesData[[#This Row],[Effective_Unit_Price]]-SalesData[[#This Row],[Unit_Cost]]</f>
        <v>-18.730600000000095</v>
      </c>
      <c r="Y704" s="2" t="str">
        <f>IF(SalesData[[#This Row],[Effective_Unit_Margin]]&lt;0,"Loss per Unit","Positive per Unit")</f>
        <v>Loss per Unit</v>
      </c>
    </row>
    <row r="705" spans="1:25" x14ac:dyDescent="0.3">
      <c r="A705">
        <v>1061</v>
      </c>
      <c r="B705" s="1">
        <v>45215</v>
      </c>
      <c r="C705" t="s">
        <v>37</v>
      </c>
      <c r="D705" t="s">
        <v>33</v>
      </c>
      <c r="E705">
        <v>37</v>
      </c>
      <c r="F705" t="s">
        <v>15</v>
      </c>
      <c r="G705">
        <v>4651.7700000000004</v>
      </c>
      <c r="H705">
        <v>4984.3900000000003</v>
      </c>
      <c r="I705" t="s">
        <v>16</v>
      </c>
      <c r="J705" s="2">
        <v>0.12</v>
      </c>
      <c r="K705" t="s">
        <v>17</v>
      </c>
      <c r="L705" t="s">
        <v>21</v>
      </c>
      <c r="M705" t="s">
        <v>47</v>
      </c>
      <c r="N705">
        <f>SalesData[[#This Row],[Quantity_Sold]]*SalesData[[#This Row],[Unit_Cost]]</f>
        <v>172115.49000000002</v>
      </c>
      <c r="O705">
        <f>SalesData[[#This Row],[Quantity_Sold]]*SalesData[[#This Row],[Unit_Price]]</f>
        <v>184422.43000000002</v>
      </c>
      <c r="P705">
        <f>SalesData[[#This Row],[Gross_sales]]*(1-SalesData[[#This Row],[Discount]])</f>
        <v>162291.73840000003</v>
      </c>
      <c r="Q705" s="2">
        <f>SalesData[[#This Row],[Sales_amount]]-SalesData[[#This Row],[Total_Cost]]</f>
        <v>-9823.7515999999887</v>
      </c>
      <c r="R705" s="2">
        <f>SalesData[[#This Row],[Profit]]/SalesData[[#This Row],[Sales_amount]]</f>
        <v>-6.0531433681407822E-2</v>
      </c>
      <c r="S705" s="2">
        <f>SalesData[[#This Row],[Unit_Price]]-SalesData[[#This Row],[Unit_Cost]]</f>
        <v>332.61999999999989</v>
      </c>
      <c r="T705" s="10">
        <f>SalesData[[#This Row],[Unit_Margin]]/SalesData[[#This Row],[Unit_Price]]</f>
        <v>6.6732338360361021E-2</v>
      </c>
      <c r="U705" s="2" t="str">
        <f>IF(SalesData[[#This Row],[Unit_Margin]]&lt;0, "Negative margin", "Positive margin")</f>
        <v>Positive margin</v>
      </c>
      <c r="V705" s="2" t="str">
        <f>IF(SalesData[[#This Row],[Profit]]&lt;0, "Loss", "Profit")</f>
        <v>Loss</v>
      </c>
      <c r="W705" s="2">
        <f>SalesData[[#This Row],[Unit_Price]]*(1-SalesData[[#This Row],[Discount]])</f>
        <v>4386.2632000000003</v>
      </c>
      <c r="X705" s="2">
        <f>SalesData[[#This Row],[Effective_Unit_Price]]-SalesData[[#This Row],[Unit_Cost]]</f>
        <v>-265.50680000000011</v>
      </c>
      <c r="Y705" s="2" t="str">
        <f>IF(SalesData[[#This Row],[Effective_Unit_Margin]]&lt;0,"Loss per Unit","Positive per Unit")</f>
        <v>Loss per Unit</v>
      </c>
    </row>
    <row r="706" spans="1:25" x14ac:dyDescent="0.3">
      <c r="A706">
        <v>1039</v>
      </c>
      <c r="B706" s="1">
        <v>45188</v>
      </c>
      <c r="C706" t="s">
        <v>13</v>
      </c>
      <c r="D706" t="s">
        <v>24</v>
      </c>
      <c r="E706">
        <v>28</v>
      </c>
      <c r="F706" t="s">
        <v>28</v>
      </c>
      <c r="G706">
        <v>666.84</v>
      </c>
      <c r="H706">
        <v>817.36</v>
      </c>
      <c r="I706" t="s">
        <v>16</v>
      </c>
      <c r="J706" s="2">
        <v>0.02</v>
      </c>
      <c r="K706" t="s">
        <v>17</v>
      </c>
      <c r="L706" t="s">
        <v>21</v>
      </c>
      <c r="M706" t="s">
        <v>31</v>
      </c>
      <c r="N706">
        <f>SalesData[[#This Row],[Quantity_Sold]]*SalesData[[#This Row],[Unit_Cost]]</f>
        <v>18671.52</v>
      </c>
      <c r="O706">
        <f>SalesData[[#This Row],[Quantity_Sold]]*SalesData[[#This Row],[Unit_Price]]</f>
        <v>22886.080000000002</v>
      </c>
      <c r="P706">
        <f>SalesData[[#This Row],[Gross_sales]]*(1-SalesData[[#This Row],[Discount]])</f>
        <v>22428.358400000001</v>
      </c>
      <c r="Q706" s="2">
        <f>SalesData[[#This Row],[Sales_amount]]-SalesData[[#This Row],[Total_Cost]]</f>
        <v>3756.8384000000005</v>
      </c>
      <c r="R706" s="2">
        <f>SalesData[[#This Row],[Profit]]/SalesData[[#This Row],[Sales_amount]]</f>
        <v>0.16750394001194491</v>
      </c>
      <c r="S706" s="2">
        <f>SalesData[[#This Row],[Unit_Price]]-SalesData[[#This Row],[Unit_Cost]]</f>
        <v>150.51999999999998</v>
      </c>
      <c r="T706" s="10">
        <f>SalesData[[#This Row],[Unit_Margin]]/SalesData[[#This Row],[Unit_Price]]</f>
        <v>0.18415386121170596</v>
      </c>
      <c r="U706" s="2" t="str">
        <f>IF(SalesData[[#This Row],[Unit_Margin]]&lt;0, "Negative margin", "Positive margin")</f>
        <v>Positive margin</v>
      </c>
      <c r="V706" s="2" t="str">
        <f>IF(SalesData[[#This Row],[Profit]]&lt;0, "Loss", "Profit")</f>
        <v>Profit</v>
      </c>
      <c r="W706" s="2">
        <f>SalesData[[#This Row],[Unit_Price]]*(1-SalesData[[#This Row],[Discount]])</f>
        <v>801.01279999999997</v>
      </c>
      <c r="X706" s="2">
        <f>SalesData[[#This Row],[Effective_Unit_Price]]-SalesData[[#This Row],[Unit_Cost]]</f>
        <v>134.17279999999994</v>
      </c>
      <c r="Y706" s="2" t="str">
        <f>IF(SalesData[[#This Row],[Effective_Unit_Margin]]&lt;0,"Loss per Unit","Positive per Unit")</f>
        <v>Positive per Unit</v>
      </c>
    </row>
    <row r="707" spans="1:25" x14ac:dyDescent="0.3">
      <c r="A707">
        <v>1001</v>
      </c>
      <c r="B707" s="1">
        <v>45142</v>
      </c>
      <c r="C707" t="s">
        <v>23</v>
      </c>
      <c r="D707" t="s">
        <v>20</v>
      </c>
      <c r="E707">
        <v>20</v>
      </c>
      <c r="F707" t="s">
        <v>25</v>
      </c>
      <c r="G707">
        <v>3279.76</v>
      </c>
      <c r="H707">
        <v>3563.97</v>
      </c>
      <c r="I707" t="s">
        <v>16</v>
      </c>
      <c r="J707" s="2">
        <v>0.25</v>
      </c>
      <c r="K707" t="s">
        <v>17</v>
      </c>
      <c r="L707" t="s">
        <v>21</v>
      </c>
      <c r="M707" t="s">
        <v>46</v>
      </c>
      <c r="N707">
        <f>SalesData[[#This Row],[Quantity_Sold]]*SalesData[[#This Row],[Unit_Cost]]</f>
        <v>65595.200000000012</v>
      </c>
      <c r="O707">
        <f>SalesData[[#This Row],[Quantity_Sold]]*SalesData[[#This Row],[Unit_Price]]</f>
        <v>71279.399999999994</v>
      </c>
      <c r="P707">
        <f>SalesData[[#This Row],[Gross_sales]]*(1-SalesData[[#This Row],[Discount]])</f>
        <v>53459.549999999996</v>
      </c>
      <c r="Q707" s="2">
        <f>SalesData[[#This Row],[Sales_amount]]-SalesData[[#This Row],[Total_Cost]]</f>
        <v>-12135.650000000016</v>
      </c>
      <c r="R707" s="2">
        <f>SalesData[[#This Row],[Profit]]/SalesData[[#This Row],[Sales_amount]]</f>
        <v>-0.22700621310879004</v>
      </c>
      <c r="S707" s="2">
        <f>SalesData[[#This Row],[Unit_Price]]-SalesData[[#This Row],[Unit_Cost]]</f>
        <v>284.20999999999958</v>
      </c>
      <c r="T707" s="10">
        <f>SalesData[[#This Row],[Unit_Margin]]/SalesData[[#This Row],[Unit_Price]]</f>
        <v>7.9745340168407591E-2</v>
      </c>
      <c r="U707" s="2" t="str">
        <f>IF(SalesData[[#This Row],[Unit_Margin]]&lt;0, "Negative margin", "Positive margin")</f>
        <v>Positive margin</v>
      </c>
      <c r="V707" s="2" t="str">
        <f>IF(SalesData[[#This Row],[Profit]]&lt;0, "Loss", "Profit")</f>
        <v>Loss</v>
      </c>
      <c r="W707" s="2">
        <f>SalesData[[#This Row],[Unit_Price]]*(1-SalesData[[#This Row],[Discount]])</f>
        <v>2672.9775</v>
      </c>
      <c r="X707" s="2">
        <f>SalesData[[#This Row],[Effective_Unit_Price]]-SalesData[[#This Row],[Unit_Cost]]</f>
        <v>-606.78250000000025</v>
      </c>
      <c r="Y707" s="2" t="str">
        <f>IF(SalesData[[#This Row],[Effective_Unit_Margin]]&lt;0,"Loss per Unit","Positive per Unit")</f>
        <v>Loss per Unit</v>
      </c>
    </row>
    <row r="708" spans="1:25" x14ac:dyDescent="0.3">
      <c r="A708">
        <v>1003</v>
      </c>
      <c r="B708" s="1">
        <v>45073</v>
      </c>
      <c r="C708" t="s">
        <v>37</v>
      </c>
      <c r="D708" t="s">
        <v>33</v>
      </c>
      <c r="E708">
        <v>39</v>
      </c>
      <c r="F708" t="s">
        <v>28</v>
      </c>
      <c r="G708">
        <v>310.95999999999998</v>
      </c>
      <c r="H708">
        <v>457.84</v>
      </c>
      <c r="I708" t="s">
        <v>29</v>
      </c>
      <c r="J708" s="2">
        <v>0.03</v>
      </c>
      <c r="K708" t="s">
        <v>30</v>
      </c>
      <c r="L708" t="s">
        <v>18</v>
      </c>
      <c r="M708" t="s">
        <v>47</v>
      </c>
      <c r="N708">
        <f>SalesData[[#This Row],[Quantity_Sold]]*SalesData[[#This Row],[Unit_Cost]]</f>
        <v>12127.439999999999</v>
      </c>
      <c r="O708">
        <f>SalesData[[#This Row],[Quantity_Sold]]*SalesData[[#This Row],[Unit_Price]]</f>
        <v>17855.759999999998</v>
      </c>
      <c r="P708">
        <f>SalesData[[#This Row],[Gross_sales]]*(1-SalesData[[#This Row],[Discount]])</f>
        <v>17320.087199999998</v>
      </c>
      <c r="Q708" s="2">
        <f>SalesData[[#This Row],[Sales_amount]]-SalesData[[#This Row],[Total_Cost]]</f>
        <v>5192.6471999999994</v>
      </c>
      <c r="R708" s="2">
        <f>SalesData[[#This Row],[Profit]]/SalesData[[#This Row],[Sales_amount]]</f>
        <v>0.29980491091291966</v>
      </c>
      <c r="S708" s="2">
        <f>SalesData[[#This Row],[Unit_Price]]-SalesData[[#This Row],[Unit_Cost]]</f>
        <v>146.88</v>
      </c>
      <c r="T708" s="10">
        <f>SalesData[[#This Row],[Unit_Margin]]/SalesData[[#This Row],[Unit_Price]]</f>
        <v>0.32081076358553207</v>
      </c>
      <c r="U708" s="2" t="str">
        <f>IF(SalesData[[#This Row],[Unit_Margin]]&lt;0, "Negative margin", "Positive margin")</f>
        <v>Positive margin</v>
      </c>
      <c r="V708" s="2" t="str">
        <f>IF(SalesData[[#This Row],[Profit]]&lt;0, "Loss", "Profit")</f>
        <v>Profit</v>
      </c>
      <c r="W708" s="2">
        <f>SalesData[[#This Row],[Unit_Price]]*(1-SalesData[[#This Row],[Discount]])</f>
        <v>444.10479999999995</v>
      </c>
      <c r="X708" s="2">
        <f>SalesData[[#This Row],[Effective_Unit_Price]]-SalesData[[#This Row],[Unit_Cost]]</f>
        <v>133.14479999999998</v>
      </c>
      <c r="Y708" s="2" t="str">
        <f>IF(SalesData[[#This Row],[Effective_Unit_Margin]]&lt;0,"Loss per Unit","Positive per Unit")</f>
        <v>Positive per Unit</v>
      </c>
    </row>
    <row r="709" spans="1:25" x14ac:dyDescent="0.3">
      <c r="A709">
        <v>1077</v>
      </c>
      <c r="B709" s="1">
        <v>45262</v>
      </c>
      <c r="C709" t="s">
        <v>23</v>
      </c>
      <c r="D709" t="s">
        <v>33</v>
      </c>
      <c r="E709">
        <v>24</v>
      </c>
      <c r="F709" t="s">
        <v>34</v>
      </c>
      <c r="G709">
        <v>2258.54</v>
      </c>
      <c r="H709">
        <v>2439.4899999999998</v>
      </c>
      <c r="I709" t="s">
        <v>16</v>
      </c>
      <c r="J709" s="2">
        <v>0.2</v>
      </c>
      <c r="K709" t="s">
        <v>30</v>
      </c>
      <c r="L709" t="s">
        <v>21</v>
      </c>
      <c r="M709" t="s">
        <v>49</v>
      </c>
      <c r="N709">
        <f>SalesData[[#This Row],[Quantity_Sold]]*SalesData[[#This Row],[Unit_Cost]]</f>
        <v>54204.959999999999</v>
      </c>
      <c r="O709">
        <f>SalesData[[#This Row],[Quantity_Sold]]*SalesData[[#This Row],[Unit_Price]]</f>
        <v>58547.759999999995</v>
      </c>
      <c r="P709">
        <f>SalesData[[#This Row],[Gross_sales]]*(1-SalesData[[#This Row],[Discount]])</f>
        <v>46838.207999999999</v>
      </c>
      <c r="Q709" s="2">
        <f>SalesData[[#This Row],[Sales_amount]]-SalesData[[#This Row],[Total_Cost]]</f>
        <v>-7366.7520000000004</v>
      </c>
      <c r="R709" s="2">
        <f>SalesData[[#This Row],[Profit]]/SalesData[[#This Row],[Sales_amount]]</f>
        <v>-0.15728082509049024</v>
      </c>
      <c r="S709" s="2">
        <f>SalesData[[#This Row],[Unit_Price]]-SalesData[[#This Row],[Unit_Cost]]</f>
        <v>180.94999999999982</v>
      </c>
      <c r="T709" s="10">
        <f>SalesData[[#This Row],[Unit_Margin]]/SalesData[[#This Row],[Unit_Price]]</f>
        <v>7.4175339927607747E-2</v>
      </c>
      <c r="U709" s="2" t="str">
        <f>IF(SalesData[[#This Row],[Unit_Margin]]&lt;0, "Negative margin", "Positive margin")</f>
        <v>Positive margin</v>
      </c>
      <c r="V709" s="2" t="str">
        <f>IF(SalesData[[#This Row],[Profit]]&lt;0, "Loss", "Profit")</f>
        <v>Loss</v>
      </c>
      <c r="W709" s="2">
        <f>SalesData[[#This Row],[Unit_Price]]*(1-SalesData[[#This Row],[Discount]])</f>
        <v>1951.5919999999999</v>
      </c>
      <c r="X709" s="2">
        <f>SalesData[[#This Row],[Effective_Unit_Price]]-SalesData[[#This Row],[Unit_Cost]]</f>
        <v>-306.94800000000009</v>
      </c>
      <c r="Y709" s="2" t="str">
        <f>IF(SalesData[[#This Row],[Effective_Unit_Margin]]&lt;0,"Loss per Unit","Positive per Unit")</f>
        <v>Loss per Unit</v>
      </c>
    </row>
    <row r="710" spans="1:25" x14ac:dyDescent="0.3">
      <c r="A710">
        <v>1092</v>
      </c>
      <c r="B710" s="1">
        <v>45094</v>
      </c>
      <c r="C710" t="s">
        <v>23</v>
      </c>
      <c r="D710" t="s">
        <v>33</v>
      </c>
      <c r="E710">
        <v>21</v>
      </c>
      <c r="F710" t="s">
        <v>28</v>
      </c>
      <c r="G710">
        <v>2792.2</v>
      </c>
      <c r="H710">
        <v>3254.5499999999902</v>
      </c>
      <c r="I710" t="s">
        <v>29</v>
      </c>
      <c r="J710" s="2">
        <v>0.02</v>
      </c>
      <c r="K710" t="s">
        <v>30</v>
      </c>
      <c r="L710" t="s">
        <v>21</v>
      </c>
      <c r="M710" t="s">
        <v>49</v>
      </c>
      <c r="N710">
        <f>SalesData[[#This Row],[Quantity_Sold]]*SalesData[[#This Row],[Unit_Cost]]</f>
        <v>58636.2</v>
      </c>
      <c r="O710">
        <f>SalesData[[#This Row],[Quantity_Sold]]*SalesData[[#This Row],[Unit_Price]]</f>
        <v>68345.549999999799</v>
      </c>
      <c r="P710">
        <f>SalesData[[#This Row],[Gross_sales]]*(1-SalesData[[#This Row],[Discount]])</f>
        <v>66978.638999999806</v>
      </c>
      <c r="Q710" s="2">
        <f>SalesData[[#This Row],[Sales_amount]]-SalesData[[#This Row],[Total_Cost]]</f>
        <v>8342.4389999998093</v>
      </c>
      <c r="R710" s="2">
        <f>SalesData[[#This Row],[Profit]]/SalesData[[#This Row],[Sales_amount]]</f>
        <v>0.12455372525559728</v>
      </c>
      <c r="S710" s="2">
        <f>SalesData[[#This Row],[Unit_Price]]-SalesData[[#This Row],[Unit_Cost]]</f>
        <v>462.34999999999036</v>
      </c>
      <c r="T710" s="10">
        <f>SalesData[[#This Row],[Unit_Margin]]/SalesData[[#This Row],[Unit_Price]]</f>
        <v>0.14206265075048524</v>
      </c>
      <c r="U710" s="2" t="str">
        <f>IF(SalesData[[#This Row],[Unit_Margin]]&lt;0, "Negative margin", "Positive margin")</f>
        <v>Positive margin</v>
      </c>
      <c r="V710" s="2" t="str">
        <f>IF(SalesData[[#This Row],[Profit]]&lt;0, "Loss", "Profit")</f>
        <v>Profit</v>
      </c>
      <c r="W710" s="2">
        <f>SalesData[[#This Row],[Unit_Price]]*(1-SalesData[[#This Row],[Discount]])</f>
        <v>3189.4589999999903</v>
      </c>
      <c r="X710" s="2">
        <f>SalesData[[#This Row],[Effective_Unit_Price]]-SalesData[[#This Row],[Unit_Cost]]</f>
        <v>397.25899999999046</v>
      </c>
      <c r="Y710" s="2" t="str">
        <f>IF(SalesData[[#This Row],[Effective_Unit_Margin]]&lt;0,"Loss per Unit","Positive per Unit")</f>
        <v>Positive per Unit</v>
      </c>
    </row>
    <row r="711" spans="1:25" x14ac:dyDescent="0.3">
      <c r="A711">
        <v>1062</v>
      </c>
      <c r="B711" s="1">
        <v>45018</v>
      </c>
      <c r="C711" t="s">
        <v>13</v>
      </c>
      <c r="D711" t="s">
        <v>33</v>
      </c>
      <c r="E711">
        <v>10</v>
      </c>
      <c r="F711" t="s">
        <v>28</v>
      </c>
      <c r="G711">
        <v>1524.88</v>
      </c>
      <c r="H711">
        <v>1636.14</v>
      </c>
      <c r="I711" t="s">
        <v>29</v>
      </c>
      <c r="J711" s="2">
        <v>0.2</v>
      </c>
      <c r="K711" t="s">
        <v>26</v>
      </c>
      <c r="L711" t="s">
        <v>18</v>
      </c>
      <c r="M711" t="s">
        <v>45</v>
      </c>
      <c r="N711">
        <f>SalesData[[#This Row],[Quantity_Sold]]*SalesData[[#This Row],[Unit_Cost]]</f>
        <v>15248.800000000001</v>
      </c>
      <c r="O711">
        <f>SalesData[[#This Row],[Quantity_Sold]]*SalesData[[#This Row],[Unit_Price]]</f>
        <v>16361.400000000001</v>
      </c>
      <c r="P711">
        <f>SalesData[[#This Row],[Gross_sales]]*(1-SalesData[[#This Row],[Discount]])</f>
        <v>13089.120000000003</v>
      </c>
      <c r="Q711" s="2">
        <f>SalesData[[#This Row],[Sales_amount]]-SalesData[[#This Row],[Total_Cost]]</f>
        <v>-2159.6799999999985</v>
      </c>
      <c r="R711" s="2">
        <f>SalesData[[#This Row],[Profit]]/SalesData[[#This Row],[Sales_amount]]</f>
        <v>-0.1649981052966126</v>
      </c>
      <c r="S711" s="2">
        <f>SalesData[[#This Row],[Unit_Price]]-SalesData[[#This Row],[Unit_Cost]]</f>
        <v>111.25999999999999</v>
      </c>
      <c r="T711" s="10">
        <f>SalesData[[#This Row],[Unit_Margin]]/SalesData[[#This Row],[Unit_Price]]</f>
        <v>6.8001515762709783E-2</v>
      </c>
      <c r="U711" s="2" t="str">
        <f>IF(SalesData[[#This Row],[Unit_Margin]]&lt;0, "Negative margin", "Positive margin")</f>
        <v>Positive margin</v>
      </c>
      <c r="V711" s="2" t="str">
        <f>IF(SalesData[[#This Row],[Profit]]&lt;0, "Loss", "Profit")</f>
        <v>Loss</v>
      </c>
      <c r="W711" s="2">
        <f>SalesData[[#This Row],[Unit_Price]]*(1-SalesData[[#This Row],[Discount]])</f>
        <v>1308.9120000000003</v>
      </c>
      <c r="X711" s="2">
        <f>SalesData[[#This Row],[Effective_Unit_Price]]-SalesData[[#This Row],[Unit_Cost]]</f>
        <v>-215.96799999999985</v>
      </c>
      <c r="Y711" s="2" t="str">
        <f>IF(SalesData[[#This Row],[Effective_Unit_Margin]]&lt;0,"Loss per Unit","Positive per Unit")</f>
        <v>Loss per Unit</v>
      </c>
    </row>
    <row r="712" spans="1:25" x14ac:dyDescent="0.3">
      <c r="A712">
        <v>1063</v>
      </c>
      <c r="B712" s="1">
        <v>45279</v>
      </c>
      <c r="C712" t="s">
        <v>32</v>
      </c>
      <c r="D712" t="s">
        <v>20</v>
      </c>
      <c r="E712">
        <v>46</v>
      </c>
      <c r="F712" t="s">
        <v>15</v>
      </c>
      <c r="G712">
        <v>2302.62</v>
      </c>
      <c r="H712">
        <v>2740.93</v>
      </c>
      <c r="I712" t="s">
        <v>16</v>
      </c>
      <c r="J712" s="2">
        <v>0.25</v>
      </c>
      <c r="K712" t="s">
        <v>26</v>
      </c>
      <c r="L712" t="s">
        <v>18</v>
      </c>
      <c r="M712" t="s">
        <v>36</v>
      </c>
      <c r="N712">
        <f>SalesData[[#This Row],[Quantity_Sold]]*SalesData[[#This Row],[Unit_Cost]]</f>
        <v>105920.51999999999</v>
      </c>
      <c r="O712">
        <f>SalesData[[#This Row],[Quantity_Sold]]*SalesData[[#This Row],[Unit_Price]]</f>
        <v>126082.78</v>
      </c>
      <c r="P712">
        <f>SalesData[[#This Row],[Gross_sales]]*(1-SalesData[[#This Row],[Discount]])</f>
        <v>94562.084999999992</v>
      </c>
      <c r="Q712" s="2">
        <f>SalesData[[#This Row],[Sales_amount]]-SalesData[[#This Row],[Total_Cost]]</f>
        <v>-11358.434999999998</v>
      </c>
      <c r="R712" s="2">
        <f>SalesData[[#This Row],[Profit]]/SalesData[[#This Row],[Sales_amount]]</f>
        <v>-0.12011616495131214</v>
      </c>
      <c r="S712" s="2">
        <f>SalesData[[#This Row],[Unit_Price]]-SalesData[[#This Row],[Unit_Cost]]</f>
        <v>438.30999999999995</v>
      </c>
      <c r="T712" s="10">
        <f>SalesData[[#This Row],[Unit_Margin]]/SalesData[[#This Row],[Unit_Price]]</f>
        <v>0.15991287628651588</v>
      </c>
      <c r="U712" s="2" t="str">
        <f>IF(SalesData[[#This Row],[Unit_Margin]]&lt;0, "Negative margin", "Positive margin")</f>
        <v>Positive margin</v>
      </c>
      <c r="V712" s="2" t="str">
        <f>IF(SalesData[[#This Row],[Profit]]&lt;0, "Loss", "Profit")</f>
        <v>Loss</v>
      </c>
      <c r="W712" s="2">
        <f>SalesData[[#This Row],[Unit_Price]]*(1-SalesData[[#This Row],[Discount]])</f>
        <v>2055.6974999999998</v>
      </c>
      <c r="X712" s="2">
        <f>SalesData[[#This Row],[Effective_Unit_Price]]-SalesData[[#This Row],[Unit_Cost]]</f>
        <v>-246.92250000000013</v>
      </c>
      <c r="Y712" s="2" t="str">
        <f>IF(SalesData[[#This Row],[Effective_Unit_Margin]]&lt;0,"Loss per Unit","Positive per Unit")</f>
        <v>Loss per Unit</v>
      </c>
    </row>
    <row r="713" spans="1:25" x14ac:dyDescent="0.3">
      <c r="A713">
        <v>1025</v>
      </c>
      <c r="B713" s="1">
        <v>44985</v>
      </c>
      <c r="C713" t="s">
        <v>13</v>
      </c>
      <c r="D713" t="s">
        <v>33</v>
      </c>
      <c r="E713">
        <v>14</v>
      </c>
      <c r="F713" t="s">
        <v>34</v>
      </c>
      <c r="G713">
        <v>859.59</v>
      </c>
      <c r="H713">
        <v>884.51</v>
      </c>
      <c r="I713" t="s">
        <v>29</v>
      </c>
      <c r="J713" s="2">
        <v>0.12</v>
      </c>
      <c r="K713" t="s">
        <v>26</v>
      </c>
      <c r="L713" t="s">
        <v>18</v>
      </c>
      <c r="M713" t="s">
        <v>45</v>
      </c>
      <c r="N713">
        <f>SalesData[[#This Row],[Quantity_Sold]]*SalesData[[#This Row],[Unit_Cost]]</f>
        <v>12034.26</v>
      </c>
      <c r="O713">
        <f>SalesData[[#This Row],[Quantity_Sold]]*SalesData[[#This Row],[Unit_Price]]</f>
        <v>12383.14</v>
      </c>
      <c r="P713">
        <f>SalesData[[#This Row],[Gross_sales]]*(1-SalesData[[#This Row],[Discount]])</f>
        <v>10897.163199999999</v>
      </c>
      <c r="Q713" s="2">
        <f>SalesData[[#This Row],[Sales_amount]]-SalesData[[#This Row],[Total_Cost]]</f>
        <v>-1137.0968000000012</v>
      </c>
      <c r="R713" s="2">
        <f>SalesData[[#This Row],[Profit]]/SalesData[[#This Row],[Sales_amount]]</f>
        <v>-0.10434796461523135</v>
      </c>
      <c r="S713" s="2">
        <f>SalesData[[#This Row],[Unit_Price]]-SalesData[[#This Row],[Unit_Cost]]</f>
        <v>24.919999999999959</v>
      </c>
      <c r="T713" s="10">
        <f>SalesData[[#This Row],[Unit_Margin]]/SalesData[[#This Row],[Unit_Price]]</f>
        <v>2.8173791138596464E-2</v>
      </c>
      <c r="U713" s="2" t="str">
        <f>IF(SalesData[[#This Row],[Unit_Margin]]&lt;0, "Negative margin", "Positive margin")</f>
        <v>Positive margin</v>
      </c>
      <c r="V713" s="2" t="str">
        <f>IF(SalesData[[#This Row],[Profit]]&lt;0, "Loss", "Profit")</f>
        <v>Loss</v>
      </c>
      <c r="W713" s="2">
        <f>SalesData[[#This Row],[Unit_Price]]*(1-SalesData[[#This Row],[Discount]])</f>
        <v>778.36879999999996</v>
      </c>
      <c r="X713" s="2">
        <f>SalesData[[#This Row],[Effective_Unit_Price]]-SalesData[[#This Row],[Unit_Cost]]</f>
        <v>-81.221200000000067</v>
      </c>
      <c r="Y713" s="2" t="str">
        <f>IF(SalesData[[#This Row],[Effective_Unit_Margin]]&lt;0,"Loss per Unit","Positive per Unit")</f>
        <v>Loss per Unit</v>
      </c>
    </row>
    <row r="714" spans="1:25" x14ac:dyDescent="0.3">
      <c r="A714">
        <v>1056</v>
      </c>
      <c r="B714" s="1">
        <v>44985</v>
      </c>
      <c r="C714" t="s">
        <v>37</v>
      </c>
      <c r="D714" t="s">
        <v>14</v>
      </c>
      <c r="E714">
        <v>37</v>
      </c>
      <c r="F714" t="s">
        <v>34</v>
      </c>
      <c r="G714">
        <v>1555.41</v>
      </c>
      <c r="H714">
        <v>1609.94</v>
      </c>
      <c r="I714" t="s">
        <v>16</v>
      </c>
      <c r="J714" s="2">
        <v>0.16</v>
      </c>
      <c r="K714" t="s">
        <v>30</v>
      </c>
      <c r="L714" t="s">
        <v>18</v>
      </c>
      <c r="M714" t="s">
        <v>39</v>
      </c>
      <c r="N714">
        <f>SalesData[[#This Row],[Quantity_Sold]]*SalesData[[#This Row],[Unit_Cost]]</f>
        <v>57550.170000000006</v>
      </c>
      <c r="O714">
        <f>SalesData[[#This Row],[Quantity_Sold]]*SalesData[[#This Row],[Unit_Price]]</f>
        <v>59567.78</v>
      </c>
      <c r="P714">
        <f>SalesData[[#This Row],[Gross_sales]]*(1-SalesData[[#This Row],[Discount]])</f>
        <v>50036.9352</v>
      </c>
      <c r="Q714" s="2">
        <f>SalesData[[#This Row],[Sales_amount]]-SalesData[[#This Row],[Total_Cost]]</f>
        <v>-7513.2348000000056</v>
      </c>
      <c r="R714" s="2">
        <f>SalesData[[#This Row],[Profit]]/SalesData[[#This Row],[Sales_amount]]</f>
        <v>-0.15015377680445954</v>
      </c>
      <c r="S714" s="2">
        <f>SalesData[[#This Row],[Unit_Price]]-SalesData[[#This Row],[Unit_Cost]]</f>
        <v>54.529999999999973</v>
      </c>
      <c r="T714" s="10">
        <f>SalesData[[#This Row],[Unit_Margin]]/SalesData[[#This Row],[Unit_Price]]</f>
        <v>3.3870827484254053E-2</v>
      </c>
      <c r="U714" s="2" t="str">
        <f>IF(SalesData[[#This Row],[Unit_Margin]]&lt;0, "Negative margin", "Positive margin")</f>
        <v>Positive margin</v>
      </c>
      <c r="V714" s="2" t="str">
        <f>IF(SalesData[[#This Row],[Profit]]&lt;0, "Loss", "Profit")</f>
        <v>Loss</v>
      </c>
      <c r="W714" s="2">
        <f>SalesData[[#This Row],[Unit_Price]]*(1-SalesData[[#This Row],[Discount]])</f>
        <v>1352.3496</v>
      </c>
      <c r="X714" s="2">
        <f>SalesData[[#This Row],[Effective_Unit_Price]]-SalesData[[#This Row],[Unit_Cost]]</f>
        <v>-203.06040000000007</v>
      </c>
      <c r="Y714" s="2" t="str">
        <f>IF(SalesData[[#This Row],[Effective_Unit_Margin]]&lt;0,"Loss per Unit","Positive per Unit")</f>
        <v>Loss per Unit</v>
      </c>
    </row>
    <row r="715" spans="1:25" x14ac:dyDescent="0.3">
      <c r="A715">
        <v>1033</v>
      </c>
      <c r="B715" s="1">
        <v>45230</v>
      </c>
      <c r="C715" t="s">
        <v>37</v>
      </c>
      <c r="D715" t="s">
        <v>33</v>
      </c>
      <c r="E715">
        <v>18</v>
      </c>
      <c r="F715" t="s">
        <v>15</v>
      </c>
      <c r="G715">
        <v>3124.48</v>
      </c>
      <c r="H715">
        <v>3553.27</v>
      </c>
      <c r="I715" t="s">
        <v>16</v>
      </c>
      <c r="J715" s="2">
        <v>0.12</v>
      </c>
      <c r="K715" t="s">
        <v>17</v>
      </c>
      <c r="L715" t="s">
        <v>21</v>
      </c>
      <c r="M715" t="s">
        <v>47</v>
      </c>
      <c r="N715">
        <f>SalesData[[#This Row],[Quantity_Sold]]*SalesData[[#This Row],[Unit_Cost]]</f>
        <v>56240.639999999999</v>
      </c>
      <c r="O715">
        <f>SalesData[[#This Row],[Quantity_Sold]]*SalesData[[#This Row],[Unit_Price]]</f>
        <v>63958.86</v>
      </c>
      <c r="P715">
        <f>SalesData[[#This Row],[Gross_sales]]*(1-SalesData[[#This Row],[Discount]])</f>
        <v>56283.796800000004</v>
      </c>
      <c r="Q715" s="2">
        <f>SalesData[[#This Row],[Sales_amount]]-SalesData[[#This Row],[Total_Cost]]</f>
        <v>43.156800000004296</v>
      </c>
      <c r="R715" s="2">
        <f>SalesData[[#This Row],[Profit]]/SalesData[[#This Row],[Sales_amount]]</f>
        <v>7.6677129926679523E-4</v>
      </c>
      <c r="S715" s="2">
        <f>SalesData[[#This Row],[Unit_Price]]-SalesData[[#This Row],[Unit_Cost]]</f>
        <v>428.78999999999996</v>
      </c>
      <c r="T715" s="10">
        <f>SalesData[[#This Row],[Unit_Margin]]/SalesData[[#This Row],[Unit_Price]]</f>
        <v>0.1206747587433547</v>
      </c>
      <c r="U715" s="2" t="str">
        <f>IF(SalesData[[#This Row],[Unit_Margin]]&lt;0, "Negative margin", "Positive margin")</f>
        <v>Positive margin</v>
      </c>
      <c r="V715" s="2" t="str">
        <f>IF(SalesData[[#This Row],[Profit]]&lt;0, "Loss", "Profit")</f>
        <v>Profit</v>
      </c>
      <c r="W715" s="2">
        <f>SalesData[[#This Row],[Unit_Price]]*(1-SalesData[[#This Row],[Discount]])</f>
        <v>3126.8775999999998</v>
      </c>
      <c r="X715" s="2">
        <f>SalesData[[#This Row],[Effective_Unit_Price]]-SalesData[[#This Row],[Unit_Cost]]</f>
        <v>2.3975999999997839</v>
      </c>
      <c r="Y715" s="2" t="str">
        <f>IF(SalesData[[#This Row],[Effective_Unit_Margin]]&lt;0,"Loss per Unit","Positive per Unit")</f>
        <v>Positive per Unit</v>
      </c>
    </row>
    <row r="716" spans="1:25" x14ac:dyDescent="0.3">
      <c r="A716">
        <v>1038</v>
      </c>
      <c r="B716" s="1">
        <v>45095</v>
      </c>
      <c r="C716" t="s">
        <v>37</v>
      </c>
      <c r="D716" t="s">
        <v>20</v>
      </c>
      <c r="E716">
        <v>24</v>
      </c>
      <c r="F716" t="s">
        <v>28</v>
      </c>
      <c r="G716">
        <v>1543.91</v>
      </c>
      <c r="H716">
        <v>1862.88</v>
      </c>
      <c r="I716" t="s">
        <v>29</v>
      </c>
      <c r="J716" s="2">
        <v>0.09</v>
      </c>
      <c r="K716" t="s">
        <v>26</v>
      </c>
      <c r="L716" t="s">
        <v>18</v>
      </c>
      <c r="M716" t="s">
        <v>40</v>
      </c>
      <c r="N716">
        <f>SalesData[[#This Row],[Quantity_Sold]]*SalesData[[#This Row],[Unit_Cost]]</f>
        <v>37053.840000000004</v>
      </c>
      <c r="O716">
        <f>SalesData[[#This Row],[Quantity_Sold]]*SalesData[[#This Row],[Unit_Price]]</f>
        <v>44709.120000000003</v>
      </c>
      <c r="P716">
        <f>SalesData[[#This Row],[Gross_sales]]*(1-SalesData[[#This Row],[Discount]])</f>
        <v>40685.299200000001</v>
      </c>
      <c r="Q716" s="2">
        <f>SalesData[[#This Row],[Sales_amount]]-SalesData[[#This Row],[Total_Cost]]</f>
        <v>3631.4591999999975</v>
      </c>
      <c r="R716" s="2">
        <f>SalesData[[#This Row],[Profit]]/SalesData[[#This Row],[Sales_amount]]</f>
        <v>8.9257281411365352E-2</v>
      </c>
      <c r="S716" s="2">
        <f>SalesData[[#This Row],[Unit_Price]]-SalesData[[#This Row],[Unit_Cost]]</f>
        <v>318.97000000000003</v>
      </c>
      <c r="T716" s="10">
        <f>SalesData[[#This Row],[Unit_Margin]]/SalesData[[#This Row],[Unit_Price]]</f>
        <v>0.17122412608434254</v>
      </c>
      <c r="U716" s="2" t="str">
        <f>IF(SalesData[[#This Row],[Unit_Margin]]&lt;0, "Negative margin", "Positive margin")</f>
        <v>Positive margin</v>
      </c>
      <c r="V716" s="2" t="str">
        <f>IF(SalesData[[#This Row],[Profit]]&lt;0, "Loss", "Profit")</f>
        <v>Profit</v>
      </c>
      <c r="W716" s="2">
        <f>SalesData[[#This Row],[Unit_Price]]*(1-SalesData[[#This Row],[Discount]])</f>
        <v>1695.2208000000001</v>
      </c>
      <c r="X716" s="2">
        <f>SalesData[[#This Row],[Effective_Unit_Price]]-SalesData[[#This Row],[Unit_Cost]]</f>
        <v>151.31079999999997</v>
      </c>
      <c r="Y716" s="2" t="str">
        <f>IF(SalesData[[#This Row],[Effective_Unit_Margin]]&lt;0,"Loss per Unit","Positive per Unit")</f>
        <v>Positive per Unit</v>
      </c>
    </row>
    <row r="717" spans="1:25" x14ac:dyDescent="0.3">
      <c r="A717">
        <v>1006</v>
      </c>
      <c r="B717" s="1">
        <v>45195</v>
      </c>
      <c r="C717" t="s">
        <v>13</v>
      </c>
      <c r="D717" t="s">
        <v>33</v>
      </c>
      <c r="E717">
        <v>14</v>
      </c>
      <c r="F717" t="s">
        <v>25</v>
      </c>
      <c r="G717">
        <v>4503.7299999999996</v>
      </c>
      <c r="H717">
        <v>4879.8799999999901</v>
      </c>
      <c r="I717" t="s">
        <v>29</v>
      </c>
      <c r="J717" s="2">
        <v>0.24</v>
      </c>
      <c r="K717" t="s">
        <v>26</v>
      </c>
      <c r="L717" t="s">
        <v>21</v>
      </c>
      <c r="M717" t="s">
        <v>45</v>
      </c>
      <c r="N717">
        <f>SalesData[[#This Row],[Quantity_Sold]]*SalesData[[#This Row],[Unit_Cost]]</f>
        <v>63052.219999999994</v>
      </c>
      <c r="O717">
        <f>SalesData[[#This Row],[Quantity_Sold]]*SalesData[[#This Row],[Unit_Price]]</f>
        <v>68318.319999999861</v>
      </c>
      <c r="P717">
        <f>SalesData[[#This Row],[Gross_sales]]*(1-SalesData[[#This Row],[Discount]])</f>
        <v>51921.923199999896</v>
      </c>
      <c r="Q717" s="2">
        <f>SalesData[[#This Row],[Sales_amount]]-SalesData[[#This Row],[Total_Cost]]</f>
        <v>-11130.296800000098</v>
      </c>
      <c r="R717" s="2">
        <f>SalesData[[#This Row],[Profit]]/SalesData[[#This Row],[Sales_amount]]</f>
        <v>-0.21436603488524325</v>
      </c>
      <c r="S717" s="2">
        <f>SalesData[[#This Row],[Unit_Price]]-SalesData[[#This Row],[Unit_Cost]]</f>
        <v>376.14999999999054</v>
      </c>
      <c r="T717" s="10">
        <f>SalesData[[#This Row],[Unit_Margin]]/SalesData[[#This Row],[Unit_Price]]</f>
        <v>7.7081813487215114E-2</v>
      </c>
      <c r="U717" s="2" t="str">
        <f>IF(SalesData[[#This Row],[Unit_Margin]]&lt;0, "Negative margin", "Positive margin")</f>
        <v>Positive margin</v>
      </c>
      <c r="V717" s="2" t="str">
        <f>IF(SalesData[[#This Row],[Profit]]&lt;0, "Loss", "Profit")</f>
        <v>Loss</v>
      </c>
      <c r="W717" s="2">
        <f>SalesData[[#This Row],[Unit_Price]]*(1-SalesData[[#This Row],[Discount]])</f>
        <v>3708.7087999999926</v>
      </c>
      <c r="X717" s="2">
        <f>SalesData[[#This Row],[Effective_Unit_Price]]-SalesData[[#This Row],[Unit_Cost]]</f>
        <v>-795.02120000000696</v>
      </c>
      <c r="Y717" s="2" t="str">
        <f>IF(SalesData[[#This Row],[Effective_Unit_Margin]]&lt;0,"Loss per Unit","Positive per Unit")</f>
        <v>Loss per Unit</v>
      </c>
    </row>
    <row r="718" spans="1:25" x14ac:dyDescent="0.3">
      <c r="A718">
        <v>1058</v>
      </c>
      <c r="B718" s="1">
        <v>45289</v>
      </c>
      <c r="C718" t="s">
        <v>23</v>
      </c>
      <c r="D718" t="s">
        <v>14</v>
      </c>
      <c r="E718">
        <v>34</v>
      </c>
      <c r="F718" t="s">
        <v>34</v>
      </c>
      <c r="G718">
        <v>3160.61</v>
      </c>
      <c r="H718">
        <v>3273.22</v>
      </c>
      <c r="I718" t="s">
        <v>16</v>
      </c>
      <c r="J718" s="2">
        <v>0.08</v>
      </c>
      <c r="K718" t="s">
        <v>30</v>
      </c>
      <c r="L718" t="s">
        <v>21</v>
      </c>
      <c r="M718" t="s">
        <v>44</v>
      </c>
      <c r="N718">
        <f>SalesData[[#This Row],[Quantity_Sold]]*SalesData[[#This Row],[Unit_Cost]]</f>
        <v>107460.74</v>
      </c>
      <c r="O718">
        <f>SalesData[[#This Row],[Quantity_Sold]]*SalesData[[#This Row],[Unit_Price]]</f>
        <v>111289.48</v>
      </c>
      <c r="P718">
        <f>SalesData[[#This Row],[Gross_sales]]*(1-SalesData[[#This Row],[Discount]])</f>
        <v>102386.3216</v>
      </c>
      <c r="Q718" s="2">
        <f>SalesData[[#This Row],[Sales_amount]]-SalesData[[#This Row],[Total_Cost]]</f>
        <v>-5074.4184000000096</v>
      </c>
      <c r="R718" s="2">
        <f>SalesData[[#This Row],[Profit]]/SalesData[[#This Row],[Sales_amount]]</f>
        <v>-4.9561487518074973E-2</v>
      </c>
      <c r="S718" s="2">
        <f>SalesData[[#This Row],[Unit_Price]]-SalesData[[#This Row],[Unit_Cost]]</f>
        <v>112.60999999999967</v>
      </c>
      <c r="T718" s="10">
        <f>SalesData[[#This Row],[Unit_Margin]]/SalesData[[#This Row],[Unit_Price]]</f>
        <v>3.4403431483371015E-2</v>
      </c>
      <c r="U718" s="2" t="str">
        <f>IF(SalesData[[#This Row],[Unit_Margin]]&lt;0, "Negative margin", "Positive margin")</f>
        <v>Positive margin</v>
      </c>
      <c r="V718" s="2" t="str">
        <f>IF(SalesData[[#This Row],[Profit]]&lt;0, "Loss", "Profit")</f>
        <v>Loss</v>
      </c>
      <c r="W718" s="2">
        <f>SalesData[[#This Row],[Unit_Price]]*(1-SalesData[[#This Row],[Discount]])</f>
        <v>3011.3624</v>
      </c>
      <c r="X718" s="2">
        <f>SalesData[[#This Row],[Effective_Unit_Price]]-SalesData[[#This Row],[Unit_Cost]]</f>
        <v>-149.24760000000015</v>
      </c>
      <c r="Y718" s="2" t="str">
        <f>IF(SalesData[[#This Row],[Effective_Unit_Margin]]&lt;0,"Loss per Unit","Positive per Unit")</f>
        <v>Loss per Unit</v>
      </c>
    </row>
    <row r="719" spans="1:25" x14ac:dyDescent="0.3">
      <c r="A719">
        <v>1044</v>
      </c>
      <c r="B719" s="1">
        <v>44971</v>
      </c>
      <c r="C719" t="s">
        <v>23</v>
      </c>
      <c r="D719" t="s">
        <v>20</v>
      </c>
      <c r="E719">
        <v>12</v>
      </c>
      <c r="F719" t="s">
        <v>34</v>
      </c>
      <c r="G719">
        <v>2221.31</v>
      </c>
      <c r="H719">
        <v>2494.48</v>
      </c>
      <c r="I719" t="s">
        <v>16</v>
      </c>
      <c r="J719" s="2">
        <v>0.22</v>
      </c>
      <c r="K719" t="s">
        <v>26</v>
      </c>
      <c r="L719" t="s">
        <v>18</v>
      </c>
      <c r="M719" t="s">
        <v>46</v>
      </c>
      <c r="N719">
        <f>SalesData[[#This Row],[Quantity_Sold]]*SalesData[[#This Row],[Unit_Cost]]</f>
        <v>26655.72</v>
      </c>
      <c r="O719">
        <f>SalesData[[#This Row],[Quantity_Sold]]*SalesData[[#This Row],[Unit_Price]]</f>
        <v>29933.760000000002</v>
      </c>
      <c r="P719">
        <f>SalesData[[#This Row],[Gross_sales]]*(1-SalesData[[#This Row],[Discount]])</f>
        <v>23348.332800000004</v>
      </c>
      <c r="Q719" s="2">
        <f>SalesData[[#This Row],[Sales_amount]]-SalesData[[#This Row],[Total_Cost]]</f>
        <v>-3307.3871999999974</v>
      </c>
      <c r="R719" s="2">
        <f>SalesData[[#This Row],[Profit]]/SalesData[[#This Row],[Sales_amount]]</f>
        <v>-0.14165410559849467</v>
      </c>
      <c r="S719" s="2">
        <f>SalesData[[#This Row],[Unit_Price]]-SalesData[[#This Row],[Unit_Cost]]</f>
        <v>273.17000000000007</v>
      </c>
      <c r="T719" s="10">
        <f>SalesData[[#This Row],[Unit_Margin]]/SalesData[[#This Row],[Unit_Price]]</f>
        <v>0.10950979763317407</v>
      </c>
      <c r="U719" s="2" t="str">
        <f>IF(SalesData[[#This Row],[Unit_Margin]]&lt;0, "Negative margin", "Positive margin")</f>
        <v>Positive margin</v>
      </c>
      <c r="V719" s="2" t="str">
        <f>IF(SalesData[[#This Row],[Profit]]&lt;0, "Loss", "Profit")</f>
        <v>Loss</v>
      </c>
      <c r="W719" s="2">
        <f>SalesData[[#This Row],[Unit_Price]]*(1-SalesData[[#This Row],[Discount]])</f>
        <v>1945.6944000000001</v>
      </c>
      <c r="X719" s="2">
        <f>SalesData[[#This Row],[Effective_Unit_Price]]-SalesData[[#This Row],[Unit_Cost]]</f>
        <v>-275.61559999999986</v>
      </c>
      <c r="Y719" s="2" t="str">
        <f>IF(SalesData[[#This Row],[Effective_Unit_Margin]]&lt;0,"Loss per Unit","Positive per Unit")</f>
        <v>Loss per Unit</v>
      </c>
    </row>
    <row r="720" spans="1:25" x14ac:dyDescent="0.3">
      <c r="A720">
        <v>1045</v>
      </c>
      <c r="B720" s="1">
        <v>45271</v>
      </c>
      <c r="C720" t="s">
        <v>41</v>
      </c>
      <c r="D720" t="s">
        <v>20</v>
      </c>
      <c r="E720">
        <v>22</v>
      </c>
      <c r="F720" t="s">
        <v>28</v>
      </c>
      <c r="G720">
        <v>241.85</v>
      </c>
      <c r="H720">
        <v>613.09</v>
      </c>
      <c r="I720" t="s">
        <v>16</v>
      </c>
      <c r="J720" s="2">
        <v>0.06</v>
      </c>
      <c r="K720" t="s">
        <v>17</v>
      </c>
      <c r="L720" t="s">
        <v>18</v>
      </c>
      <c r="M720" t="s">
        <v>50</v>
      </c>
      <c r="N720">
        <f>SalesData[[#This Row],[Quantity_Sold]]*SalesData[[#This Row],[Unit_Cost]]</f>
        <v>5320.7</v>
      </c>
      <c r="O720">
        <f>SalesData[[#This Row],[Quantity_Sold]]*SalesData[[#This Row],[Unit_Price]]</f>
        <v>13487.980000000001</v>
      </c>
      <c r="P720">
        <f>SalesData[[#This Row],[Gross_sales]]*(1-SalesData[[#This Row],[Discount]])</f>
        <v>12678.701200000001</v>
      </c>
      <c r="Q720" s="2">
        <f>SalesData[[#This Row],[Sales_amount]]-SalesData[[#This Row],[Total_Cost]]</f>
        <v>7358.0012000000015</v>
      </c>
      <c r="R720" s="2">
        <f>SalesData[[#This Row],[Profit]]/SalesData[[#This Row],[Sales_amount]]</f>
        <v>0.58034345032123646</v>
      </c>
      <c r="S720" s="2">
        <f>SalesData[[#This Row],[Unit_Price]]-SalesData[[#This Row],[Unit_Cost]]</f>
        <v>371.24</v>
      </c>
      <c r="T720" s="10">
        <f>SalesData[[#This Row],[Unit_Margin]]/SalesData[[#This Row],[Unit_Price]]</f>
        <v>0.60552284330196215</v>
      </c>
      <c r="U720" s="2" t="str">
        <f>IF(SalesData[[#This Row],[Unit_Margin]]&lt;0, "Negative margin", "Positive margin")</f>
        <v>Positive margin</v>
      </c>
      <c r="V720" s="2" t="str">
        <f>IF(SalesData[[#This Row],[Profit]]&lt;0, "Loss", "Profit")</f>
        <v>Profit</v>
      </c>
      <c r="W720" s="2">
        <f>SalesData[[#This Row],[Unit_Price]]*(1-SalesData[[#This Row],[Discount]])</f>
        <v>576.30460000000005</v>
      </c>
      <c r="X720" s="2">
        <f>SalesData[[#This Row],[Effective_Unit_Price]]-SalesData[[#This Row],[Unit_Cost]]</f>
        <v>334.45460000000003</v>
      </c>
      <c r="Y720" s="2" t="str">
        <f>IF(SalesData[[#This Row],[Effective_Unit_Margin]]&lt;0,"Loss per Unit","Positive per Unit")</f>
        <v>Positive per Unit</v>
      </c>
    </row>
    <row r="721" spans="1:25" x14ac:dyDescent="0.3">
      <c r="A721">
        <v>1032</v>
      </c>
      <c r="B721" s="1">
        <v>45107</v>
      </c>
      <c r="C721" t="s">
        <v>37</v>
      </c>
      <c r="D721" t="s">
        <v>14</v>
      </c>
      <c r="E721">
        <v>6</v>
      </c>
      <c r="F721" t="s">
        <v>28</v>
      </c>
      <c r="G721">
        <v>2522.7600000000002</v>
      </c>
      <c r="H721">
        <v>2840.14</v>
      </c>
      <c r="I721" t="s">
        <v>16</v>
      </c>
      <c r="J721" s="2">
        <v>7.0000000000000007E-2</v>
      </c>
      <c r="K721" t="s">
        <v>30</v>
      </c>
      <c r="L721" t="s">
        <v>21</v>
      </c>
      <c r="M721" t="s">
        <v>39</v>
      </c>
      <c r="N721">
        <f>SalesData[[#This Row],[Quantity_Sold]]*SalesData[[#This Row],[Unit_Cost]]</f>
        <v>15136.560000000001</v>
      </c>
      <c r="O721">
        <f>SalesData[[#This Row],[Quantity_Sold]]*SalesData[[#This Row],[Unit_Price]]</f>
        <v>17040.84</v>
      </c>
      <c r="P721">
        <f>SalesData[[#This Row],[Gross_sales]]*(1-SalesData[[#This Row],[Discount]])</f>
        <v>15847.981199999998</v>
      </c>
      <c r="Q721" s="2">
        <f>SalesData[[#This Row],[Sales_amount]]-SalesData[[#This Row],[Total_Cost]]</f>
        <v>711.42119999999704</v>
      </c>
      <c r="R721" s="2">
        <f>SalesData[[#This Row],[Profit]]/SalesData[[#This Row],[Sales_amount]]</f>
        <v>4.4890335937551283E-2</v>
      </c>
      <c r="S721" s="2">
        <f>SalesData[[#This Row],[Unit_Price]]-SalesData[[#This Row],[Unit_Cost]]</f>
        <v>317.37999999999965</v>
      </c>
      <c r="T721" s="10">
        <f>SalesData[[#This Row],[Unit_Margin]]/SalesData[[#This Row],[Unit_Price]]</f>
        <v>0.11174801242192274</v>
      </c>
      <c r="U721" s="2" t="str">
        <f>IF(SalesData[[#This Row],[Unit_Margin]]&lt;0, "Negative margin", "Positive margin")</f>
        <v>Positive margin</v>
      </c>
      <c r="V721" s="2" t="str">
        <f>IF(SalesData[[#This Row],[Profit]]&lt;0, "Loss", "Profit")</f>
        <v>Profit</v>
      </c>
      <c r="W721" s="2">
        <f>SalesData[[#This Row],[Unit_Price]]*(1-SalesData[[#This Row],[Discount]])</f>
        <v>2641.3301999999999</v>
      </c>
      <c r="X721" s="2">
        <f>SalesData[[#This Row],[Effective_Unit_Price]]-SalesData[[#This Row],[Unit_Cost]]</f>
        <v>118.57019999999966</v>
      </c>
      <c r="Y721" s="2" t="str">
        <f>IF(SalesData[[#This Row],[Effective_Unit_Margin]]&lt;0,"Loss per Unit","Positive per Unit")</f>
        <v>Positive per Unit</v>
      </c>
    </row>
    <row r="722" spans="1:25" x14ac:dyDescent="0.3">
      <c r="A722">
        <v>1045</v>
      </c>
      <c r="B722" s="1">
        <v>45096</v>
      </c>
      <c r="C722" t="s">
        <v>23</v>
      </c>
      <c r="D722" t="s">
        <v>14</v>
      </c>
      <c r="E722">
        <v>36</v>
      </c>
      <c r="F722" t="s">
        <v>34</v>
      </c>
      <c r="G722">
        <v>3835.64</v>
      </c>
      <c r="H722">
        <v>4076.77</v>
      </c>
      <c r="I722" t="s">
        <v>16</v>
      </c>
      <c r="J722" s="2">
        <v>0.1</v>
      </c>
      <c r="K722" t="s">
        <v>30</v>
      </c>
      <c r="L722" t="s">
        <v>21</v>
      </c>
      <c r="M722" t="s">
        <v>44</v>
      </c>
      <c r="N722">
        <f>SalesData[[#This Row],[Quantity_Sold]]*SalesData[[#This Row],[Unit_Cost]]</f>
        <v>138083.04</v>
      </c>
      <c r="O722">
        <f>SalesData[[#This Row],[Quantity_Sold]]*SalesData[[#This Row],[Unit_Price]]</f>
        <v>146763.72</v>
      </c>
      <c r="P722">
        <f>SalesData[[#This Row],[Gross_sales]]*(1-SalesData[[#This Row],[Discount]])</f>
        <v>132087.348</v>
      </c>
      <c r="Q722" s="2">
        <f>SalesData[[#This Row],[Sales_amount]]-SalesData[[#This Row],[Total_Cost]]</f>
        <v>-5995.69200000001</v>
      </c>
      <c r="R722" s="2">
        <f>SalesData[[#This Row],[Profit]]/SalesData[[#This Row],[Sales_amount]]</f>
        <v>-4.5391872051212735E-2</v>
      </c>
      <c r="S722" s="2">
        <f>SalesData[[#This Row],[Unit_Price]]-SalesData[[#This Row],[Unit_Cost]]</f>
        <v>241.13000000000011</v>
      </c>
      <c r="T722" s="10">
        <f>SalesData[[#This Row],[Unit_Margin]]/SalesData[[#This Row],[Unit_Price]]</f>
        <v>5.9147315153908635E-2</v>
      </c>
      <c r="U722" s="2" t="str">
        <f>IF(SalesData[[#This Row],[Unit_Margin]]&lt;0, "Negative margin", "Positive margin")</f>
        <v>Positive margin</v>
      </c>
      <c r="V722" s="2" t="str">
        <f>IF(SalesData[[#This Row],[Profit]]&lt;0, "Loss", "Profit")</f>
        <v>Loss</v>
      </c>
      <c r="W722" s="2">
        <f>SalesData[[#This Row],[Unit_Price]]*(1-SalesData[[#This Row],[Discount]])</f>
        <v>3669.0929999999998</v>
      </c>
      <c r="X722" s="2">
        <f>SalesData[[#This Row],[Effective_Unit_Price]]-SalesData[[#This Row],[Unit_Cost]]</f>
        <v>-166.54700000000003</v>
      </c>
      <c r="Y722" s="2" t="str">
        <f>IF(SalesData[[#This Row],[Effective_Unit_Margin]]&lt;0,"Loss per Unit","Positive per Unit")</f>
        <v>Loss per Unit</v>
      </c>
    </row>
    <row r="723" spans="1:25" x14ac:dyDescent="0.3">
      <c r="A723">
        <v>1061</v>
      </c>
      <c r="B723" s="1">
        <v>45282</v>
      </c>
      <c r="C723" t="s">
        <v>41</v>
      </c>
      <c r="D723" t="s">
        <v>14</v>
      </c>
      <c r="E723">
        <v>45</v>
      </c>
      <c r="F723" t="s">
        <v>28</v>
      </c>
      <c r="G723">
        <v>1364.51</v>
      </c>
      <c r="H723">
        <v>1844.8</v>
      </c>
      <c r="I723" t="s">
        <v>16</v>
      </c>
      <c r="J723" s="2">
        <v>0.18</v>
      </c>
      <c r="K723" t="s">
        <v>17</v>
      </c>
      <c r="L723" t="s">
        <v>18</v>
      </c>
      <c r="M723" t="s">
        <v>48</v>
      </c>
      <c r="N723">
        <f>SalesData[[#This Row],[Quantity_Sold]]*SalesData[[#This Row],[Unit_Cost]]</f>
        <v>61402.95</v>
      </c>
      <c r="O723">
        <f>SalesData[[#This Row],[Quantity_Sold]]*SalesData[[#This Row],[Unit_Price]]</f>
        <v>83016</v>
      </c>
      <c r="P723">
        <f>SalesData[[#This Row],[Gross_sales]]*(1-SalesData[[#This Row],[Discount]])</f>
        <v>68073.12000000001</v>
      </c>
      <c r="Q723" s="2">
        <f>SalesData[[#This Row],[Sales_amount]]-SalesData[[#This Row],[Total_Cost]]</f>
        <v>6670.1700000000128</v>
      </c>
      <c r="R723" s="2">
        <f>SalesData[[#This Row],[Profit]]/SalesData[[#This Row],[Sales_amount]]</f>
        <v>9.7985372199775947E-2</v>
      </c>
      <c r="S723" s="2">
        <f>SalesData[[#This Row],[Unit_Price]]-SalesData[[#This Row],[Unit_Cost]]</f>
        <v>480.28999999999996</v>
      </c>
      <c r="T723" s="10">
        <f>SalesData[[#This Row],[Unit_Margin]]/SalesData[[#This Row],[Unit_Price]]</f>
        <v>0.26034800520381612</v>
      </c>
      <c r="U723" s="2" t="str">
        <f>IF(SalesData[[#This Row],[Unit_Margin]]&lt;0, "Negative margin", "Positive margin")</f>
        <v>Positive margin</v>
      </c>
      <c r="V723" s="2" t="str">
        <f>IF(SalesData[[#This Row],[Profit]]&lt;0, "Loss", "Profit")</f>
        <v>Profit</v>
      </c>
      <c r="W723" s="2">
        <f>SalesData[[#This Row],[Unit_Price]]*(1-SalesData[[#This Row],[Discount]])</f>
        <v>1512.7360000000001</v>
      </c>
      <c r="X723" s="2">
        <f>SalesData[[#This Row],[Effective_Unit_Price]]-SalesData[[#This Row],[Unit_Cost]]</f>
        <v>148.22600000000011</v>
      </c>
      <c r="Y723" s="2" t="str">
        <f>IF(SalesData[[#This Row],[Effective_Unit_Margin]]&lt;0,"Loss per Unit","Positive per Unit")</f>
        <v>Positive per Unit</v>
      </c>
    </row>
    <row r="724" spans="1:25" x14ac:dyDescent="0.3">
      <c r="A724">
        <v>1047</v>
      </c>
      <c r="B724" s="1">
        <v>45117</v>
      </c>
      <c r="C724" t="s">
        <v>23</v>
      </c>
      <c r="D724" t="s">
        <v>14</v>
      </c>
      <c r="E724">
        <v>36</v>
      </c>
      <c r="F724" t="s">
        <v>25</v>
      </c>
      <c r="G724">
        <v>4043.53</v>
      </c>
      <c r="H724">
        <v>4384.8500000000004</v>
      </c>
      <c r="I724" t="s">
        <v>29</v>
      </c>
      <c r="J724" s="2">
        <v>0.14000000000000001</v>
      </c>
      <c r="K724" t="s">
        <v>17</v>
      </c>
      <c r="L724" t="s">
        <v>18</v>
      </c>
      <c r="M724" t="s">
        <v>44</v>
      </c>
      <c r="N724">
        <f>SalesData[[#This Row],[Quantity_Sold]]*SalesData[[#This Row],[Unit_Cost]]</f>
        <v>145567.08000000002</v>
      </c>
      <c r="O724">
        <f>SalesData[[#This Row],[Quantity_Sold]]*SalesData[[#This Row],[Unit_Price]]</f>
        <v>157854.6</v>
      </c>
      <c r="P724">
        <f>SalesData[[#This Row],[Gross_sales]]*(1-SalesData[[#This Row],[Discount]])</f>
        <v>135754.95600000001</v>
      </c>
      <c r="Q724" s="2">
        <f>SalesData[[#This Row],[Sales_amount]]-SalesData[[#This Row],[Total_Cost]]</f>
        <v>-9812.1240000000107</v>
      </c>
      <c r="R724" s="2">
        <f>SalesData[[#This Row],[Profit]]/SalesData[[#This Row],[Sales_amount]]</f>
        <v>-7.2278201025677544E-2</v>
      </c>
      <c r="S724" s="2">
        <f>SalesData[[#This Row],[Unit_Price]]-SalesData[[#This Row],[Unit_Cost]]</f>
        <v>341.32000000000016</v>
      </c>
      <c r="T724" s="10">
        <f>SalesData[[#This Row],[Unit_Margin]]/SalesData[[#This Row],[Unit_Price]]</f>
        <v>7.78407471179174E-2</v>
      </c>
      <c r="U724" s="2" t="str">
        <f>IF(SalesData[[#This Row],[Unit_Margin]]&lt;0, "Negative margin", "Positive margin")</f>
        <v>Positive margin</v>
      </c>
      <c r="V724" s="2" t="str">
        <f>IF(SalesData[[#This Row],[Profit]]&lt;0, "Loss", "Profit")</f>
        <v>Loss</v>
      </c>
      <c r="W724" s="2">
        <f>SalesData[[#This Row],[Unit_Price]]*(1-SalesData[[#This Row],[Discount]])</f>
        <v>3770.9710000000005</v>
      </c>
      <c r="X724" s="2">
        <f>SalesData[[#This Row],[Effective_Unit_Price]]-SalesData[[#This Row],[Unit_Cost]]</f>
        <v>-272.55899999999974</v>
      </c>
      <c r="Y724" s="2" t="str">
        <f>IF(SalesData[[#This Row],[Effective_Unit_Margin]]&lt;0,"Loss per Unit","Positive per Unit")</f>
        <v>Loss per Unit</v>
      </c>
    </row>
    <row r="725" spans="1:25" x14ac:dyDescent="0.3">
      <c r="A725">
        <v>1021</v>
      </c>
      <c r="B725" s="1">
        <v>45081</v>
      </c>
      <c r="C725" t="s">
        <v>37</v>
      </c>
      <c r="D725" t="s">
        <v>14</v>
      </c>
      <c r="E725">
        <v>22</v>
      </c>
      <c r="F725" t="s">
        <v>34</v>
      </c>
      <c r="G725">
        <v>1296.44</v>
      </c>
      <c r="H725">
        <v>1751.24</v>
      </c>
      <c r="I725" t="s">
        <v>29</v>
      </c>
      <c r="J725" s="2">
        <v>0.22</v>
      </c>
      <c r="K725" t="s">
        <v>17</v>
      </c>
      <c r="L725" t="s">
        <v>18</v>
      </c>
      <c r="M725" t="s">
        <v>39</v>
      </c>
      <c r="N725">
        <f>SalesData[[#This Row],[Quantity_Sold]]*SalesData[[#This Row],[Unit_Cost]]</f>
        <v>28521.68</v>
      </c>
      <c r="O725">
        <f>SalesData[[#This Row],[Quantity_Sold]]*SalesData[[#This Row],[Unit_Price]]</f>
        <v>38527.279999999999</v>
      </c>
      <c r="P725">
        <f>SalesData[[#This Row],[Gross_sales]]*(1-SalesData[[#This Row],[Discount]])</f>
        <v>30051.278399999999</v>
      </c>
      <c r="Q725" s="2">
        <f>SalesData[[#This Row],[Sales_amount]]-SalesData[[#This Row],[Total_Cost]]</f>
        <v>1529.5983999999989</v>
      </c>
      <c r="R725" s="2">
        <f>SalesData[[#This Row],[Profit]]/SalesData[[#This Row],[Sales_amount]]</f>
        <v>5.0899611645140494E-2</v>
      </c>
      <c r="S725" s="2">
        <f>SalesData[[#This Row],[Unit_Price]]-SalesData[[#This Row],[Unit_Cost]]</f>
        <v>454.79999999999995</v>
      </c>
      <c r="T725" s="10">
        <f>SalesData[[#This Row],[Unit_Margin]]/SalesData[[#This Row],[Unit_Price]]</f>
        <v>0.25970169708320956</v>
      </c>
      <c r="U725" s="2" t="str">
        <f>IF(SalesData[[#This Row],[Unit_Margin]]&lt;0, "Negative margin", "Positive margin")</f>
        <v>Positive margin</v>
      </c>
      <c r="V725" s="2" t="str">
        <f>IF(SalesData[[#This Row],[Profit]]&lt;0, "Loss", "Profit")</f>
        <v>Profit</v>
      </c>
      <c r="W725" s="2">
        <f>SalesData[[#This Row],[Unit_Price]]*(1-SalesData[[#This Row],[Discount]])</f>
        <v>1365.9672</v>
      </c>
      <c r="X725" s="2">
        <f>SalesData[[#This Row],[Effective_Unit_Price]]-SalesData[[#This Row],[Unit_Cost]]</f>
        <v>69.527199999999993</v>
      </c>
      <c r="Y725" s="2" t="str">
        <f>IF(SalesData[[#This Row],[Effective_Unit_Margin]]&lt;0,"Loss per Unit","Positive per Unit")</f>
        <v>Positive per Unit</v>
      </c>
    </row>
    <row r="726" spans="1:25" x14ac:dyDescent="0.3">
      <c r="A726">
        <v>1080</v>
      </c>
      <c r="B726" s="1">
        <v>45114</v>
      </c>
      <c r="C726" t="s">
        <v>32</v>
      </c>
      <c r="D726" t="s">
        <v>20</v>
      </c>
      <c r="E726">
        <v>14</v>
      </c>
      <c r="F726" t="s">
        <v>25</v>
      </c>
      <c r="G726">
        <v>4127.54</v>
      </c>
      <c r="H726">
        <v>4495.13</v>
      </c>
      <c r="I726" t="s">
        <v>29</v>
      </c>
      <c r="J726" s="2">
        <v>0.06</v>
      </c>
      <c r="K726" t="s">
        <v>26</v>
      </c>
      <c r="L726" t="s">
        <v>21</v>
      </c>
      <c r="M726" t="s">
        <v>36</v>
      </c>
      <c r="N726">
        <f>SalesData[[#This Row],[Quantity_Sold]]*SalesData[[#This Row],[Unit_Cost]]</f>
        <v>57785.56</v>
      </c>
      <c r="O726">
        <f>SalesData[[#This Row],[Quantity_Sold]]*SalesData[[#This Row],[Unit_Price]]</f>
        <v>62931.82</v>
      </c>
      <c r="P726">
        <f>SalesData[[#This Row],[Gross_sales]]*(1-SalesData[[#This Row],[Discount]])</f>
        <v>59155.910799999998</v>
      </c>
      <c r="Q726" s="2">
        <f>SalesData[[#This Row],[Sales_amount]]-SalesData[[#This Row],[Total_Cost]]</f>
        <v>1370.3508000000002</v>
      </c>
      <c r="R726" s="2">
        <f>SalesData[[#This Row],[Profit]]/SalesData[[#This Row],[Sales_amount]]</f>
        <v>2.3165069753266317E-2</v>
      </c>
      <c r="S726" s="2">
        <f>SalesData[[#This Row],[Unit_Price]]-SalesData[[#This Row],[Unit_Cost]]</f>
        <v>367.59000000000015</v>
      </c>
      <c r="T726" s="10">
        <f>SalesData[[#This Row],[Unit_Margin]]/SalesData[[#This Row],[Unit_Price]]</f>
        <v>8.1775165568070365E-2</v>
      </c>
      <c r="U726" s="2" t="str">
        <f>IF(SalesData[[#This Row],[Unit_Margin]]&lt;0, "Negative margin", "Positive margin")</f>
        <v>Positive margin</v>
      </c>
      <c r="V726" s="2" t="str">
        <f>IF(SalesData[[#This Row],[Profit]]&lt;0, "Loss", "Profit")</f>
        <v>Profit</v>
      </c>
      <c r="W726" s="2">
        <f>SalesData[[#This Row],[Unit_Price]]*(1-SalesData[[#This Row],[Discount]])</f>
        <v>4225.4222</v>
      </c>
      <c r="X726" s="2">
        <f>SalesData[[#This Row],[Effective_Unit_Price]]-SalesData[[#This Row],[Unit_Cost]]</f>
        <v>97.882200000000012</v>
      </c>
      <c r="Y726" s="2" t="str">
        <f>IF(SalesData[[#This Row],[Effective_Unit_Margin]]&lt;0,"Loss per Unit","Positive per Unit")</f>
        <v>Positive per Unit</v>
      </c>
    </row>
    <row r="727" spans="1:25" x14ac:dyDescent="0.3">
      <c r="A727">
        <v>1085</v>
      </c>
      <c r="B727" s="1">
        <v>44933</v>
      </c>
      <c r="C727" t="s">
        <v>37</v>
      </c>
      <c r="D727" t="s">
        <v>20</v>
      </c>
      <c r="E727">
        <v>16</v>
      </c>
      <c r="F727" t="s">
        <v>25</v>
      </c>
      <c r="G727">
        <v>472.08</v>
      </c>
      <c r="H727">
        <v>842.46</v>
      </c>
      <c r="I727" t="s">
        <v>29</v>
      </c>
      <c r="J727" s="2">
        <v>0</v>
      </c>
      <c r="K727" t="s">
        <v>17</v>
      </c>
      <c r="L727" t="s">
        <v>21</v>
      </c>
      <c r="M727" t="s">
        <v>40</v>
      </c>
      <c r="N727">
        <f>SalesData[[#This Row],[Quantity_Sold]]*SalesData[[#This Row],[Unit_Cost]]</f>
        <v>7553.28</v>
      </c>
      <c r="O727">
        <f>SalesData[[#This Row],[Quantity_Sold]]*SalesData[[#This Row],[Unit_Price]]</f>
        <v>13479.36</v>
      </c>
      <c r="P727">
        <f>SalesData[[#This Row],[Gross_sales]]*(1-SalesData[[#This Row],[Discount]])</f>
        <v>13479.36</v>
      </c>
      <c r="Q727" s="2">
        <f>SalesData[[#This Row],[Sales_amount]]-SalesData[[#This Row],[Total_Cost]]</f>
        <v>5926.0800000000008</v>
      </c>
      <c r="R727" s="2">
        <f>SalesData[[#This Row],[Profit]]/SalesData[[#This Row],[Sales_amount]]</f>
        <v>0.439641051207179</v>
      </c>
      <c r="S727" s="2">
        <f>SalesData[[#This Row],[Unit_Price]]-SalesData[[#This Row],[Unit_Cost]]</f>
        <v>370.38000000000005</v>
      </c>
      <c r="T727" s="10">
        <f>SalesData[[#This Row],[Unit_Margin]]/SalesData[[#This Row],[Unit_Price]]</f>
        <v>0.439641051207179</v>
      </c>
      <c r="U727" s="2" t="str">
        <f>IF(SalesData[[#This Row],[Unit_Margin]]&lt;0, "Negative margin", "Positive margin")</f>
        <v>Positive margin</v>
      </c>
      <c r="V727" s="2" t="str">
        <f>IF(SalesData[[#This Row],[Profit]]&lt;0, "Loss", "Profit")</f>
        <v>Profit</v>
      </c>
      <c r="W727" s="2">
        <f>SalesData[[#This Row],[Unit_Price]]*(1-SalesData[[#This Row],[Discount]])</f>
        <v>842.46</v>
      </c>
      <c r="X727" s="2">
        <f>SalesData[[#This Row],[Effective_Unit_Price]]-SalesData[[#This Row],[Unit_Cost]]</f>
        <v>370.38000000000005</v>
      </c>
      <c r="Y727" s="2" t="str">
        <f>IF(SalesData[[#This Row],[Effective_Unit_Margin]]&lt;0,"Loss per Unit","Positive per Unit")</f>
        <v>Positive per Unit</v>
      </c>
    </row>
    <row r="728" spans="1:25" x14ac:dyDescent="0.3">
      <c r="A728">
        <v>1075</v>
      </c>
      <c r="B728" s="1">
        <v>45059</v>
      </c>
      <c r="C728" t="s">
        <v>13</v>
      </c>
      <c r="D728" t="s">
        <v>33</v>
      </c>
      <c r="E728">
        <v>36</v>
      </c>
      <c r="F728" t="s">
        <v>28</v>
      </c>
      <c r="G728">
        <v>4337.6099999999997</v>
      </c>
      <c r="H728">
        <v>4386.82</v>
      </c>
      <c r="I728" t="s">
        <v>16</v>
      </c>
      <c r="J728" s="2">
        <v>0.23</v>
      </c>
      <c r="K728" t="s">
        <v>30</v>
      </c>
      <c r="L728" t="s">
        <v>18</v>
      </c>
      <c r="M728" t="s">
        <v>45</v>
      </c>
      <c r="N728">
        <f>SalesData[[#This Row],[Quantity_Sold]]*SalesData[[#This Row],[Unit_Cost]]</f>
        <v>156153.96</v>
      </c>
      <c r="O728">
        <f>SalesData[[#This Row],[Quantity_Sold]]*SalesData[[#This Row],[Unit_Price]]</f>
        <v>157925.51999999999</v>
      </c>
      <c r="P728">
        <f>SalesData[[#This Row],[Gross_sales]]*(1-SalesData[[#This Row],[Discount]])</f>
        <v>121602.6504</v>
      </c>
      <c r="Q728" s="2">
        <f>SalesData[[#This Row],[Sales_amount]]-SalesData[[#This Row],[Total_Cost]]</f>
        <v>-34551.309599999993</v>
      </c>
      <c r="R728" s="2">
        <f>SalesData[[#This Row],[Profit]]/SalesData[[#This Row],[Sales_amount]]</f>
        <v>-0.28413286623561945</v>
      </c>
      <c r="S728" s="2">
        <f>SalesData[[#This Row],[Unit_Price]]-SalesData[[#This Row],[Unit_Cost]]</f>
        <v>49.210000000000036</v>
      </c>
      <c r="T728" s="10">
        <f>SalesData[[#This Row],[Unit_Margin]]/SalesData[[#This Row],[Unit_Price]]</f>
        <v>1.1217692998573007E-2</v>
      </c>
      <c r="U728" s="2" t="str">
        <f>IF(SalesData[[#This Row],[Unit_Margin]]&lt;0, "Negative margin", "Positive margin")</f>
        <v>Positive margin</v>
      </c>
      <c r="V728" s="2" t="str">
        <f>IF(SalesData[[#This Row],[Profit]]&lt;0, "Loss", "Profit")</f>
        <v>Loss</v>
      </c>
      <c r="W728" s="2">
        <f>SalesData[[#This Row],[Unit_Price]]*(1-SalesData[[#This Row],[Discount]])</f>
        <v>3377.8514</v>
      </c>
      <c r="X728" s="2">
        <f>SalesData[[#This Row],[Effective_Unit_Price]]-SalesData[[#This Row],[Unit_Cost]]</f>
        <v>-959.75859999999966</v>
      </c>
      <c r="Y728" s="2" t="str">
        <f>IF(SalesData[[#This Row],[Effective_Unit_Margin]]&lt;0,"Loss per Unit","Positive per Unit")</f>
        <v>Loss per Unit</v>
      </c>
    </row>
    <row r="729" spans="1:25" x14ac:dyDescent="0.3">
      <c r="A729">
        <v>1036</v>
      </c>
      <c r="B729" s="1">
        <v>45161</v>
      </c>
      <c r="C729" t="s">
        <v>23</v>
      </c>
      <c r="D729" t="s">
        <v>33</v>
      </c>
      <c r="E729">
        <v>25</v>
      </c>
      <c r="F729" t="s">
        <v>25</v>
      </c>
      <c r="G729">
        <v>2520.9699999999998</v>
      </c>
      <c r="H729">
        <v>2707.1099999999901</v>
      </c>
      <c r="I729" t="s">
        <v>29</v>
      </c>
      <c r="J729" s="2">
        <v>0.25</v>
      </c>
      <c r="K729" t="s">
        <v>17</v>
      </c>
      <c r="L729" t="s">
        <v>21</v>
      </c>
      <c r="M729" t="s">
        <v>49</v>
      </c>
      <c r="N729">
        <f>SalesData[[#This Row],[Quantity_Sold]]*SalesData[[#This Row],[Unit_Cost]]</f>
        <v>63024.249999999993</v>
      </c>
      <c r="O729">
        <f>SalesData[[#This Row],[Quantity_Sold]]*SalesData[[#This Row],[Unit_Price]]</f>
        <v>67677.749999999753</v>
      </c>
      <c r="P729">
        <f>SalesData[[#This Row],[Gross_sales]]*(1-SalesData[[#This Row],[Discount]])</f>
        <v>50758.312499999811</v>
      </c>
      <c r="Q729" s="2">
        <f>SalesData[[#This Row],[Sales_amount]]-SalesData[[#This Row],[Total_Cost]]</f>
        <v>-12265.937500000182</v>
      </c>
      <c r="R729" s="2">
        <f>SalesData[[#This Row],[Profit]]/SalesData[[#This Row],[Sales_amount]]</f>
        <v>-0.24165376853299109</v>
      </c>
      <c r="S729" s="2">
        <f>SalesData[[#This Row],[Unit_Price]]-SalesData[[#This Row],[Unit_Cost]]</f>
        <v>186.13999999999032</v>
      </c>
      <c r="T729" s="10">
        <f>SalesData[[#This Row],[Unit_Margin]]/SalesData[[#This Row],[Unit_Price]]</f>
        <v>6.8759673600256727E-2</v>
      </c>
      <c r="U729" s="2" t="str">
        <f>IF(SalesData[[#This Row],[Unit_Margin]]&lt;0, "Negative margin", "Positive margin")</f>
        <v>Positive margin</v>
      </c>
      <c r="V729" s="2" t="str">
        <f>IF(SalesData[[#This Row],[Profit]]&lt;0, "Loss", "Profit")</f>
        <v>Loss</v>
      </c>
      <c r="W729" s="2">
        <f>SalesData[[#This Row],[Unit_Price]]*(1-SalesData[[#This Row],[Discount]])</f>
        <v>2030.3324999999927</v>
      </c>
      <c r="X729" s="2">
        <f>SalesData[[#This Row],[Effective_Unit_Price]]-SalesData[[#This Row],[Unit_Cost]]</f>
        <v>-490.63750000000709</v>
      </c>
      <c r="Y729" s="2" t="str">
        <f>IF(SalesData[[#This Row],[Effective_Unit_Margin]]&lt;0,"Loss per Unit","Positive per Unit")</f>
        <v>Loss per Unit</v>
      </c>
    </row>
    <row r="730" spans="1:25" x14ac:dyDescent="0.3">
      <c r="A730">
        <v>1099</v>
      </c>
      <c r="B730" s="1">
        <v>44971</v>
      </c>
      <c r="C730" t="s">
        <v>23</v>
      </c>
      <c r="D730" t="s">
        <v>24</v>
      </c>
      <c r="E730">
        <v>32</v>
      </c>
      <c r="F730" t="s">
        <v>28</v>
      </c>
      <c r="G730">
        <v>1517.86</v>
      </c>
      <c r="H730">
        <v>1948.46</v>
      </c>
      <c r="I730" t="s">
        <v>29</v>
      </c>
      <c r="J730" s="2">
        <v>0.02</v>
      </c>
      <c r="K730" t="s">
        <v>30</v>
      </c>
      <c r="L730" t="s">
        <v>18</v>
      </c>
      <c r="M730" t="s">
        <v>27</v>
      </c>
      <c r="N730">
        <f>SalesData[[#This Row],[Quantity_Sold]]*SalesData[[#This Row],[Unit_Cost]]</f>
        <v>48571.519999999997</v>
      </c>
      <c r="O730">
        <f>SalesData[[#This Row],[Quantity_Sold]]*SalesData[[#This Row],[Unit_Price]]</f>
        <v>62350.720000000001</v>
      </c>
      <c r="P730">
        <f>SalesData[[#This Row],[Gross_sales]]*(1-SalesData[[#This Row],[Discount]])</f>
        <v>61103.705600000001</v>
      </c>
      <c r="Q730" s="2">
        <f>SalesData[[#This Row],[Sales_amount]]-SalesData[[#This Row],[Total_Cost]]</f>
        <v>12532.185600000004</v>
      </c>
      <c r="R730" s="2">
        <f>SalesData[[#This Row],[Profit]]/SalesData[[#This Row],[Sales_amount]]</f>
        <v>0.20509698187600597</v>
      </c>
      <c r="S730" s="2">
        <f>SalesData[[#This Row],[Unit_Price]]-SalesData[[#This Row],[Unit_Cost]]</f>
        <v>430.60000000000014</v>
      </c>
      <c r="T730" s="10">
        <f>SalesData[[#This Row],[Unit_Margin]]/SalesData[[#This Row],[Unit_Price]]</f>
        <v>0.22099504223848584</v>
      </c>
      <c r="U730" s="2" t="str">
        <f>IF(SalesData[[#This Row],[Unit_Margin]]&lt;0, "Negative margin", "Positive margin")</f>
        <v>Positive margin</v>
      </c>
      <c r="V730" s="2" t="str">
        <f>IF(SalesData[[#This Row],[Profit]]&lt;0, "Loss", "Profit")</f>
        <v>Profit</v>
      </c>
      <c r="W730" s="2">
        <f>SalesData[[#This Row],[Unit_Price]]*(1-SalesData[[#This Row],[Discount]])</f>
        <v>1909.4908</v>
      </c>
      <c r="X730" s="2">
        <f>SalesData[[#This Row],[Effective_Unit_Price]]-SalesData[[#This Row],[Unit_Cost]]</f>
        <v>391.63080000000014</v>
      </c>
      <c r="Y730" s="2" t="str">
        <f>IF(SalesData[[#This Row],[Effective_Unit_Margin]]&lt;0,"Loss per Unit","Positive per Unit")</f>
        <v>Positive per Unit</v>
      </c>
    </row>
    <row r="731" spans="1:25" x14ac:dyDescent="0.3">
      <c r="A731">
        <v>1019</v>
      </c>
      <c r="B731" s="1">
        <v>45240</v>
      </c>
      <c r="C731" t="s">
        <v>13</v>
      </c>
      <c r="D731" t="s">
        <v>33</v>
      </c>
      <c r="E731">
        <v>33</v>
      </c>
      <c r="F731" t="s">
        <v>15</v>
      </c>
      <c r="G731">
        <v>1362.31</v>
      </c>
      <c r="H731">
        <v>1486.29</v>
      </c>
      <c r="I731" t="s">
        <v>16</v>
      </c>
      <c r="J731" s="2">
        <v>0.18</v>
      </c>
      <c r="K731" t="s">
        <v>30</v>
      </c>
      <c r="L731" t="s">
        <v>21</v>
      </c>
      <c r="M731" t="s">
        <v>45</v>
      </c>
      <c r="N731">
        <f>SalesData[[#This Row],[Quantity_Sold]]*SalesData[[#This Row],[Unit_Cost]]</f>
        <v>44956.229999999996</v>
      </c>
      <c r="O731">
        <f>SalesData[[#This Row],[Quantity_Sold]]*SalesData[[#This Row],[Unit_Price]]</f>
        <v>49047.57</v>
      </c>
      <c r="P731">
        <f>SalesData[[#This Row],[Gross_sales]]*(1-SalesData[[#This Row],[Discount]])</f>
        <v>40219.007400000002</v>
      </c>
      <c r="Q731" s="2">
        <f>SalesData[[#This Row],[Sales_amount]]-SalesData[[#This Row],[Total_Cost]]</f>
        <v>-4737.2225999999937</v>
      </c>
      <c r="R731" s="2">
        <f>SalesData[[#This Row],[Profit]]/SalesData[[#This Row],[Sales_amount]]</f>
        <v>-0.11778566668455356</v>
      </c>
      <c r="S731" s="2">
        <f>SalesData[[#This Row],[Unit_Price]]-SalesData[[#This Row],[Unit_Cost]]</f>
        <v>123.98000000000002</v>
      </c>
      <c r="T731" s="10">
        <f>SalesData[[#This Row],[Unit_Margin]]/SalesData[[#This Row],[Unit_Price]]</f>
        <v>8.341575331866595E-2</v>
      </c>
      <c r="U731" s="2" t="str">
        <f>IF(SalesData[[#This Row],[Unit_Margin]]&lt;0, "Negative margin", "Positive margin")</f>
        <v>Positive margin</v>
      </c>
      <c r="V731" s="2" t="str">
        <f>IF(SalesData[[#This Row],[Profit]]&lt;0, "Loss", "Profit")</f>
        <v>Loss</v>
      </c>
      <c r="W731" s="2">
        <f>SalesData[[#This Row],[Unit_Price]]*(1-SalesData[[#This Row],[Discount]])</f>
        <v>1218.7578000000001</v>
      </c>
      <c r="X731" s="2">
        <f>SalesData[[#This Row],[Effective_Unit_Price]]-SalesData[[#This Row],[Unit_Cost]]</f>
        <v>-143.55219999999986</v>
      </c>
      <c r="Y731" s="2" t="str">
        <f>IF(SalesData[[#This Row],[Effective_Unit_Margin]]&lt;0,"Loss per Unit","Positive per Unit")</f>
        <v>Loss per Unit</v>
      </c>
    </row>
    <row r="732" spans="1:25" x14ac:dyDescent="0.3">
      <c r="A732">
        <v>1020</v>
      </c>
      <c r="B732" s="1">
        <v>45175</v>
      </c>
      <c r="C732" t="s">
        <v>13</v>
      </c>
      <c r="D732" t="s">
        <v>33</v>
      </c>
      <c r="E732">
        <v>45</v>
      </c>
      <c r="F732" t="s">
        <v>28</v>
      </c>
      <c r="G732">
        <v>2188.4499999999998</v>
      </c>
      <c r="H732">
        <v>2255.0499999999902</v>
      </c>
      <c r="I732" t="s">
        <v>29</v>
      </c>
      <c r="J732" s="2">
        <v>0.11</v>
      </c>
      <c r="K732" t="s">
        <v>26</v>
      </c>
      <c r="L732" t="s">
        <v>21</v>
      </c>
      <c r="M732" t="s">
        <v>45</v>
      </c>
      <c r="N732">
        <f>SalesData[[#This Row],[Quantity_Sold]]*SalesData[[#This Row],[Unit_Cost]]</f>
        <v>98480.249999999985</v>
      </c>
      <c r="O732">
        <f>SalesData[[#This Row],[Quantity_Sold]]*SalesData[[#This Row],[Unit_Price]]</f>
        <v>101477.24999999956</v>
      </c>
      <c r="P732">
        <f>SalesData[[#This Row],[Gross_sales]]*(1-SalesData[[#This Row],[Discount]])</f>
        <v>90314.752499999609</v>
      </c>
      <c r="Q732" s="2">
        <f>SalesData[[#This Row],[Sales_amount]]-SalesData[[#This Row],[Total_Cost]]</f>
        <v>-8165.497500000376</v>
      </c>
      <c r="R732" s="2">
        <f>SalesData[[#This Row],[Profit]]/SalesData[[#This Row],[Sales_amount]]</f>
        <v>-9.0411558178165985E-2</v>
      </c>
      <c r="S732" s="2">
        <f>SalesData[[#This Row],[Unit_Price]]-SalesData[[#This Row],[Unit_Cost]]</f>
        <v>66.599999999990359</v>
      </c>
      <c r="T732" s="10">
        <f>SalesData[[#This Row],[Unit_Margin]]/SalesData[[#This Row],[Unit_Price]]</f>
        <v>2.9533713221432185E-2</v>
      </c>
      <c r="U732" s="2" t="str">
        <f>IF(SalesData[[#This Row],[Unit_Margin]]&lt;0, "Negative margin", "Positive margin")</f>
        <v>Positive margin</v>
      </c>
      <c r="V732" s="2" t="str">
        <f>IF(SalesData[[#This Row],[Profit]]&lt;0, "Loss", "Profit")</f>
        <v>Loss</v>
      </c>
      <c r="W732" s="2">
        <f>SalesData[[#This Row],[Unit_Price]]*(1-SalesData[[#This Row],[Discount]])</f>
        <v>2006.9944999999914</v>
      </c>
      <c r="X732" s="2">
        <f>SalesData[[#This Row],[Effective_Unit_Price]]-SalesData[[#This Row],[Unit_Cost]]</f>
        <v>-181.45550000000844</v>
      </c>
      <c r="Y732" s="2" t="str">
        <f>IF(SalesData[[#This Row],[Effective_Unit_Margin]]&lt;0,"Loss per Unit","Positive per Unit")</f>
        <v>Loss per Unit</v>
      </c>
    </row>
    <row r="733" spans="1:25" x14ac:dyDescent="0.3">
      <c r="A733">
        <v>1057</v>
      </c>
      <c r="B733" s="1">
        <v>44957</v>
      </c>
      <c r="C733" t="s">
        <v>32</v>
      </c>
      <c r="D733" t="s">
        <v>14</v>
      </c>
      <c r="E733">
        <v>36</v>
      </c>
      <c r="F733" t="s">
        <v>25</v>
      </c>
      <c r="G733">
        <v>4995.3</v>
      </c>
      <c r="H733">
        <v>5165.09</v>
      </c>
      <c r="I733" t="s">
        <v>16</v>
      </c>
      <c r="J733" s="2">
        <v>0.24</v>
      </c>
      <c r="K733" t="s">
        <v>17</v>
      </c>
      <c r="L733" t="s">
        <v>18</v>
      </c>
      <c r="M733" t="s">
        <v>52</v>
      </c>
      <c r="N733">
        <f>SalesData[[#This Row],[Quantity_Sold]]*SalesData[[#This Row],[Unit_Cost]]</f>
        <v>179830.80000000002</v>
      </c>
      <c r="O733">
        <f>SalesData[[#This Row],[Quantity_Sold]]*SalesData[[#This Row],[Unit_Price]]</f>
        <v>185943.24</v>
      </c>
      <c r="P733">
        <f>SalesData[[#This Row],[Gross_sales]]*(1-SalesData[[#This Row],[Discount]])</f>
        <v>141316.86239999998</v>
      </c>
      <c r="Q733" s="2">
        <f>SalesData[[#This Row],[Sales_amount]]-SalesData[[#This Row],[Total_Cost]]</f>
        <v>-38513.937600000034</v>
      </c>
      <c r="R733" s="2">
        <f>SalesData[[#This Row],[Profit]]/SalesData[[#This Row],[Sales_amount]]</f>
        <v>-0.27253603671857379</v>
      </c>
      <c r="S733" s="2">
        <f>SalesData[[#This Row],[Unit_Price]]-SalesData[[#This Row],[Unit_Cost]]</f>
        <v>169.78999999999996</v>
      </c>
      <c r="T733" s="10">
        <f>SalesData[[#This Row],[Unit_Margin]]/SalesData[[#This Row],[Unit_Price]]</f>
        <v>3.2872612093884125E-2</v>
      </c>
      <c r="U733" s="2" t="str">
        <f>IF(SalesData[[#This Row],[Unit_Margin]]&lt;0, "Negative margin", "Positive margin")</f>
        <v>Positive margin</v>
      </c>
      <c r="V733" s="2" t="str">
        <f>IF(SalesData[[#This Row],[Profit]]&lt;0, "Loss", "Profit")</f>
        <v>Loss</v>
      </c>
      <c r="W733" s="2">
        <f>SalesData[[#This Row],[Unit_Price]]*(1-SalesData[[#This Row],[Discount]])</f>
        <v>3925.4684000000002</v>
      </c>
      <c r="X733" s="2">
        <f>SalesData[[#This Row],[Effective_Unit_Price]]-SalesData[[#This Row],[Unit_Cost]]</f>
        <v>-1069.8316</v>
      </c>
      <c r="Y733" s="2" t="str">
        <f>IF(SalesData[[#This Row],[Effective_Unit_Margin]]&lt;0,"Loss per Unit","Positive per Unit")</f>
        <v>Loss per Unit</v>
      </c>
    </row>
    <row r="734" spans="1:25" x14ac:dyDescent="0.3">
      <c r="A734">
        <v>1018</v>
      </c>
      <c r="B734" s="1">
        <v>44949</v>
      </c>
      <c r="C734" t="s">
        <v>23</v>
      </c>
      <c r="D734" t="s">
        <v>14</v>
      </c>
      <c r="E734">
        <v>20</v>
      </c>
      <c r="F734" t="s">
        <v>15</v>
      </c>
      <c r="G734">
        <v>1140.6199999999999</v>
      </c>
      <c r="H734">
        <v>1258.6299999999901</v>
      </c>
      <c r="I734" t="s">
        <v>16</v>
      </c>
      <c r="J734" s="2">
        <v>0.26</v>
      </c>
      <c r="K734" t="s">
        <v>26</v>
      </c>
      <c r="L734" t="s">
        <v>18</v>
      </c>
      <c r="M734" t="s">
        <v>44</v>
      </c>
      <c r="N734">
        <f>SalesData[[#This Row],[Quantity_Sold]]*SalesData[[#This Row],[Unit_Cost]]</f>
        <v>22812.399999999998</v>
      </c>
      <c r="O734">
        <f>SalesData[[#This Row],[Quantity_Sold]]*SalesData[[#This Row],[Unit_Price]]</f>
        <v>25172.599999999802</v>
      </c>
      <c r="P734">
        <f>SalesData[[#This Row],[Gross_sales]]*(1-SalesData[[#This Row],[Discount]])</f>
        <v>18627.723999999853</v>
      </c>
      <c r="Q734" s="2">
        <f>SalesData[[#This Row],[Sales_amount]]-SalesData[[#This Row],[Total_Cost]]</f>
        <v>-4184.676000000145</v>
      </c>
      <c r="R734" s="2">
        <f>SalesData[[#This Row],[Profit]]/SalesData[[#This Row],[Sales_amount]]</f>
        <v>-0.22464773474205318</v>
      </c>
      <c r="S734" s="2">
        <f>SalesData[[#This Row],[Unit_Price]]-SalesData[[#This Row],[Unit_Cost]]</f>
        <v>118.00999999999021</v>
      </c>
      <c r="T734" s="10">
        <f>SalesData[[#This Row],[Unit_Margin]]/SalesData[[#This Row],[Unit_Price]]</f>
        <v>9.3760676290880668E-2</v>
      </c>
      <c r="U734" s="2" t="str">
        <f>IF(SalesData[[#This Row],[Unit_Margin]]&lt;0, "Negative margin", "Positive margin")</f>
        <v>Positive margin</v>
      </c>
      <c r="V734" s="2" t="str">
        <f>IF(SalesData[[#This Row],[Profit]]&lt;0, "Loss", "Profit")</f>
        <v>Loss</v>
      </c>
      <c r="W734" s="2">
        <f>SalesData[[#This Row],[Unit_Price]]*(1-SalesData[[#This Row],[Discount]])</f>
        <v>931.38619999999264</v>
      </c>
      <c r="X734" s="2">
        <f>SalesData[[#This Row],[Effective_Unit_Price]]-SalesData[[#This Row],[Unit_Cost]]</f>
        <v>-209.23380000000725</v>
      </c>
      <c r="Y734" s="2" t="str">
        <f>IF(SalesData[[#This Row],[Effective_Unit_Margin]]&lt;0,"Loss per Unit","Positive per Unit")</f>
        <v>Loss per Unit</v>
      </c>
    </row>
    <row r="735" spans="1:25" x14ac:dyDescent="0.3">
      <c r="A735">
        <v>1047</v>
      </c>
      <c r="B735" s="1">
        <v>45086</v>
      </c>
      <c r="C735" t="s">
        <v>23</v>
      </c>
      <c r="D735" t="s">
        <v>33</v>
      </c>
      <c r="E735">
        <v>18</v>
      </c>
      <c r="F735" t="s">
        <v>28</v>
      </c>
      <c r="G735">
        <v>560.91999999999996</v>
      </c>
      <c r="H735">
        <v>1024.31</v>
      </c>
      <c r="I735" t="s">
        <v>16</v>
      </c>
      <c r="J735" s="2">
        <v>0.26</v>
      </c>
      <c r="K735" t="s">
        <v>17</v>
      </c>
      <c r="L735" t="s">
        <v>18</v>
      </c>
      <c r="M735" t="s">
        <v>49</v>
      </c>
      <c r="N735">
        <f>SalesData[[#This Row],[Quantity_Sold]]*SalesData[[#This Row],[Unit_Cost]]</f>
        <v>10096.56</v>
      </c>
      <c r="O735">
        <f>SalesData[[#This Row],[Quantity_Sold]]*SalesData[[#This Row],[Unit_Price]]</f>
        <v>18437.579999999998</v>
      </c>
      <c r="P735">
        <f>SalesData[[#This Row],[Gross_sales]]*(1-SalesData[[#This Row],[Discount]])</f>
        <v>13643.809199999998</v>
      </c>
      <c r="Q735" s="2">
        <f>SalesData[[#This Row],[Sales_amount]]-SalesData[[#This Row],[Total_Cost]]</f>
        <v>3547.2491999999984</v>
      </c>
      <c r="R735" s="2">
        <f>SalesData[[#This Row],[Profit]]/SalesData[[#This Row],[Sales_amount]]</f>
        <v>0.25998965157032533</v>
      </c>
      <c r="S735" s="2">
        <f>SalesData[[#This Row],[Unit_Price]]-SalesData[[#This Row],[Unit_Cost]]</f>
        <v>463.39</v>
      </c>
      <c r="T735" s="10">
        <f>SalesData[[#This Row],[Unit_Margin]]/SalesData[[#This Row],[Unit_Price]]</f>
        <v>0.45239234216204077</v>
      </c>
      <c r="U735" s="2" t="str">
        <f>IF(SalesData[[#This Row],[Unit_Margin]]&lt;0, "Negative margin", "Positive margin")</f>
        <v>Positive margin</v>
      </c>
      <c r="V735" s="2" t="str">
        <f>IF(SalesData[[#This Row],[Profit]]&lt;0, "Loss", "Profit")</f>
        <v>Profit</v>
      </c>
      <c r="W735" s="2">
        <f>SalesData[[#This Row],[Unit_Price]]*(1-SalesData[[#This Row],[Discount]])</f>
        <v>757.98939999999993</v>
      </c>
      <c r="X735" s="2">
        <f>SalesData[[#This Row],[Effective_Unit_Price]]-SalesData[[#This Row],[Unit_Cost]]</f>
        <v>197.06939999999997</v>
      </c>
      <c r="Y735" s="2" t="str">
        <f>IF(SalesData[[#This Row],[Effective_Unit_Margin]]&lt;0,"Loss per Unit","Positive per Unit")</f>
        <v>Positive per Unit</v>
      </c>
    </row>
    <row r="736" spans="1:25" x14ac:dyDescent="0.3">
      <c r="A736">
        <v>1049</v>
      </c>
      <c r="B736" s="1">
        <v>45289</v>
      </c>
      <c r="C736" t="s">
        <v>32</v>
      </c>
      <c r="D736" t="s">
        <v>24</v>
      </c>
      <c r="E736">
        <v>38</v>
      </c>
      <c r="F736" t="s">
        <v>25</v>
      </c>
      <c r="G736">
        <v>2945.92</v>
      </c>
      <c r="H736">
        <v>3381.22</v>
      </c>
      <c r="I736" t="s">
        <v>16</v>
      </c>
      <c r="J736" s="2">
        <v>0.23</v>
      </c>
      <c r="K736" t="s">
        <v>17</v>
      </c>
      <c r="L736" t="s">
        <v>21</v>
      </c>
      <c r="M736" t="s">
        <v>43</v>
      </c>
      <c r="N736">
        <f>SalesData[[#This Row],[Quantity_Sold]]*SalesData[[#This Row],[Unit_Cost]]</f>
        <v>111944.96000000001</v>
      </c>
      <c r="O736">
        <f>SalesData[[#This Row],[Quantity_Sold]]*SalesData[[#This Row],[Unit_Price]]</f>
        <v>128486.35999999999</v>
      </c>
      <c r="P736">
        <f>SalesData[[#This Row],[Gross_sales]]*(1-SalesData[[#This Row],[Discount]])</f>
        <v>98934.497199999998</v>
      </c>
      <c r="Q736" s="2">
        <f>SalesData[[#This Row],[Sales_amount]]-SalesData[[#This Row],[Total_Cost]]</f>
        <v>-13010.462800000008</v>
      </c>
      <c r="R736" s="2">
        <f>SalesData[[#This Row],[Profit]]/SalesData[[#This Row],[Sales_amount]]</f>
        <v>-0.1315058262609739</v>
      </c>
      <c r="S736" s="2">
        <f>SalesData[[#This Row],[Unit_Price]]-SalesData[[#This Row],[Unit_Cost]]</f>
        <v>435.29999999999973</v>
      </c>
      <c r="T736" s="10">
        <f>SalesData[[#This Row],[Unit_Margin]]/SalesData[[#This Row],[Unit_Price]]</f>
        <v>0.1287405137790501</v>
      </c>
      <c r="U736" s="2" t="str">
        <f>IF(SalesData[[#This Row],[Unit_Margin]]&lt;0, "Negative margin", "Positive margin")</f>
        <v>Positive margin</v>
      </c>
      <c r="V736" s="2" t="str">
        <f>IF(SalesData[[#This Row],[Profit]]&lt;0, "Loss", "Profit")</f>
        <v>Loss</v>
      </c>
      <c r="W736" s="2">
        <f>SalesData[[#This Row],[Unit_Price]]*(1-SalesData[[#This Row],[Discount]])</f>
        <v>2603.5394000000001</v>
      </c>
      <c r="X736" s="2">
        <f>SalesData[[#This Row],[Effective_Unit_Price]]-SalesData[[#This Row],[Unit_Cost]]</f>
        <v>-342.38059999999996</v>
      </c>
      <c r="Y736" s="2" t="str">
        <f>IF(SalesData[[#This Row],[Effective_Unit_Margin]]&lt;0,"Loss per Unit","Positive per Unit")</f>
        <v>Loss per Unit</v>
      </c>
    </row>
    <row r="737" spans="1:25" x14ac:dyDescent="0.3">
      <c r="A737">
        <v>1014</v>
      </c>
      <c r="B737" s="1">
        <v>45084</v>
      </c>
      <c r="C737" t="s">
        <v>41</v>
      </c>
      <c r="D737" t="s">
        <v>14</v>
      </c>
      <c r="E737">
        <v>3</v>
      </c>
      <c r="F737" t="s">
        <v>34</v>
      </c>
      <c r="G737">
        <v>2468.29</v>
      </c>
      <c r="H737">
        <v>2723.13</v>
      </c>
      <c r="I737" t="s">
        <v>16</v>
      </c>
      <c r="J737" s="2">
        <v>0.08</v>
      </c>
      <c r="K737" t="s">
        <v>17</v>
      </c>
      <c r="L737" t="s">
        <v>21</v>
      </c>
      <c r="M737" t="s">
        <v>48</v>
      </c>
      <c r="N737">
        <f>SalesData[[#This Row],[Quantity_Sold]]*SalesData[[#This Row],[Unit_Cost]]</f>
        <v>7404.87</v>
      </c>
      <c r="O737">
        <f>SalesData[[#This Row],[Quantity_Sold]]*SalesData[[#This Row],[Unit_Price]]</f>
        <v>8169.39</v>
      </c>
      <c r="P737">
        <f>SalesData[[#This Row],[Gross_sales]]*(1-SalesData[[#This Row],[Discount]])</f>
        <v>7515.8388000000004</v>
      </c>
      <c r="Q737" s="2">
        <f>SalesData[[#This Row],[Sales_amount]]-SalesData[[#This Row],[Total_Cost]]</f>
        <v>110.96880000000056</v>
      </c>
      <c r="R737" s="2">
        <f>SalesData[[#This Row],[Profit]]/SalesData[[#This Row],[Sales_amount]]</f>
        <v>1.4764659401689209E-2</v>
      </c>
      <c r="S737" s="2">
        <f>SalesData[[#This Row],[Unit_Price]]-SalesData[[#This Row],[Unit_Cost]]</f>
        <v>254.84000000000015</v>
      </c>
      <c r="T737" s="10">
        <f>SalesData[[#This Row],[Unit_Margin]]/SalesData[[#This Row],[Unit_Price]]</f>
        <v>9.3583486649554057E-2</v>
      </c>
      <c r="U737" s="2" t="str">
        <f>IF(SalesData[[#This Row],[Unit_Margin]]&lt;0, "Negative margin", "Positive margin")</f>
        <v>Positive margin</v>
      </c>
      <c r="V737" s="2" t="str">
        <f>IF(SalesData[[#This Row],[Profit]]&lt;0, "Loss", "Profit")</f>
        <v>Profit</v>
      </c>
      <c r="W737" s="2">
        <f>SalesData[[#This Row],[Unit_Price]]*(1-SalesData[[#This Row],[Discount]])</f>
        <v>2505.2796000000003</v>
      </c>
      <c r="X737" s="2">
        <f>SalesData[[#This Row],[Effective_Unit_Price]]-SalesData[[#This Row],[Unit_Cost]]</f>
        <v>36.989600000000337</v>
      </c>
      <c r="Y737" s="2" t="str">
        <f>IF(SalesData[[#This Row],[Effective_Unit_Margin]]&lt;0,"Loss per Unit","Positive per Unit")</f>
        <v>Positive per Unit</v>
      </c>
    </row>
    <row r="738" spans="1:25" x14ac:dyDescent="0.3">
      <c r="A738">
        <v>1015</v>
      </c>
      <c r="B738" s="1">
        <v>44965</v>
      </c>
      <c r="C738" t="s">
        <v>32</v>
      </c>
      <c r="D738" t="s">
        <v>33</v>
      </c>
      <c r="E738">
        <v>23</v>
      </c>
      <c r="F738" t="s">
        <v>34</v>
      </c>
      <c r="G738">
        <v>2644.77</v>
      </c>
      <c r="H738">
        <v>2684.83</v>
      </c>
      <c r="I738" t="s">
        <v>29</v>
      </c>
      <c r="J738" s="2">
        <v>0.24</v>
      </c>
      <c r="K738" t="s">
        <v>17</v>
      </c>
      <c r="L738" t="s">
        <v>18</v>
      </c>
      <c r="M738" t="s">
        <v>35</v>
      </c>
      <c r="N738">
        <f>SalesData[[#This Row],[Quantity_Sold]]*SalesData[[#This Row],[Unit_Cost]]</f>
        <v>60829.71</v>
      </c>
      <c r="O738">
        <f>SalesData[[#This Row],[Quantity_Sold]]*SalesData[[#This Row],[Unit_Price]]</f>
        <v>61751.09</v>
      </c>
      <c r="P738">
        <f>SalesData[[#This Row],[Gross_sales]]*(1-SalesData[[#This Row],[Discount]])</f>
        <v>46930.828399999999</v>
      </c>
      <c r="Q738" s="2">
        <f>SalesData[[#This Row],[Sales_amount]]-SalesData[[#This Row],[Total_Cost]]</f>
        <v>-13898.881600000001</v>
      </c>
      <c r="R738" s="2">
        <f>SalesData[[#This Row],[Profit]]/SalesData[[#This Row],[Sales_amount]]</f>
        <v>-0.29615674970697942</v>
      </c>
      <c r="S738" s="2">
        <f>SalesData[[#This Row],[Unit_Price]]-SalesData[[#This Row],[Unit_Cost]]</f>
        <v>40.059999999999945</v>
      </c>
      <c r="T738" s="10">
        <f>SalesData[[#This Row],[Unit_Margin]]/SalesData[[#This Row],[Unit_Price]]</f>
        <v>1.4920870222695644E-2</v>
      </c>
      <c r="U738" s="2" t="str">
        <f>IF(SalesData[[#This Row],[Unit_Margin]]&lt;0, "Negative margin", "Positive margin")</f>
        <v>Positive margin</v>
      </c>
      <c r="V738" s="2" t="str">
        <f>IF(SalesData[[#This Row],[Profit]]&lt;0, "Loss", "Profit")</f>
        <v>Loss</v>
      </c>
      <c r="W738" s="2">
        <f>SalesData[[#This Row],[Unit_Price]]*(1-SalesData[[#This Row],[Discount]])</f>
        <v>2040.4708000000001</v>
      </c>
      <c r="X738" s="2">
        <f>SalesData[[#This Row],[Effective_Unit_Price]]-SalesData[[#This Row],[Unit_Cost]]</f>
        <v>-604.29919999999993</v>
      </c>
      <c r="Y738" s="2" t="str">
        <f>IF(SalesData[[#This Row],[Effective_Unit_Margin]]&lt;0,"Loss per Unit","Positive per Unit")</f>
        <v>Loss per Unit</v>
      </c>
    </row>
    <row r="739" spans="1:25" x14ac:dyDescent="0.3">
      <c r="A739">
        <v>1031</v>
      </c>
      <c r="B739" s="1">
        <v>45008</v>
      </c>
      <c r="C739" t="s">
        <v>37</v>
      </c>
      <c r="D739" t="s">
        <v>33</v>
      </c>
      <c r="E739">
        <v>32</v>
      </c>
      <c r="F739" t="s">
        <v>28</v>
      </c>
      <c r="G739">
        <v>3351.33</v>
      </c>
      <c r="H739">
        <v>3711.47</v>
      </c>
      <c r="I739" t="s">
        <v>29</v>
      </c>
      <c r="J739" s="2">
        <v>0.16</v>
      </c>
      <c r="K739" t="s">
        <v>17</v>
      </c>
      <c r="L739" t="s">
        <v>21</v>
      </c>
      <c r="M739" t="s">
        <v>47</v>
      </c>
      <c r="N739">
        <f>SalesData[[#This Row],[Quantity_Sold]]*SalesData[[#This Row],[Unit_Cost]]</f>
        <v>107242.56</v>
      </c>
      <c r="O739">
        <f>SalesData[[#This Row],[Quantity_Sold]]*SalesData[[#This Row],[Unit_Price]]</f>
        <v>118767.03999999999</v>
      </c>
      <c r="P739">
        <f>SalesData[[#This Row],[Gross_sales]]*(1-SalesData[[#This Row],[Discount]])</f>
        <v>99764.313599999994</v>
      </c>
      <c r="Q739" s="2">
        <f>SalesData[[#This Row],[Sales_amount]]-SalesData[[#This Row],[Total_Cost]]</f>
        <v>-7478.2464000000036</v>
      </c>
      <c r="R739" s="2">
        <f>SalesData[[#This Row],[Profit]]/SalesData[[#This Row],[Sales_amount]]</f>
        <v>-7.4959132480815302E-2</v>
      </c>
      <c r="S739" s="2">
        <f>SalesData[[#This Row],[Unit_Price]]-SalesData[[#This Row],[Unit_Cost]]</f>
        <v>360.13999999999987</v>
      </c>
      <c r="T739" s="10">
        <f>SalesData[[#This Row],[Unit_Margin]]/SalesData[[#This Row],[Unit_Price]]</f>
        <v>9.7034328716115142E-2</v>
      </c>
      <c r="U739" s="2" t="str">
        <f>IF(SalesData[[#This Row],[Unit_Margin]]&lt;0, "Negative margin", "Positive margin")</f>
        <v>Positive margin</v>
      </c>
      <c r="V739" s="2" t="str">
        <f>IF(SalesData[[#This Row],[Profit]]&lt;0, "Loss", "Profit")</f>
        <v>Loss</v>
      </c>
      <c r="W739" s="2">
        <f>SalesData[[#This Row],[Unit_Price]]*(1-SalesData[[#This Row],[Discount]])</f>
        <v>3117.6347999999998</v>
      </c>
      <c r="X739" s="2">
        <f>SalesData[[#This Row],[Effective_Unit_Price]]-SalesData[[#This Row],[Unit_Cost]]</f>
        <v>-233.69520000000011</v>
      </c>
      <c r="Y739" s="2" t="str">
        <f>IF(SalesData[[#This Row],[Effective_Unit_Margin]]&lt;0,"Loss per Unit","Positive per Unit")</f>
        <v>Loss per Unit</v>
      </c>
    </row>
    <row r="740" spans="1:25" x14ac:dyDescent="0.3">
      <c r="A740">
        <v>1001</v>
      </c>
      <c r="B740" s="1">
        <v>45282</v>
      </c>
      <c r="C740" t="s">
        <v>23</v>
      </c>
      <c r="D740" t="s">
        <v>20</v>
      </c>
      <c r="E740">
        <v>45</v>
      </c>
      <c r="F740" t="s">
        <v>28</v>
      </c>
      <c r="G740">
        <v>1372.36</v>
      </c>
      <c r="H740">
        <v>1687.83</v>
      </c>
      <c r="I740" t="s">
        <v>29</v>
      </c>
      <c r="J740" s="2">
        <v>0.02</v>
      </c>
      <c r="K740" t="s">
        <v>30</v>
      </c>
      <c r="L740" t="s">
        <v>18</v>
      </c>
      <c r="M740" t="s">
        <v>46</v>
      </c>
      <c r="N740">
        <f>SalesData[[#This Row],[Quantity_Sold]]*SalesData[[#This Row],[Unit_Cost]]</f>
        <v>61756.2</v>
      </c>
      <c r="O740">
        <f>SalesData[[#This Row],[Quantity_Sold]]*SalesData[[#This Row],[Unit_Price]]</f>
        <v>75952.349999999991</v>
      </c>
      <c r="P740">
        <f>SalesData[[#This Row],[Gross_sales]]*(1-SalesData[[#This Row],[Discount]])</f>
        <v>74433.302999999985</v>
      </c>
      <c r="Q740" s="2">
        <f>SalesData[[#This Row],[Sales_amount]]-SalesData[[#This Row],[Total_Cost]]</f>
        <v>12677.102999999988</v>
      </c>
      <c r="R740" s="2">
        <f>SalesData[[#This Row],[Profit]]/SalesData[[#This Row],[Sales_amount]]</f>
        <v>0.17031493281978888</v>
      </c>
      <c r="S740" s="2">
        <f>SalesData[[#This Row],[Unit_Price]]-SalesData[[#This Row],[Unit_Cost]]</f>
        <v>315.47000000000003</v>
      </c>
      <c r="T740" s="10">
        <f>SalesData[[#This Row],[Unit_Margin]]/SalesData[[#This Row],[Unit_Price]]</f>
        <v>0.18690863416339326</v>
      </c>
      <c r="U740" s="2" t="str">
        <f>IF(SalesData[[#This Row],[Unit_Margin]]&lt;0, "Negative margin", "Positive margin")</f>
        <v>Positive margin</v>
      </c>
      <c r="V740" s="2" t="str">
        <f>IF(SalesData[[#This Row],[Profit]]&lt;0, "Loss", "Profit")</f>
        <v>Profit</v>
      </c>
      <c r="W740" s="2">
        <f>SalesData[[#This Row],[Unit_Price]]*(1-SalesData[[#This Row],[Discount]])</f>
        <v>1654.0734</v>
      </c>
      <c r="X740" s="2">
        <f>SalesData[[#This Row],[Effective_Unit_Price]]-SalesData[[#This Row],[Unit_Cost]]</f>
        <v>281.71340000000009</v>
      </c>
      <c r="Y740" s="2" t="str">
        <f>IF(SalesData[[#This Row],[Effective_Unit_Margin]]&lt;0,"Loss per Unit","Positive per Unit")</f>
        <v>Positive per Unit</v>
      </c>
    </row>
    <row r="741" spans="1:25" x14ac:dyDescent="0.3">
      <c r="A741">
        <v>1054</v>
      </c>
      <c r="B741" s="1">
        <v>45184</v>
      </c>
      <c r="C741" t="s">
        <v>13</v>
      </c>
      <c r="D741" t="s">
        <v>24</v>
      </c>
      <c r="E741">
        <v>16</v>
      </c>
      <c r="F741" t="s">
        <v>34</v>
      </c>
      <c r="G741">
        <v>4557.79</v>
      </c>
      <c r="H741">
        <v>5043.3599999999997</v>
      </c>
      <c r="I741" t="s">
        <v>16</v>
      </c>
      <c r="J741" s="2">
        <v>0.14000000000000001</v>
      </c>
      <c r="K741" t="s">
        <v>30</v>
      </c>
      <c r="L741" t="s">
        <v>21</v>
      </c>
      <c r="M741" t="s">
        <v>31</v>
      </c>
      <c r="N741">
        <f>SalesData[[#This Row],[Quantity_Sold]]*SalesData[[#This Row],[Unit_Cost]]</f>
        <v>72924.639999999999</v>
      </c>
      <c r="O741">
        <f>SalesData[[#This Row],[Quantity_Sold]]*SalesData[[#This Row],[Unit_Price]]</f>
        <v>80693.759999999995</v>
      </c>
      <c r="P741">
        <f>SalesData[[#This Row],[Gross_sales]]*(1-SalesData[[#This Row],[Discount]])</f>
        <v>69396.633600000001</v>
      </c>
      <c r="Q741" s="2">
        <f>SalesData[[#This Row],[Sales_amount]]-SalesData[[#This Row],[Total_Cost]]</f>
        <v>-3528.0063999999984</v>
      </c>
      <c r="R741" s="2">
        <f>SalesData[[#This Row],[Profit]]/SalesData[[#This Row],[Sales_amount]]</f>
        <v>-5.083829311282325E-2</v>
      </c>
      <c r="S741" s="2">
        <f>SalesData[[#This Row],[Unit_Price]]-SalesData[[#This Row],[Unit_Cost]]</f>
        <v>485.56999999999971</v>
      </c>
      <c r="T741" s="10">
        <f>SalesData[[#This Row],[Unit_Margin]]/SalesData[[#This Row],[Unit_Price]]</f>
        <v>9.6279067922971931E-2</v>
      </c>
      <c r="U741" s="2" t="str">
        <f>IF(SalesData[[#This Row],[Unit_Margin]]&lt;0, "Negative margin", "Positive margin")</f>
        <v>Positive margin</v>
      </c>
      <c r="V741" s="2" t="str">
        <f>IF(SalesData[[#This Row],[Profit]]&lt;0, "Loss", "Profit")</f>
        <v>Loss</v>
      </c>
      <c r="W741" s="2">
        <f>SalesData[[#This Row],[Unit_Price]]*(1-SalesData[[#This Row],[Discount]])</f>
        <v>4337.2896000000001</v>
      </c>
      <c r="X741" s="2">
        <f>SalesData[[#This Row],[Effective_Unit_Price]]-SalesData[[#This Row],[Unit_Cost]]</f>
        <v>-220.5003999999999</v>
      </c>
      <c r="Y741" s="2" t="str">
        <f>IF(SalesData[[#This Row],[Effective_Unit_Margin]]&lt;0,"Loss per Unit","Positive per Unit")</f>
        <v>Loss per Unit</v>
      </c>
    </row>
    <row r="742" spans="1:25" x14ac:dyDescent="0.3">
      <c r="A742">
        <v>1003</v>
      </c>
      <c r="B742" s="1">
        <v>45132</v>
      </c>
      <c r="C742" t="s">
        <v>37</v>
      </c>
      <c r="D742" t="s">
        <v>20</v>
      </c>
      <c r="E742">
        <v>5</v>
      </c>
      <c r="F742" t="s">
        <v>25</v>
      </c>
      <c r="G742">
        <v>2206.58</v>
      </c>
      <c r="H742">
        <v>2490.4699999999998</v>
      </c>
      <c r="I742" t="s">
        <v>29</v>
      </c>
      <c r="J742" s="2">
        <v>0.28000000000000003</v>
      </c>
      <c r="K742" t="s">
        <v>17</v>
      </c>
      <c r="L742" t="s">
        <v>18</v>
      </c>
      <c r="M742" t="s">
        <v>40</v>
      </c>
      <c r="N742">
        <f>SalesData[[#This Row],[Quantity_Sold]]*SalesData[[#This Row],[Unit_Cost]]</f>
        <v>11032.9</v>
      </c>
      <c r="O742">
        <f>SalesData[[#This Row],[Quantity_Sold]]*SalesData[[#This Row],[Unit_Price]]</f>
        <v>12452.349999999999</v>
      </c>
      <c r="P742">
        <f>SalesData[[#This Row],[Gross_sales]]*(1-SalesData[[#This Row],[Discount]])</f>
        <v>8965.6919999999991</v>
      </c>
      <c r="Q742" s="2">
        <f>SalesData[[#This Row],[Sales_amount]]-SalesData[[#This Row],[Total_Cost]]</f>
        <v>-2067.2080000000005</v>
      </c>
      <c r="R742" s="2">
        <f>SalesData[[#This Row],[Profit]]/SalesData[[#This Row],[Sales_amount]]</f>
        <v>-0.23056870568384469</v>
      </c>
      <c r="S742" s="2">
        <f>SalesData[[#This Row],[Unit_Price]]-SalesData[[#This Row],[Unit_Cost]]</f>
        <v>283.88999999999987</v>
      </c>
      <c r="T742" s="10">
        <f>SalesData[[#This Row],[Unit_Margin]]/SalesData[[#This Row],[Unit_Price]]</f>
        <v>0.11399053190763185</v>
      </c>
      <c r="U742" s="2" t="str">
        <f>IF(SalesData[[#This Row],[Unit_Margin]]&lt;0, "Negative margin", "Positive margin")</f>
        <v>Positive margin</v>
      </c>
      <c r="V742" s="2" t="str">
        <f>IF(SalesData[[#This Row],[Profit]]&lt;0, "Loss", "Profit")</f>
        <v>Loss</v>
      </c>
      <c r="W742" s="2">
        <f>SalesData[[#This Row],[Unit_Price]]*(1-SalesData[[#This Row],[Discount]])</f>
        <v>1793.1383999999998</v>
      </c>
      <c r="X742" s="2">
        <f>SalesData[[#This Row],[Effective_Unit_Price]]-SalesData[[#This Row],[Unit_Cost]]</f>
        <v>-413.44160000000011</v>
      </c>
      <c r="Y742" s="2" t="str">
        <f>IF(SalesData[[#This Row],[Effective_Unit_Margin]]&lt;0,"Loss per Unit","Positive per Unit")</f>
        <v>Loss per Unit</v>
      </c>
    </row>
    <row r="743" spans="1:25" x14ac:dyDescent="0.3">
      <c r="A743">
        <v>1016</v>
      </c>
      <c r="B743" s="1">
        <v>45003</v>
      </c>
      <c r="C743" t="s">
        <v>23</v>
      </c>
      <c r="D743" t="s">
        <v>24</v>
      </c>
      <c r="E743">
        <v>4</v>
      </c>
      <c r="F743" t="s">
        <v>25</v>
      </c>
      <c r="G743">
        <v>688.98</v>
      </c>
      <c r="H743">
        <v>863.81</v>
      </c>
      <c r="I743" t="s">
        <v>29</v>
      </c>
      <c r="J743" s="2">
        <v>0.27</v>
      </c>
      <c r="K743" t="s">
        <v>30</v>
      </c>
      <c r="L743" t="s">
        <v>21</v>
      </c>
      <c r="M743" t="s">
        <v>27</v>
      </c>
      <c r="N743">
        <f>SalesData[[#This Row],[Quantity_Sold]]*SalesData[[#This Row],[Unit_Cost]]</f>
        <v>2755.92</v>
      </c>
      <c r="O743">
        <f>SalesData[[#This Row],[Quantity_Sold]]*SalesData[[#This Row],[Unit_Price]]</f>
        <v>3455.24</v>
      </c>
      <c r="P743">
        <f>SalesData[[#This Row],[Gross_sales]]*(1-SalesData[[#This Row],[Discount]])</f>
        <v>2522.3251999999998</v>
      </c>
      <c r="Q743" s="2">
        <f>SalesData[[#This Row],[Sales_amount]]-SalesData[[#This Row],[Total_Cost]]</f>
        <v>-233.5948000000003</v>
      </c>
      <c r="R743" s="2">
        <f>SalesData[[#This Row],[Profit]]/SalesData[[#This Row],[Sales_amount]]</f>
        <v>-9.2610897278431956E-2</v>
      </c>
      <c r="S743" s="2">
        <f>SalesData[[#This Row],[Unit_Price]]-SalesData[[#This Row],[Unit_Cost]]</f>
        <v>174.82999999999993</v>
      </c>
      <c r="T743" s="10">
        <f>SalesData[[#This Row],[Unit_Margin]]/SalesData[[#This Row],[Unit_Price]]</f>
        <v>0.20239404498674471</v>
      </c>
      <c r="U743" s="2" t="str">
        <f>IF(SalesData[[#This Row],[Unit_Margin]]&lt;0, "Negative margin", "Positive margin")</f>
        <v>Positive margin</v>
      </c>
      <c r="V743" s="2" t="str">
        <f>IF(SalesData[[#This Row],[Profit]]&lt;0, "Loss", "Profit")</f>
        <v>Loss</v>
      </c>
      <c r="W743" s="2">
        <f>SalesData[[#This Row],[Unit_Price]]*(1-SalesData[[#This Row],[Discount]])</f>
        <v>630.58129999999994</v>
      </c>
      <c r="X743" s="2">
        <f>SalesData[[#This Row],[Effective_Unit_Price]]-SalesData[[#This Row],[Unit_Cost]]</f>
        <v>-58.398700000000076</v>
      </c>
      <c r="Y743" s="2" t="str">
        <f>IF(SalesData[[#This Row],[Effective_Unit_Margin]]&lt;0,"Loss per Unit","Positive per Unit")</f>
        <v>Loss per Unit</v>
      </c>
    </row>
    <row r="744" spans="1:25" x14ac:dyDescent="0.3">
      <c r="A744">
        <v>1087</v>
      </c>
      <c r="B744" s="1">
        <v>44938</v>
      </c>
      <c r="C744" t="s">
        <v>32</v>
      </c>
      <c r="D744" t="s">
        <v>14</v>
      </c>
      <c r="E744">
        <v>21</v>
      </c>
      <c r="F744" t="s">
        <v>25</v>
      </c>
      <c r="G744">
        <v>3724.38</v>
      </c>
      <c r="H744">
        <v>3988.7</v>
      </c>
      <c r="I744" t="s">
        <v>29</v>
      </c>
      <c r="J744" s="2">
        <v>0.03</v>
      </c>
      <c r="K744" t="s">
        <v>26</v>
      </c>
      <c r="L744" t="s">
        <v>21</v>
      </c>
      <c r="M744" t="s">
        <v>52</v>
      </c>
      <c r="N744">
        <f>SalesData[[#This Row],[Quantity_Sold]]*SalesData[[#This Row],[Unit_Cost]]</f>
        <v>78211.98</v>
      </c>
      <c r="O744">
        <f>SalesData[[#This Row],[Quantity_Sold]]*SalesData[[#This Row],[Unit_Price]]</f>
        <v>83762.7</v>
      </c>
      <c r="P744">
        <f>SalesData[[#This Row],[Gross_sales]]*(1-SalesData[[#This Row],[Discount]])</f>
        <v>81249.818999999989</v>
      </c>
      <c r="Q744" s="2">
        <f>SalesData[[#This Row],[Sales_amount]]-SalesData[[#This Row],[Total_Cost]]</f>
        <v>3037.8389999999927</v>
      </c>
      <c r="R744" s="2">
        <f>SalesData[[#This Row],[Profit]]/SalesData[[#This Row],[Sales_amount]]</f>
        <v>3.7388870983207888E-2</v>
      </c>
      <c r="S744" s="2">
        <f>SalesData[[#This Row],[Unit_Price]]-SalesData[[#This Row],[Unit_Cost]]</f>
        <v>264.31999999999971</v>
      </c>
      <c r="T744" s="10">
        <f>SalesData[[#This Row],[Unit_Margin]]/SalesData[[#This Row],[Unit_Price]]</f>
        <v>6.6267204853711667E-2</v>
      </c>
      <c r="U744" s="2" t="str">
        <f>IF(SalesData[[#This Row],[Unit_Margin]]&lt;0, "Negative margin", "Positive margin")</f>
        <v>Positive margin</v>
      </c>
      <c r="V744" s="2" t="str">
        <f>IF(SalesData[[#This Row],[Profit]]&lt;0, "Loss", "Profit")</f>
        <v>Profit</v>
      </c>
      <c r="W744" s="2">
        <f>SalesData[[#This Row],[Unit_Price]]*(1-SalesData[[#This Row],[Discount]])</f>
        <v>3869.0389999999998</v>
      </c>
      <c r="X744" s="2">
        <f>SalesData[[#This Row],[Effective_Unit_Price]]-SalesData[[#This Row],[Unit_Cost]]</f>
        <v>144.65899999999965</v>
      </c>
      <c r="Y744" s="2" t="str">
        <f>IF(SalesData[[#This Row],[Effective_Unit_Margin]]&lt;0,"Loss per Unit","Positive per Unit")</f>
        <v>Positive per Unit</v>
      </c>
    </row>
    <row r="745" spans="1:25" x14ac:dyDescent="0.3">
      <c r="A745">
        <v>1057</v>
      </c>
      <c r="B745" s="1">
        <v>45221</v>
      </c>
      <c r="C745" t="s">
        <v>37</v>
      </c>
      <c r="D745" t="s">
        <v>24</v>
      </c>
      <c r="E745">
        <v>40</v>
      </c>
      <c r="F745" t="s">
        <v>28</v>
      </c>
      <c r="G745">
        <v>3233.37</v>
      </c>
      <c r="H745">
        <v>3723.21</v>
      </c>
      <c r="I745" t="s">
        <v>29</v>
      </c>
      <c r="J745" s="2">
        <v>0.22</v>
      </c>
      <c r="K745" t="s">
        <v>26</v>
      </c>
      <c r="L745" t="s">
        <v>21</v>
      </c>
      <c r="M745" t="s">
        <v>38</v>
      </c>
      <c r="N745">
        <f>SalesData[[#This Row],[Quantity_Sold]]*SalesData[[#This Row],[Unit_Cost]]</f>
        <v>129334.79999999999</v>
      </c>
      <c r="O745">
        <f>SalesData[[#This Row],[Quantity_Sold]]*SalesData[[#This Row],[Unit_Price]]</f>
        <v>148928.4</v>
      </c>
      <c r="P745">
        <f>SalesData[[#This Row],[Gross_sales]]*(1-SalesData[[#This Row],[Discount]])</f>
        <v>116164.152</v>
      </c>
      <c r="Q745" s="2">
        <f>SalesData[[#This Row],[Sales_amount]]-SalesData[[#This Row],[Total_Cost]]</f>
        <v>-13170.647999999986</v>
      </c>
      <c r="R745" s="2">
        <f>SalesData[[#This Row],[Profit]]/SalesData[[#This Row],[Sales_amount]]</f>
        <v>-0.11337962506712042</v>
      </c>
      <c r="S745" s="2">
        <f>SalesData[[#This Row],[Unit_Price]]-SalesData[[#This Row],[Unit_Cost]]</f>
        <v>489.84000000000015</v>
      </c>
      <c r="T745" s="10">
        <f>SalesData[[#This Row],[Unit_Margin]]/SalesData[[#This Row],[Unit_Price]]</f>
        <v>0.13156389244764602</v>
      </c>
      <c r="U745" s="2" t="str">
        <f>IF(SalesData[[#This Row],[Unit_Margin]]&lt;0, "Negative margin", "Positive margin")</f>
        <v>Positive margin</v>
      </c>
      <c r="V745" s="2" t="str">
        <f>IF(SalesData[[#This Row],[Profit]]&lt;0, "Loss", "Profit")</f>
        <v>Loss</v>
      </c>
      <c r="W745" s="2">
        <f>SalesData[[#This Row],[Unit_Price]]*(1-SalesData[[#This Row],[Discount]])</f>
        <v>2904.1038000000003</v>
      </c>
      <c r="X745" s="2">
        <f>SalesData[[#This Row],[Effective_Unit_Price]]-SalesData[[#This Row],[Unit_Cost]]</f>
        <v>-329.26619999999957</v>
      </c>
      <c r="Y745" s="2" t="str">
        <f>IF(SalesData[[#This Row],[Effective_Unit_Margin]]&lt;0,"Loss per Unit","Positive per Unit")</f>
        <v>Loss per Unit</v>
      </c>
    </row>
    <row r="746" spans="1:25" x14ac:dyDescent="0.3">
      <c r="A746">
        <v>1075</v>
      </c>
      <c r="B746" s="1">
        <v>45150</v>
      </c>
      <c r="C746" t="s">
        <v>23</v>
      </c>
      <c r="D746" t="s">
        <v>33</v>
      </c>
      <c r="E746">
        <v>14</v>
      </c>
      <c r="F746" t="s">
        <v>15</v>
      </c>
      <c r="G746">
        <v>1612.93</v>
      </c>
      <c r="H746">
        <v>1964.15</v>
      </c>
      <c r="I746" t="s">
        <v>16</v>
      </c>
      <c r="J746" s="2">
        <v>0.24</v>
      </c>
      <c r="K746" t="s">
        <v>26</v>
      </c>
      <c r="L746" t="s">
        <v>21</v>
      </c>
      <c r="M746" t="s">
        <v>49</v>
      </c>
      <c r="N746">
        <f>SalesData[[#This Row],[Quantity_Sold]]*SalesData[[#This Row],[Unit_Cost]]</f>
        <v>22581.02</v>
      </c>
      <c r="O746">
        <f>SalesData[[#This Row],[Quantity_Sold]]*SalesData[[#This Row],[Unit_Price]]</f>
        <v>27498.100000000002</v>
      </c>
      <c r="P746">
        <f>SalesData[[#This Row],[Gross_sales]]*(1-SalesData[[#This Row],[Discount]])</f>
        <v>20898.556</v>
      </c>
      <c r="Q746" s="2">
        <f>SalesData[[#This Row],[Sales_amount]]-SalesData[[#This Row],[Total_Cost]]</f>
        <v>-1682.4639999999999</v>
      </c>
      <c r="R746" s="2">
        <f>SalesData[[#This Row],[Profit]]/SalesData[[#This Row],[Sales_amount]]</f>
        <v>-8.0506232105222952E-2</v>
      </c>
      <c r="S746" s="2">
        <f>SalesData[[#This Row],[Unit_Price]]-SalesData[[#This Row],[Unit_Cost]]</f>
        <v>351.22</v>
      </c>
      <c r="T746" s="10">
        <f>SalesData[[#This Row],[Unit_Margin]]/SalesData[[#This Row],[Unit_Price]]</f>
        <v>0.17881526360003056</v>
      </c>
      <c r="U746" s="2" t="str">
        <f>IF(SalesData[[#This Row],[Unit_Margin]]&lt;0, "Negative margin", "Positive margin")</f>
        <v>Positive margin</v>
      </c>
      <c r="V746" s="2" t="str">
        <f>IF(SalesData[[#This Row],[Profit]]&lt;0, "Loss", "Profit")</f>
        <v>Loss</v>
      </c>
      <c r="W746" s="2">
        <f>SalesData[[#This Row],[Unit_Price]]*(1-SalesData[[#This Row],[Discount]])</f>
        <v>1492.7540000000001</v>
      </c>
      <c r="X746" s="2">
        <f>SalesData[[#This Row],[Effective_Unit_Price]]-SalesData[[#This Row],[Unit_Cost]]</f>
        <v>-120.17599999999993</v>
      </c>
      <c r="Y746" s="2" t="str">
        <f>IF(SalesData[[#This Row],[Effective_Unit_Margin]]&lt;0,"Loss per Unit","Positive per Unit")</f>
        <v>Loss per Unit</v>
      </c>
    </row>
    <row r="747" spans="1:25" x14ac:dyDescent="0.3">
      <c r="A747">
        <v>1012</v>
      </c>
      <c r="B747" s="1">
        <v>44939</v>
      </c>
      <c r="C747" t="s">
        <v>41</v>
      </c>
      <c r="D747" t="s">
        <v>33</v>
      </c>
      <c r="E747">
        <v>39</v>
      </c>
      <c r="F747" t="s">
        <v>15</v>
      </c>
      <c r="G747">
        <v>3126.52</v>
      </c>
      <c r="H747">
        <v>3465.79</v>
      </c>
      <c r="I747" t="s">
        <v>29</v>
      </c>
      <c r="J747" s="2">
        <v>0.08</v>
      </c>
      <c r="K747" t="s">
        <v>17</v>
      </c>
      <c r="L747" t="s">
        <v>18</v>
      </c>
      <c r="M747" t="s">
        <v>51</v>
      </c>
      <c r="N747">
        <f>SalesData[[#This Row],[Quantity_Sold]]*SalesData[[#This Row],[Unit_Cost]]</f>
        <v>121934.28</v>
      </c>
      <c r="O747">
        <f>SalesData[[#This Row],[Quantity_Sold]]*SalesData[[#This Row],[Unit_Price]]</f>
        <v>135165.81</v>
      </c>
      <c r="P747">
        <f>SalesData[[#This Row],[Gross_sales]]*(1-SalesData[[#This Row],[Discount]])</f>
        <v>124352.54520000001</v>
      </c>
      <c r="Q747" s="2">
        <f>SalesData[[#This Row],[Sales_amount]]-SalesData[[#This Row],[Total_Cost]]</f>
        <v>2418.2652000000089</v>
      </c>
      <c r="R747" s="2">
        <f>SalesData[[#This Row],[Profit]]/SalesData[[#This Row],[Sales_amount]]</f>
        <v>1.9446849247119462E-2</v>
      </c>
      <c r="S747" s="2">
        <f>SalesData[[#This Row],[Unit_Price]]-SalesData[[#This Row],[Unit_Cost]]</f>
        <v>339.27</v>
      </c>
      <c r="T747" s="10">
        <f>SalesData[[#This Row],[Unit_Margin]]/SalesData[[#This Row],[Unit_Price]]</f>
        <v>9.7891101307349834E-2</v>
      </c>
      <c r="U747" s="2" t="str">
        <f>IF(SalesData[[#This Row],[Unit_Margin]]&lt;0, "Negative margin", "Positive margin")</f>
        <v>Positive margin</v>
      </c>
      <c r="V747" s="2" t="str">
        <f>IF(SalesData[[#This Row],[Profit]]&lt;0, "Loss", "Profit")</f>
        <v>Profit</v>
      </c>
      <c r="W747" s="2">
        <f>SalesData[[#This Row],[Unit_Price]]*(1-SalesData[[#This Row],[Discount]])</f>
        <v>3188.5268000000001</v>
      </c>
      <c r="X747" s="2">
        <f>SalesData[[#This Row],[Effective_Unit_Price]]-SalesData[[#This Row],[Unit_Cost]]</f>
        <v>62.006800000000112</v>
      </c>
      <c r="Y747" s="2" t="str">
        <f>IF(SalesData[[#This Row],[Effective_Unit_Margin]]&lt;0,"Loss per Unit","Positive per Unit")</f>
        <v>Positive per Unit</v>
      </c>
    </row>
    <row r="748" spans="1:25" x14ac:dyDescent="0.3">
      <c r="A748">
        <v>1074</v>
      </c>
      <c r="B748" s="1">
        <v>44972</v>
      </c>
      <c r="C748" t="s">
        <v>41</v>
      </c>
      <c r="D748" t="s">
        <v>24</v>
      </c>
      <c r="E748">
        <v>31</v>
      </c>
      <c r="F748" t="s">
        <v>15</v>
      </c>
      <c r="G748">
        <v>1138.32</v>
      </c>
      <c r="H748">
        <v>1266.25</v>
      </c>
      <c r="I748" t="s">
        <v>16</v>
      </c>
      <c r="J748" s="2">
        <v>0.14000000000000001</v>
      </c>
      <c r="K748" t="s">
        <v>17</v>
      </c>
      <c r="L748" t="s">
        <v>21</v>
      </c>
      <c r="M748" t="s">
        <v>42</v>
      </c>
      <c r="N748">
        <f>SalesData[[#This Row],[Quantity_Sold]]*SalesData[[#This Row],[Unit_Cost]]</f>
        <v>35287.919999999998</v>
      </c>
      <c r="O748">
        <f>SalesData[[#This Row],[Quantity_Sold]]*SalesData[[#This Row],[Unit_Price]]</f>
        <v>39253.75</v>
      </c>
      <c r="P748">
        <f>SalesData[[#This Row],[Gross_sales]]*(1-SalesData[[#This Row],[Discount]])</f>
        <v>33758.224999999999</v>
      </c>
      <c r="Q748" s="2">
        <f>SalesData[[#This Row],[Sales_amount]]-SalesData[[#This Row],[Total_Cost]]</f>
        <v>-1529.6949999999997</v>
      </c>
      <c r="R748" s="2">
        <f>SalesData[[#This Row],[Profit]]/SalesData[[#This Row],[Sales_amount]]</f>
        <v>-4.5313253288642982E-2</v>
      </c>
      <c r="S748" s="2">
        <f>SalesData[[#This Row],[Unit_Price]]-SalesData[[#This Row],[Unit_Cost]]</f>
        <v>127.93000000000006</v>
      </c>
      <c r="T748" s="10">
        <f>SalesData[[#This Row],[Unit_Margin]]/SalesData[[#This Row],[Unit_Price]]</f>
        <v>0.10103060217176708</v>
      </c>
      <c r="U748" s="2" t="str">
        <f>IF(SalesData[[#This Row],[Unit_Margin]]&lt;0, "Negative margin", "Positive margin")</f>
        <v>Positive margin</v>
      </c>
      <c r="V748" s="2" t="str">
        <f>IF(SalesData[[#This Row],[Profit]]&lt;0, "Loss", "Profit")</f>
        <v>Loss</v>
      </c>
      <c r="W748" s="2">
        <f>SalesData[[#This Row],[Unit_Price]]*(1-SalesData[[#This Row],[Discount]])</f>
        <v>1088.9749999999999</v>
      </c>
      <c r="X748" s="2">
        <f>SalesData[[#This Row],[Effective_Unit_Price]]-SalesData[[#This Row],[Unit_Cost]]</f>
        <v>-49.345000000000027</v>
      </c>
      <c r="Y748" s="2" t="str">
        <f>IF(SalesData[[#This Row],[Effective_Unit_Margin]]&lt;0,"Loss per Unit","Positive per Unit")</f>
        <v>Loss per Unit</v>
      </c>
    </row>
    <row r="749" spans="1:25" x14ac:dyDescent="0.3">
      <c r="A749">
        <v>1096</v>
      </c>
      <c r="B749" s="1">
        <v>45081</v>
      </c>
      <c r="C749" t="s">
        <v>13</v>
      </c>
      <c r="D749" t="s">
        <v>24</v>
      </c>
      <c r="E749">
        <v>14</v>
      </c>
      <c r="F749" t="s">
        <v>15</v>
      </c>
      <c r="G749">
        <v>2251.9499999999998</v>
      </c>
      <c r="H749">
        <v>2626.3199999999902</v>
      </c>
      <c r="I749" t="s">
        <v>16</v>
      </c>
      <c r="J749" s="2">
        <v>0.21</v>
      </c>
      <c r="K749" t="s">
        <v>30</v>
      </c>
      <c r="L749" t="s">
        <v>18</v>
      </c>
      <c r="M749" t="s">
        <v>31</v>
      </c>
      <c r="N749">
        <f>SalesData[[#This Row],[Quantity_Sold]]*SalesData[[#This Row],[Unit_Cost]]</f>
        <v>31527.299999999996</v>
      </c>
      <c r="O749">
        <f>SalesData[[#This Row],[Quantity_Sold]]*SalesData[[#This Row],[Unit_Price]]</f>
        <v>36768.479999999865</v>
      </c>
      <c r="P749">
        <f>SalesData[[#This Row],[Gross_sales]]*(1-SalesData[[#This Row],[Discount]])</f>
        <v>29047.099199999895</v>
      </c>
      <c r="Q749" s="2">
        <f>SalesData[[#This Row],[Sales_amount]]-SalesData[[#This Row],[Total_Cost]]</f>
        <v>-2480.2008000001006</v>
      </c>
      <c r="R749" s="2">
        <f>SalesData[[#This Row],[Profit]]/SalesData[[#This Row],[Sales_amount]]</f>
        <v>-8.5385490059541283E-2</v>
      </c>
      <c r="S749" s="2">
        <f>SalesData[[#This Row],[Unit_Price]]-SalesData[[#This Row],[Unit_Cost]]</f>
        <v>374.36999999999034</v>
      </c>
      <c r="T749" s="10">
        <f>SalesData[[#This Row],[Unit_Margin]]/SalesData[[#This Row],[Unit_Price]]</f>
        <v>0.14254546285296221</v>
      </c>
      <c r="U749" s="2" t="str">
        <f>IF(SalesData[[#This Row],[Unit_Margin]]&lt;0, "Negative margin", "Positive margin")</f>
        <v>Positive margin</v>
      </c>
      <c r="V749" s="2" t="str">
        <f>IF(SalesData[[#This Row],[Profit]]&lt;0, "Loss", "Profit")</f>
        <v>Loss</v>
      </c>
      <c r="W749" s="2">
        <f>SalesData[[#This Row],[Unit_Price]]*(1-SalesData[[#This Row],[Discount]])</f>
        <v>2074.7927999999924</v>
      </c>
      <c r="X749" s="2">
        <f>SalesData[[#This Row],[Effective_Unit_Price]]-SalesData[[#This Row],[Unit_Cost]]</f>
        <v>-177.15720000000738</v>
      </c>
      <c r="Y749" s="2" t="str">
        <f>IF(SalesData[[#This Row],[Effective_Unit_Margin]]&lt;0,"Loss per Unit","Positive per Unit")</f>
        <v>Loss per Unit</v>
      </c>
    </row>
    <row r="750" spans="1:25" x14ac:dyDescent="0.3">
      <c r="A750">
        <v>1016</v>
      </c>
      <c r="B750" s="1">
        <v>45039</v>
      </c>
      <c r="C750" t="s">
        <v>23</v>
      </c>
      <c r="D750" t="s">
        <v>24</v>
      </c>
      <c r="E750">
        <v>6</v>
      </c>
      <c r="F750" t="s">
        <v>15</v>
      </c>
      <c r="G750">
        <v>4502.09</v>
      </c>
      <c r="H750">
        <v>4879.72</v>
      </c>
      <c r="I750" t="s">
        <v>29</v>
      </c>
      <c r="J750" s="2">
        <v>0.13</v>
      </c>
      <c r="K750" t="s">
        <v>30</v>
      </c>
      <c r="L750" t="s">
        <v>18</v>
      </c>
      <c r="M750" t="s">
        <v>27</v>
      </c>
      <c r="N750">
        <f>SalesData[[#This Row],[Quantity_Sold]]*SalesData[[#This Row],[Unit_Cost]]</f>
        <v>27012.54</v>
      </c>
      <c r="O750">
        <f>SalesData[[#This Row],[Quantity_Sold]]*SalesData[[#This Row],[Unit_Price]]</f>
        <v>29278.32</v>
      </c>
      <c r="P750">
        <f>SalesData[[#This Row],[Gross_sales]]*(1-SalesData[[#This Row],[Discount]])</f>
        <v>25472.1384</v>
      </c>
      <c r="Q750" s="2">
        <f>SalesData[[#This Row],[Sales_amount]]-SalesData[[#This Row],[Total_Cost]]</f>
        <v>-1540.4016000000011</v>
      </c>
      <c r="R750" s="2">
        <f>SalesData[[#This Row],[Profit]]/SalesData[[#This Row],[Sales_amount]]</f>
        <v>-6.0473980464867488E-2</v>
      </c>
      <c r="S750" s="2">
        <f>SalesData[[#This Row],[Unit_Price]]-SalesData[[#This Row],[Unit_Cost]]</f>
        <v>377.63000000000011</v>
      </c>
      <c r="T750" s="10">
        <f>SalesData[[#This Row],[Unit_Margin]]/SalesData[[#This Row],[Unit_Price]]</f>
        <v>7.7387636995565334E-2</v>
      </c>
      <c r="U750" s="2" t="str">
        <f>IF(SalesData[[#This Row],[Unit_Margin]]&lt;0, "Negative margin", "Positive margin")</f>
        <v>Positive margin</v>
      </c>
      <c r="V750" s="2" t="str">
        <f>IF(SalesData[[#This Row],[Profit]]&lt;0, "Loss", "Profit")</f>
        <v>Loss</v>
      </c>
      <c r="W750" s="2">
        <f>SalesData[[#This Row],[Unit_Price]]*(1-SalesData[[#This Row],[Discount]])</f>
        <v>4245.3564000000006</v>
      </c>
      <c r="X750" s="2">
        <f>SalesData[[#This Row],[Effective_Unit_Price]]-SalesData[[#This Row],[Unit_Cost]]</f>
        <v>-256.73359999999957</v>
      </c>
      <c r="Y750" s="2" t="str">
        <f>IF(SalesData[[#This Row],[Effective_Unit_Margin]]&lt;0,"Loss per Unit","Positive per Unit")</f>
        <v>Loss per Unit</v>
      </c>
    </row>
    <row r="751" spans="1:25" x14ac:dyDescent="0.3">
      <c r="A751">
        <v>1072</v>
      </c>
      <c r="B751" s="1">
        <v>45159</v>
      </c>
      <c r="C751" t="s">
        <v>41</v>
      </c>
      <c r="D751" t="s">
        <v>20</v>
      </c>
      <c r="E751">
        <v>12</v>
      </c>
      <c r="F751" t="s">
        <v>28</v>
      </c>
      <c r="G751">
        <v>710.99</v>
      </c>
      <c r="H751">
        <v>876.46</v>
      </c>
      <c r="I751" t="s">
        <v>16</v>
      </c>
      <c r="J751" s="2">
        <v>0.03</v>
      </c>
      <c r="K751" t="s">
        <v>30</v>
      </c>
      <c r="L751" t="s">
        <v>18</v>
      </c>
      <c r="M751" t="s">
        <v>50</v>
      </c>
      <c r="N751">
        <f>SalesData[[#This Row],[Quantity_Sold]]*SalesData[[#This Row],[Unit_Cost]]</f>
        <v>8531.880000000001</v>
      </c>
      <c r="O751">
        <f>SalesData[[#This Row],[Quantity_Sold]]*SalesData[[#This Row],[Unit_Price]]</f>
        <v>10517.52</v>
      </c>
      <c r="P751">
        <f>SalesData[[#This Row],[Gross_sales]]*(1-SalesData[[#This Row],[Discount]])</f>
        <v>10201.9944</v>
      </c>
      <c r="Q751" s="2">
        <f>SalesData[[#This Row],[Sales_amount]]-SalesData[[#This Row],[Total_Cost]]</f>
        <v>1670.1143999999986</v>
      </c>
      <c r="R751" s="2">
        <f>SalesData[[#This Row],[Profit]]/SalesData[[#This Row],[Sales_amount]]</f>
        <v>0.16370469679928451</v>
      </c>
      <c r="S751" s="2">
        <f>SalesData[[#This Row],[Unit_Price]]-SalesData[[#This Row],[Unit_Cost]]</f>
        <v>165.47000000000003</v>
      </c>
      <c r="T751" s="10">
        <f>SalesData[[#This Row],[Unit_Margin]]/SalesData[[#This Row],[Unit_Price]]</f>
        <v>0.18879355589530614</v>
      </c>
      <c r="U751" s="2" t="str">
        <f>IF(SalesData[[#This Row],[Unit_Margin]]&lt;0, "Negative margin", "Positive margin")</f>
        <v>Positive margin</v>
      </c>
      <c r="V751" s="2" t="str">
        <f>IF(SalesData[[#This Row],[Profit]]&lt;0, "Loss", "Profit")</f>
        <v>Profit</v>
      </c>
      <c r="W751" s="2">
        <f>SalesData[[#This Row],[Unit_Price]]*(1-SalesData[[#This Row],[Discount]])</f>
        <v>850.1662</v>
      </c>
      <c r="X751" s="2">
        <f>SalesData[[#This Row],[Effective_Unit_Price]]-SalesData[[#This Row],[Unit_Cost]]</f>
        <v>139.17619999999999</v>
      </c>
      <c r="Y751" s="2" t="str">
        <f>IF(SalesData[[#This Row],[Effective_Unit_Margin]]&lt;0,"Loss per Unit","Positive per Unit")</f>
        <v>Positive per Unit</v>
      </c>
    </row>
    <row r="752" spans="1:25" x14ac:dyDescent="0.3">
      <c r="A752">
        <v>1076</v>
      </c>
      <c r="B752" s="1">
        <v>44943</v>
      </c>
      <c r="C752" t="s">
        <v>32</v>
      </c>
      <c r="D752" t="s">
        <v>24</v>
      </c>
      <c r="E752">
        <v>16</v>
      </c>
      <c r="F752" t="s">
        <v>28</v>
      </c>
      <c r="G752">
        <v>1964.15</v>
      </c>
      <c r="H752">
        <v>2211.17</v>
      </c>
      <c r="I752" t="s">
        <v>16</v>
      </c>
      <c r="J752" s="2">
        <v>0.21</v>
      </c>
      <c r="K752" t="s">
        <v>26</v>
      </c>
      <c r="L752" t="s">
        <v>18</v>
      </c>
      <c r="M752" t="s">
        <v>43</v>
      </c>
      <c r="N752">
        <f>SalesData[[#This Row],[Quantity_Sold]]*SalesData[[#This Row],[Unit_Cost]]</f>
        <v>31426.400000000001</v>
      </c>
      <c r="O752">
        <f>SalesData[[#This Row],[Quantity_Sold]]*SalesData[[#This Row],[Unit_Price]]</f>
        <v>35378.720000000001</v>
      </c>
      <c r="P752">
        <f>SalesData[[#This Row],[Gross_sales]]*(1-SalesData[[#This Row],[Discount]])</f>
        <v>27949.188800000004</v>
      </c>
      <c r="Q752" s="2">
        <f>SalesData[[#This Row],[Sales_amount]]-SalesData[[#This Row],[Total_Cost]]</f>
        <v>-3477.2111999999979</v>
      </c>
      <c r="R752" s="2">
        <f>SalesData[[#This Row],[Profit]]/SalesData[[#This Row],[Sales_amount]]</f>
        <v>-0.1244118827520317</v>
      </c>
      <c r="S752" s="2">
        <f>SalesData[[#This Row],[Unit_Price]]-SalesData[[#This Row],[Unit_Cost]]</f>
        <v>247.01999999999998</v>
      </c>
      <c r="T752" s="10">
        <f>SalesData[[#This Row],[Unit_Margin]]/SalesData[[#This Row],[Unit_Price]]</f>
        <v>0.11171461262589488</v>
      </c>
      <c r="U752" s="2" t="str">
        <f>IF(SalesData[[#This Row],[Unit_Margin]]&lt;0, "Negative margin", "Positive margin")</f>
        <v>Positive margin</v>
      </c>
      <c r="V752" s="2" t="str">
        <f>IF(SalesData[[#This Row],[Profit]]&lt;0, "Loss", "Profit")</f>
        <v>Loss</v>
      </c>
      <c r="W752" s="2">
        <f>SalesData[[#This Row],[Unit_Price]]*(1-SalesData[[#This Row],[Discount]])</f>
        <v>1746.8243000000002</v>
      </c>
      <c r="X752" s="2">
        <f>SalesData[[#This Row],[Effective_Unit_Price]]-SalesData[[#This Row],[Unit_Cost]]</f>
        <v>-217.32569999999987</v>
      </c>
      <c r="Y752" s="2" t="str">
        <f>IF(SalesData[[#This Row],[Effective_Unit_Margin]]&lt;0,"Loss per Unit","Positive per Unit")</f>
        <v>Loss per Unit</v>
      </c>
    </row>
    <row r="753" spans="1:25" x14ac:dyDescent="0.3">
      <c r="A753">
        <v>1024</v>
      </c>
      <c r="B753" s="1">
        <v>45286</v>
      </c>
      <c r="C753" t="s">
        <v>23</v>
      </c>
      <c r="D753" t="s">
        <v>14</v>
      </c>
      <c r="E753">
        <v>17</v>
      </c>
      <c r="F753" t="s">
        <v>15</v>
      </c>
      <c r="G753">
        <v>4114.66</v>
      </c>
      <c r="H753">
        <v>4269.0199999999904</v>
      </c>
      <c r="I753" t="s">
        <v>16</v>
      </c>
      <c r="J753" s="2">
        <v>0.27</v>
      </c>
      <c r="K753" t="s">
        <v>26</v>
      </c>
      <c r="L753" t="s">
        <v>21</v>
      </c>
      <c r="M753" t="s">
        <v>44</v>
      </c>
      <c r="N753">
        <f>SalesData[[#This Row],[Quantity_Sold]]*SalesData[[#This Row],[Unit_Cost]]</f>
        <v>69949.22</v>
      </c>
      <c r="O753">
        <f>SalesData[[#This Row],[Quantity_Sold]]*SalesData[[#This Row],[Unit_Price]]</f>
        <v>72573.339999999836</v>
      </c>
      <c r="P753">
        <f>SalesData[[#This Row],[Gross_sales]]*(1-SalesData[[#This Row],[Discount]])</f>
        <v>52978.538199999879</v>
      </c>
      <c r="Q753" s="2">
        <f>SalesData[[#This Row],[Sales_amount]]-SalesData[[#This Row],[Total_Cost]]</f>
        <v>-16970.681800000122</v>
      </c>
      <c r="R753" s="2">
        <f>SalesData[[#This Row],[Profit]]/SalesData[[#This Row],[Sales_amount]]</f>
        <v>-0.32033125821505132</v>
      </c>
      <c r="S753" s="2">
        <f>SalesData[[#This Row],[Unit_Price]]-SalesData[[#This Row],[Unit_Cost]]</f>
        <v>154.35999999999058</v>
      </c>
      <c r="T753" s="10">
        <f>SalesData[[#This Row],[Unit_Margin]]/SalesData[[#This Row],[Unit_Price]]</f>
        <v>3.6158181503012615E-2</v>
      </c>
      <c r="U753" s="2" t="str">
        <f>IF(SalesData[[#This Row],[Unit_Margin]]&lt;0, "Negative margin", "Positive margin")</f>
        <v>Positive margin</v>
      </c>
      <c r="V753" s="2" t="str">
        <f>IF(SalesData[[#This Row],[Profit]]&lt;0, "Loss", "Profit")</f>
        <v>Loss</v>
      </c>
      <c r="W753" s="2">
        <f>SalesData[[#This Row],[Unit_Price]]*(1-SalesData[[#This Row],[Discount]])</f>
        <v>3116.384599999993</v>
      </c>
      <c r="X753" s="2">
        <f>SalesData[[#This Row],[Effective_Unit_Price]]-SalesData[[#This Row],[Unit_Cost]]</f>
        <v>-998.27540000000681</v>
      </c>
      <c r="Y753" s="2" t="str">
        <f>IF(SalesData[[#This Row],[Effective_Unit_Margin]]&lt;0,"Loss per Unit","Positive per Unit")</f>
        <v>Loss per Unit</v>
      </c>
    </row>
    <row r="754" spans="1:25" x14ac:dyDescent="0.3">
      <c r="A754">
        <v>1028</v>
      </c>
      <c r="B754" s="1">
        <v>45149</v>
      </c>
      <c r="C754" t="s">
        <v>32</v>
      </c>
      <c r="D754" t="s">
        <v>20</v>
      </c>
      <c r="E754">
        <v>45</v>
      </c>
      <c r="F754" t="s">
        <v>28</v>
      </c>
      <c r="G754">
        <v>4848.9799999999996</v>
      </c>
      <c r="H754">
        <v>4985.75</v>
      </c>
      <c r="I754" t="s">
        <v>16</v>
      </c>
      <c r="J754" s="2">
        <v>0.2</v>
      </c>
      <c r="K754" t="s">
        <v>26</v>
      </c>
      <c r="L754" t="s">
        <v>18</v>
      </c>
      <c r="M754" t="s">
        <v>36</v>
      </c>
      <c r="N754">
        <f>SalesData[[#This Row],[Quantity_Sold]]*SalesData[[#This Row],[Unit_Cost]]</f>
        <v>218204.09999999998</v>
      </c>
      <c r="O754">
        <f>SalesData[[#This Row],[Quantity_Sold]]*SalesData[[#This Row],[Unit_Price]]</f>
        <v>224358.75</v>
      </c>
      <c r="P754">
        <f>SalesData[[#This Row],[Gross_sales]]*(1-SalesData[[#This Row],[Discount]])</f>
        <v>179487</v>
      </c>
      <c r="Q754" s="2">
        <f>SalesData[[#This Row],[Sales_amount]]-SalesData[[#This Row],[Total_Cost]]</f>
        <v>-38717.099999999977</v>
      </c>
      <c r="R754" s="2">
        <f>SalesData[[#This Row],[Profit]]/SalesData[[#This Row],[Sales_amount]]</f>
        <v>-0.21570977285262988</v>
      </c>
      <c r="S754" s="2">
        <f>SalesData[[#This Row],[Unit_Price]]-SalesData[[#This Row],[Unit_Cost]]</f>
        <v>136.77000000000044</v>
      </c>
      <c r="T754" s="10">
        <f>SalesData[[#This Row],[Unit_Margin]]/SalesData[[#This Row],[Unit_Price]]</f>
        <v>2.743218171789609E-2</v>
      </c>
      <c r="U754" s="2" t="str">
        <f>IF(SalesData[[#This Row],[Unit_Margin]]&lt;0, "Negative margin", "Positive margin")</f>
        <v>Positive margin</v>
      </c>
      <c r="V754" s="2" t="str">
        <f>IF(SalesData[[#This Row],[Profit]]&lt;0, "Loss", "Profit")</f>
        <v>Loss</v>
      </c>
      <c r="W754" s="2">
        <f>SalesData[[#This Row],[Unit_Price]]*(1-SalesData[[#This Row],[Discount]])</f>
        <v>3988.6000000000004</v>
      </c>
      <c r="X754" s="2">
        <f>SalesData[[#This Row],[Effective_Unit_Price]]-SalesData[[#This Row],[Unit_Cost]]</f>
        <v>-860.3799999999992</v>
      </c>
      <c r="Y754" s="2" t="str">
        <f>IF(SalesData[[#This Row],[Effective_Unit_Margin]]&lt;0,"Loss per Unit","Positive per Unit")</f>
        <v>Loss per Unit</v>
      </c>
    </row>
    <row r="755" spans="1:25" x14ac:dyDescent="0.3">
      <c r="A755">
        <v>1008</v>
      </c>
      <c r="B755" s="1">
        <v>45280</v>
      </c>
      <c r="C755" t="s">
        <v>32</v>
      </c>
      <c r="D755" t="s">
        <v>20</v>
      </c>
      <c r="E755">
        <v>23</v>
      </c>
      <c r="F755" t="s">
        <v>28</v>
      </c>
      <c r="G755">
        <v>2296.9299999999998</v>
      </c>
      <c r="H755">
        <v>2319.62</v>
      </c>
      <c r="I755" t="s">
        <v>16</v>
      </c>
      <c r="J755" s="2">
        <v>0.23</v>
      </c>
      <c r="K755" t="s">
        <v>26</v>
      </c>
      <c r="L755" t="s">
        <v>21</v>
      </c>
      <c r="M755" t="s">
        <v>36</v>
      </c>
      <c r="N755">
        <f>SalesData[[#This Row],[Quantity_Sold]]*SalesData[[#This Row],[Unit_Cost]]</f>
        <v>52829.39</v>
      </c>
      <c r="O755">
        <f>SalesData[[#This Row],[Quantity_Sold]]*SalesData[[#This Row],[Unit_Price]]</f>
        <v>53351.259999999995</v>
      </c>
      <c r="P755">
        <f>SalesData[[#This Row],[Gross_sales]]*(1-SalesData[[#This Row],[Discount]])</f>
        <v>41080.470199999996</v>
      </c>
      <c r="Q755" s="2">
        <f>SalesData[[#This Row],[Sales_amount]]-SalesData[[#This Row],[Total_Cost]]</f>
        <v>-11748.919800000003</v>
      </c>
      <c r="R755" s="2">
        <f>SalesData[[#This Row],[Profit]]/SalesData[[#This Row],[Sales_amount]]</f>
        <v>-0.28599769532336083</v>
      </c>
      <c r="S755" s="2">
        <f>SalesData[[#This Row],[Unit_Price]]-SalesData[[#This Row],[Unit_Cost]]</f>
        <v>22.690000000000055</v>
      </c>
      <c r="T755" s="10">
        <f>SalesData[[#This Row],[Unit_Margin]]/SalesData[[#This Row],[Unit_Price]]</f>
        <v>9.7817746010122591E-3</v>
      </c>
      <c r="U755" s="2" t="str">
        <f>IF(SalesData[[#This Row],[Unit_Margin]]&lt;0, "Negative margin", "Positive margin")</f>
        <v>Positive margin</v>
      </c>
      <c r="V755" s="2" t="str">
        <f>IF(SalesData[[#This Row],[Profit]]&lt;0, "Loss", "Profit")</f>
        <v>Loss</v>
      </c>
      <c r="W755" s="2">
        <f>SalesData[[#This Row],[Unit_Price]]*(1-SalesData[[#This Row],[Discount]])</f>
        <v>1786.1073999999999</v>
      </c>
      <c r="X755" s="2">
        <f>SalesData[[#This Row],[Effective_Unit_Price]]-SalesData[[#This Row],[Unit_Cost]]</f>
        <v>-510.82259999999997</v>
      </c>
      <c r="Y755" s="2" t="str">
        <f>IF(SalesData[[#This Row],[Effective_Unit_Margin]]&lt;0,"Loss per Unit","Positive per Unit")</f>
        <v>Loss per Unit</v>
      </c>
    </row>
    <row r="756" spans="1:25" x14ac:dyDescent="0.3">
      <c r="A756">
        <v>1092</v>
      </c>
      <c r="B756" s="1">
        <v>45114</v>
      </c>
      <c r="C756" t="s">
        <v>41</v>
      </c>
      <c r="D756" t="s">
        <v>24</v>
      </c>
      <c r="E756">
        <v>14</v>
      </c>
      <c r="F756" t="s">
        <v>15</v>
      </c>
      <c r="G756">
        <v>2559.65</v>
      </c>
      <c r="H756">
        <v>2709.4</v>
      </c>
      <c r="I756" t="s">
        <v>16</v>
      </c>
      <c r="J756" s="2">
        <v>0.11</v>
      </c>
      <c r="K756" t="s">
        <v>30</v>
      </c>
      <c r="L756" t="s">
        <v>21</v>
      </c>
      <c r="M756" t="s">
        <v>42</v>
      </c>
      <c r="N756">
        <f>SalesData[[#This Row],[Quantity_Sold]]*SalesData[[#This Row],[Unit_Cost]]</f>
        <v>35835.1</v>
      </c>
      <c r="O756">
        <f>SalesData[[#This Row],[Quantity_Sold]]*SalesData[[#This Row],[Unit_Price]]</f>
        <v>37931.599999999999</v>
      </c>
      <c r="P756">
        <f>SalesData[[#This Row],[Gross_sales]]*(1-SalesData[[#This Row],[Discount]])</f>
        <v>33759.123999999996</v>
      </c>
      <c r="Q756" s="2">
        <f>SalesData[[#This Row],[Sales_amount]]-SalesData[[#This Row],[Total_Cost]]</f>
        <v>-2075.9760000000024</v>
      </c>
      <c r="R756" s="2">
        <f>SalesData[[#This Row],[Profit]]/SalesData[[#This Row],[Sales_amount]]</f>
        <v>-6.149377572711906E-2</v>
      </c>
      <c r="S756" s="2">
        <f>SalesData[[#This Row],[Unit_Price]]-SalesData[[#This Row],[Unit_Cost]]</f>
        <v>149.75</v>
      </c>
      <c r="T756" s="10">
        <f>SalesData[[#This Row],[Unit_Margin]]/SalesData[[#This Row],[Unit_Price]]</f>
        <v>5.5270539602864099E-2</v>
      </c>
      <c r="U756" s="2" t="str">
        <f>IF(SalesData[[#This Row],[Unit_Margin]]&lt;0, "Negative margin", "Positive margin")</f>
        <v>Positive margin</v>
      </c>
      <c r="V756" s="2" t="str">
        <f>IF(SalesData[[#This Row],[Profit]]&lt;0, "Loss", "Profit")</f>
        <v>Loss</v>
      </c>
      <c r="W756" s="2">
        <f>SalesData[[#This Row],[Unit_Price]]*(1-SalesData[[#This Row],[Discount]])</f>
        <v>2411.366</v>
      </c>
      <c r="X756" s="2">
        <f>SalesData[[#This Row],[Effective_Unit_Price]]-SalesData[[#This Row],[Unit_Cost]]</f>
        <v>-148.28400000000011</v>
      </c>
      <c r="Y756" s="2" t="str">
        <f>IF(SalesData[[#This Row],[Effective_Unit_Margin]]&lt;0,"Loss per Unit","Positive per Unit")</f>
        <v>Loss per Unit</v>
      </c>
    </row>
    <row r="757" spans="1:25" x14ac:dyDescent="0.3">
      <c r="A757">
        <v>1036</v>
      </c>
      <c r="B757" s="1">
        <v>45270</v>
      </c>
      <c r="C757" t="s">
        <v>23</v>
      </c>
      <c r="D757" t="s">
        <v>14</v>
      </c>
      <c r="E757">
        <v>7</v>
      </c>
      <c r="F757" t="s">
        <v>25</v>
      </c>
      <c r="G757">
        <v>2882.25</v>
      </c>
      <c r="H757">
        <v>3163.7</v>
      </c>
      <c r="I757" t="s">
        <v>16</v>
      </c>
      <c r="J757" s="2">
        <v>0.05</v>
      </c>
      <c r="K757" t="s">
        <v>17</v>
      </c>
      <c r="L757" t="s">
        <v>21</v>
      </c>
      <c r="M757" t="s">
        <v>44</v>
      </c>
      <c r="N757">
        <f>SalesData[[#This Row],[Quantity_Sold]]*SalesData[[#This Row],[Unit_Cost]]</f>
        <v>20175.75</v>
      </c>
      <c r="O757">
        <f>SalesData[[#This Row],[Quantity_Sold]]*SalesData[[#This Row],[Unit_Price]]</f>
        <v>22145.899999999998</v>
      </c>
      <c r="P757">
        <f>SalesData[[#This Row],[Gross_sales]]*(1-SalesData[[#This Row],[Discount]])</f>
        <v>21038.604999999996</v>
      </c>
      <c r="Q757" s="2">
        <f>SalesData[[#This Row],[Sales_amount]]-SalesData[[#This Row],[Total_Cost]]</f>
        <v>862.85499999999593</v>
      </c>
      <c r="R757" s="2">
        <f>SalesData[[#This Row],[Profit]]/SalesData[[#This Row],[Sales_amount]]</f>
        <v>4.1012937882525774E-2</v>
      </c>
      <c r="S757" s="2">
        <f>SalesData[[#This Row],[Unit_Price]]-SalesData[[#This Row],[Unit_Cost]]</f>
        <v>281.44999999999982</v>
      </c>
      <c r="T757" s="10">
        <f>SalesData[[#This Row],[Unit_Margin]]/SalesData[[#This Row],[Unit_Price]]</f>
        <v>8.8962290988399612E-2</v>
      </c>
      <c r="U757" s="2" t="str">
        <f>IF(SalesData[[#This Row],[Unit_Margin]]&lt;0, "Negative margin", "Positive margin")</f>
        <v>Positive margin</v>
      </c>
      <c r="V757" s="2" t="str">
        <f>IF(SalesData[[#This Row],[Profit]]&lt;0, "Loss", "Profit")</f>
        <v>Profit</v>
      </c>
      <c r="W757" s="2">
        <f>SalesData[[#This Row],[Unit_Price]]*(1-SalesData[[#This Row],[Discount]])</f>
        <v>3005.5149999999999</v>
      </c>
      <c r="X757" s="2">
        <f>SalesData[[#This Row],[Effective_Unit_Price]]-SalesData[[#This Row],[Unit_Cost]]</f>
        <v>123.26499999999987</v>
      </c>
      <c r="Y757" s="2" t="str">
        <f>IF(SalesData[[#This Row],[Effective_Unit_Margin]]&lt;0,"Loss per Unit","Positive per Unit")</f>
        <v>Positive per Unit</v>
      </c>
    </row>
    <row r="758" spans="1:25" x14ac:dyDescent="0.3">
      <c r="A758">
        <v>1090</v>
      </c>
      <c r="B758" s="1">
        <v>45291</v>
      </c>
      <c r="C758" t="s">
        <v>37</v>
      </c>
      <c r="D758" t="s">
        <v>20</v>
      </c>
      <c r="E758">
        <v>46</v>
      </c>
      <c r="F758" t="s">
        <v>28</v>
      </c>
      <c r="G758">
        <v>4665.12</v>
      </c>
      <c r="H758">
        <v>4675.8999999999996</v>
      </c>
      <c r="I758" t="s">
        <v>29</v>
      </c>
      <c r="J758" s="2">
        <v>0.19</v>
      </c>
      <c r="K758" t="s">
        <v>17</v>
      </c>
      <c r="L758" t="s">
        <v>21</v>
      </c>
      <c r="M758" t="s">
        <v>40</v>
      </c>
      <c r="N758">
        <f>SalesData[[#This Row],[Quantity_Sold]]*SalesData[[#This Row],[Unit_Cost]]</f>
        <v>214595.52</v>
      </c>
      <c r="O758">
        <f>SalesData[[#This Row],[Quantity_Sold]]*SalesData[[#This Row],[Unit_Price]]</f>
        <v>215091.4</v>
      </c>
      <c r="P758">
        <f>SalesData[[#This Row],[Gross_sales]]*(1-SalesData[[#This Row],[Discount]])</f>
        <v>174224.03400000001</v>
      </c>
      <c r="Q758" s="2">
        <f>SalesData[[#This Row],[Sales_amount]]-SalesData[[#This Row],[Total_Cost]]</f>
        <v>-40371.485999999975</v>
      </c>
      <c r="R758" s="2">
        <f>SalesData[[#This Row],[Profit]]/SalesData[[#This Row],[Sales_amount]]</f>
        <v>-0.23172168083308167</v>
      </c>
      <c r="S758" s="2">
        <f>SalesData[[#This Row],[Unit_Price]]-SalesData[[#This Row],[Unit_Cost]]</f>
        <v>10.779999999999745</v>
      </c>
      <c r="T758" s="10">
        <f>SalesData[[#This Row],[Unit_Margin]]/SalesData[[#This Row],[Unit_Price]]</f>
        <v>2.30543852520365E-3</v>
      </c>
      <c r="U758" s="2" t="str">
        <f>IF(SalesData[[#This Row],[Unit_Margin]]&lt;0, "Negative margin", "Positive margin")</f>
        <v>Positive margin</v>
      </c>
      <c r="V758" s="2" t="str">
        <f>IF(SalesData[[#This Row],[Profit]]&lt;0, "Loss", "Profit")</f>
        <v>Loss</v>
      </c>
      <c r="W758" s="2">
        <f>SalesData[[#This Row],[Unit_Price]]*(1-SalesData[[#This Row],[Discount]])</f>
        <v>3787.4789999999998</v>
      </c>
      <c r="X758" s="2">
        <f>SalesData[[#This Row],[Effective_Unit_Price]]-SalesData[[#This Row],[Unit_Cost]]</f>
        <v>-877.64100000000008</v>
      </c>
      <c r="Y758" s="2" t="str">
        <f>IF(SalesData[[#This Row],[Effective_Unit_Margin]]&lt;0,"Loss per Unit","Positive per Unit")</f>
        <v>Loss per Unit</v>
      </c>
    </row>
    <row r="759" spans="1:25" x14ac:dyDescent="0.3">
      <c r="A759">
        <v>1008</v>
      </c>
      <c r="B759" s="1">
        <v>45089</v>
      </c>
      <c r="C759" t="s">
        <v>41</v>
      </c>
      <c r="D759" t="s">
        <v>33</v>
      </c>
      <c r="E759">
        <v>32</v>
      </c>
      <c r="F759" t="s">
        <v>25</v>
      </c>
      <c r="G759">
        <v>4298.12</v>
      </c>
      <c r="H759">
        <v>4446.8999999999996</v>
      </c>
      <c r="I759" t="s">
        <v>29</v>
      </c>
      <c r="J759" s="2">
        <v>0.1</v>
      </c>
      <c r="K759" t="s">
        <v>26</v>
      </c>
      <c r="L759" t="s">
        <v>18</v>
      </c>
      <c r="M759" t="s">
        <v>51</v>
      </c>
      <c r="N759">
        <f>SalesData[[#This Row],[Quantity_Sold]]*SalesData[[#This Row],[Unit_Cost]]</f>
        <v>137539.84</v>
      </c>
      <c r="O759">
        <f>SalesData[[#This Row],[Quantity_Sold]]*SalesData[[#This Row],[Unit_Price]]</f>
        <v>142300.79999999999</v>
      </c>
      <c r="P759">
        <f>SalesData[[#This Row],[Gross_sales]]*(1-SalesData[[#This Row],[Discount]])</f>
        <v>128070.71999999999</v>
      </c>
      <c r="Q759" s="2">
        <f>SalesData[[#This Row],[Sales_amount]]-SalesData[[#This Row],[Total_Cost]]</f>
        <v>-9469.1200000000099</v>
      </c>
      <c r="R759" s="2">
        <f>SalesData[[#This Row],[Profit]]/SalesData[[#This Row],[Sales_amount]]</f>
        <v>-7.3936650000874599E-2</v>
      </c>
      <c r="S759" s="2">
        <f>SalesData[[#This Row],[Unit_Price]]-SalesData[[#This Row],[Unit_Cost]]</f>
        <v>148.77999999999975</v>
      </c>
      <c r="T759" s="10">
        <f>SalesData[[#This Row],[Unit_Margin]]/SalesData[[#This Row],[Unit_Price]]</f>
        <v>3.3457014999212879E-2</v>
      </c>
      <c r="U759" s="2" t="str">
        <f>IF(SalesData[[#This Row],[Unit_Margin]]&lt;0, "Negative margin", "Positive margin")</f>
        <v>Positive margin</v>
      </c>
      <c r="V759" s="2" t="str">
        <f>IF(SalesData[[#This Row],[Profit]]&lt;0, "Loss", "Profit")</f>
        <v>Loss</v>
      </c>
      <c r="W759" s="2">
        <f>SalesData[[#This Row],[Unit_Price]]*(1-SalesData[[#This Row],[Discount]])</f>
        <v>4002.2099999999996</v>
      </c>
      <c r="X759" s="2">
        <f>SalesData[[#This Row],[Effective_Unit_Price]]-SalesData[[#This Row],[Unit_Cost]]</f>
        <v>-295.91000000000031</v>
      </c>
      <c r="Y759" s="2" t="str">
        <f>IF(SalesData[[#This Row],[Effective_Unit_Margin]]&lt;0,"Loss per Unit","Positive per Unit")</f>
        <v>Loss per Unit</v>
      </c>
    </row>
    <row r="760" spans="1:25" x14ac:dyDescent="0.3">
      <c r="A760">
        <v>1058</v>
      </c>
      <c r="B760" s="1">
        <v>45252</v>
      </c>
      <c r="C760" t="s">
        <v>41</v>
      </c>
      <c r="D760" t="s">
        <v>20</v>
      </c>
      <c r="E760">
        <v>15</v>
      </c>
      <c r="F760" t="s">
        <v>28</v>
      </c>
      <c r="G760">
        <v>894.48</v>
      </c>
      <c r="H760">
        <v>1336.37</v>
      </c>
      <c r="I760" t="s">
        <v>16</v>
      </c>
      <c r="J760" s="2">
        <v>0.26</v>
      </c>
      <c r="K760" t="s">
        <v>17</v>
      </c>
      <c r="L760" t="s">
        <v>21</v>
      </c>
      <c r="M760" t="s">
        <v>50</v>
      </c>
      <c r="N760">
        <f>SalesData[[#This Row],[Quantity_Sold]]*SalesData[[#This Row],[Unit_Cost]]</f>
        <v>13417.2</v>
      </c>
      <c r="O760">
        <f>SalesData[[#This Row],[Quantity_Sold]]*SalesData[[#This Row],[Unit_Price]]</f>
        <v>20045.55</v>
      </c>
      <c r="P760">
        <f>SalesData[[#This Row],[Gross_sales]]*(1-SalesData[[#This Row],[Discount]])</f>
        <v>14833.706999999999</v>
      </c>
      <c r="Q760" s="2">
        <f>SalesData[[#This Row],[Sales_amount]]-SalesData[[#This Row],[Total_Cost]]</f>
        <v>1416.5069999999978</v>
      </c>
      <c r="R760" s="2">
        <f>SalesData[[#This Row],[Profit]]/SalesData[[#This Row],[Sales_amount]]</f>
        <v>9.5492448381244016E-2</v>
      </c>
      <c r="S760" s="2">
        <f>SalesData[[#This Row],[Unit_Price]]-SalesData[[#This Row],[Unit_Cost]]</f>
        <v>441.88999999999987</v>
      </c>
      <c r="T760" s="10">
        <f>SalesData[[#This Row],[Unit_Margin]]/SalesData[[#This Row],[Unit_Price]]</f>
        <v>0.33066441180212058</v>
      </c>
      <c r="U760" s="2" t="str">
        <f>IF(SalesData[[#This Row],[Unit_Margin]]&lt;0, "Negative margin", "Positive margin")</f>
        <v>Positive margin</v>
      </c>
      <c r="V760" s="2" t="str">
        <f>IF(SalesData[[#This Row],[Profit]]&lt;0, "Loss", "Profit")</f>
        <v>Profit</v>
      </c>
      <c r="W760" s="2">
        <f>SalesData[[#This Row],[Unit_Price]]*(1-SalesData[[#This Row],[Discount]])</f>
        <v>988.91379999999992</v>
      </c>
      <c r="X760" s="2">
        <f>SalesData[[#This Row],[Effective_Unit_Price]]-SalesData[[#This Row],[Unit_Cost]]</f>
        <v>94.433799999999906</v>
      </c>
      <c r="Y760" s="2" t="str">
        <f>IF(SalesData[[#This Row],[Effective_Unit_Margin]]&lt;0,"Loss per Unit","Positive per Unit")</f>
        <v>Positive per Unit</v>
      </c>
    </row>
    <row r="761" spans="1:25" x14ac:dyDescent="0.3">
      <c r="A761">
        <v>1060</v>
      </c>
      <c r="B761" s="1">
        <v>45000</v>
      </c>
      <c r="C761" t="s">
        <v>23</v>
      </c>
      <c r="D761" t="s">
        <v>24</v>
      </c>
      <c r="E761">
        <v>44</v>
      </c>
      <c r="F761" t="s">
        <v>28</v>
      </c>
      <c r="G761">
        <v>2211.9499999999998</v>
      </c>
      <c r="H761">
        <v>2512.8399999999901</v>
      </c>
      <c r="I761" t="s">
        <v>16</v>
      </c>
      <c r="J761" s="2">
        <v>0.04</v>
      </c>
      <c r="K761" t="s">
        <v>17</v>
      </c>
      <c r="L761" t="s">
        <v>18</v>
      </c>
      <c r="M761" t="s">
        <v>27</v>
      </c>
      <c r="N761">
        <f>SalesData[[#This Row],[Quantity_Sold]]*SalesData[[#This Row],[Unit_Cost]]</f>
        <v>97325.799999999988</v>
      </c>
      <c r="O761">
        <f>SalesData[[#This Row],[Quantity_Sold]]*SalesData[[#This Row],[Unit_Price]]</f>
        <v>110564.95999999957</v>
      </c>
      <c r="P761">
        <f>SalesData[[#This Row],[Gross_sales]]*(1-SalesData[[#This Row],[Discount]])</f>
        <v>106142.36159999958</v>
      </c>
      <c r="Q761" s="2">
        <f>SalesData[[#This Row],[Sales_amount]]-SalesData[[#This Row],[Total_Cost]]</f>
        <v>8816.5615999995935</v>
      </c>
      <c r="R761" s="2">
        <f>SalesData[[#This Row],[Profit]]/SalesData[[#This Row],[Sales_amount]]</f>
        <v>8.3063552262244253E-2</v>
      </c>
      <c r="S761" s="2">
        <f>SalesData[[#This Row],[Unit_Price]]-SalesData[[#This Row],[Unit_Cost]]</f>
        <v>300.88999999999032</v>
      </c>
      <c r="T761" s="10">
        <f>SalesData[[#This Row],[Unit_Margin]]/SalesData[[#This Row],[Unit_Price]]</f>
        <v>0.11974101017175447</v>
      </c>
      <c r="U761" s="2" t="str">
        <f>IF(SalesData[[#This Row],[Unit_Margin]]&lt;0, "Negative margin", "Positive margin")</f>
        <v>Positive margin</v>
      </c>
      <c r="V761" s="2" t="str">
        <f>IF(SalesData[[#This Row],[Profit]]&lt;0, "Loss", "Profit")</f>
        <v>Profit</v>
      </c>
      <c r="W761" s="2">
        <f>SalesData[[#This Row],[Unit_Price]]*(1-SalesData[[#This Row],[Discount]])</f>
        <v>2412.3263999999904</v>
      </c>
      <c r="X761" s="2">
        <f>SalesData[[#This Row],[Effective_Unit_Price]]-SalesData[[#This Row],[Unit_Cost]]</f>
        <v>200.37639999999055</v>
      </c>
      <c r="Y761" s="2" t="str">
        <f>IF(SalesData[[#This Row],[Effective_Unit_Margin]]&lt;0,"Loss per Unit","Positive per Unit")</f>
        <v>Positive per Unit</v>
      </c>
    </row>
    <row r="762" spans="1:25" x14ac:dyDescent="0.3">
      <c r="A762">
        <v>1050</v>
      </c>
      <c r="B762" s="1">
        <v>45159</v>
      </c>
      <c r="C762" t="s">
        <v>23</v>
      </c>
      <c r="D762" t="s">
        <v>14</v>
      </c>
      <c r="E762">
        <v>17</v>
      </c>
      <c r="F762" t="s">
        <v>15</v>
      </c>
      <c r="G762">
        <v>2346.8000000000002</v>
      </c>
      <c r="H762">
        <v>2654.65</v>
      </c>
      <c r="I762" t="s">
        <v>29</v>
      </c>
      <c r="J762" s="2">
        <v>0.13</v>
      </c>
      <c r="K762" t="s">
        <v>17</v>
      </c>
      <c r="L762" t="s">
        <v>21</v>
      </c>
      <c r="M762" t="s">
        <v>44</v>
      </c>
      <c r="N762">
        <f>SalesData[[#This Row],[Quantity_Sold]]*SalesData[[#This Row],[Unit_Cost]]</f>
        <v>39895.600000000006</v>
      </c>
      <c r="O762">
        <f>SalesData[[#This Row],[Quantity_Sold]]*SalesData[[#This Row],[Unit_Price]]</f>
        <v>45129.05</v>
      </c>
      <c r="P762">
        <f>SalesData[[#This Row],[Gross_sales]]*(1-SalesData[[#This Row],[Discount]])</f>
        <v>39262.273500000003</v>
      </c>
      <c r="Q762" s="2">
        <f>SalesData[[#This Row],[Sales_amount]]-SalesData[[#This Row],[Total_Cost]]</f>
        <v>-633.32650000000285</v>
      </c>
      <c r="R762" s="2">
        <f>SalesData[[#This Row],[Profit]]/SalesData[[#This Row],[Sales_amount]]</f>
        <v>-1.6130662937794544E-2</v>
      </c>
      <c r="S762" s="2">
        <f>SalesData[[#This Row],[Unit_Price]]-SalesData[[#This Row],[Unit_Cost]]</f>
        <v>307.84999999999991</v>
      </c>
      <c r="T762" s="10">
        <f>SalesData[[#This Row],[Unit_Margin]]/SalesData[[#This Row],[Unit_Price]]</f>
        <v>0.11596632324411878</v>
      </c>
      <c r="U762" s="2" t="str">
        <f>IF(SalesData[[#This Row],[Unit_Margin]]&lt;0, "Negative margin", "Positive margin")</f>
        <v>Positive margin</v>
      </c>
      <c r="V762" s="2" t="str">
        <f>IF(SalesData[[#This Row],[Profit]]&lt;0, "Loss", "Profit")</f>
        <v>Loss</v>
      </c>
      <c r="W762" s="2">
        <f>SalesData[[#This Row],[Unit_Price]]*(1-SalesData[[#This Row],[Discount]])</f>
        <v>2309.5455000000002</v>
      </c>
      <c r="X762" s="2">
        <f>SalesData[[#This Row],[Effective_Unit_Price]]-SalesData[[#This Row],[Unit_Cost]]</f>
        <v>-37.254500000000007</v>
      </c>
      <c r="Y762" s="2" t="str">
        <f>IF(SalesData[[#This Row],[Effective_Unit_Margin]]&lt;0,"Loss per Unit","Positive per Unit")</f>
        <v>Loss per Unit</v>
      </c>
    </row>
    <row r="763" spans="1:25" x14ac:dyDescent="0.3">
      <c r="A763">
        <v>1028</v>
      </c>
      <c r="B763" s="1">
        <v>45150</v>
      </c>
      <c r="C763" t="s">
        <v>32</v>
      </c>
      <c r="D763" t="s">
        <v>24</v>
      </c>
      <c r="E763">
        <v>41</v>
      </c>
      <c r="F763" t="s">
        <v>28</v>
      </c>
      <c r="G763">
        <v>3956.03</v>
      </c>
      <c r="H763">
        <v>4163.68</v>
      </c>
      <c r="I763" t="s">
        <v>29</v>
      </c>
      <c r="J763" s="2">
        <v>0.12</v>
      </c>
      <c r="K763" t="s">
        <v>26</v>
      </c>
      <c r="L763" t="s">
        <v>21</v>
      </c>
      <c r="M763" t="s">
        <v>43</v>
      </c>
      <c r="N763">
        <f>SalesData[[#This Row],[Quantity_Sold]]*SalesData[[#This Row],[Unit_Cost]]</f>
        <v>162197.23000000001</v>
      </c>
      <c r="O763">
        <f>SalesData[[#This Row],[Quantity_Sold]]*SalesData[[#This Row],[Unit_Price]]</f>
        <v>170710.88</v>
      </c>
      <c r="P763">
        <f>SalesData[[#This Row],[Gross_sales]]*(1-SalesData[[#This Row],[Discount]])</f>
        <v>150225.57440000001</v>
      </c>
      <c r="Q763" s="2">
        <f>SalesData[[#This Row],[Sales_amount]]-SalesData[[#This Row],[Total_Cost]]</f>
        <v>-11971.655599999998</v>
      </c>
      <c r="R763" s="2">
        <f>SalesData[[#This Row],[Profit]]/SalesData[[#This Row],[Sales_amount]]</f>
        <v>-7.969119537611831E-2</v>
      </c>
      <c r="S763" s="2">
        <f>SalesData[[#This Row],[Unit_Price]]-SalesData[[#This Row],[Unit_Cost]]</f>
        <v>207.65000000000009</v>
      </c>
      <c r="T763" s="10">
        <f>SalesData[[#This Row],[Unit_Margin]]/SalesData[[#This Row],[Unit_Price]]</f>
        <v>4.9871748069015891E-2</v>
      </c>
      <c r="U763" s="2" t="str">
        <f>IF(SalesData[[#This Row],[Unit_Margin]]&lt;0, "Negative margin", "Positive margin")</f>
        <v>Positive margin</v>
      </c>
      <c r="V763" s="2" t="str">
        <f>IF(SalesData[[#This Row],[Profit]]&lt;0, "Loss", "Profit")</f>
        <v>Loss</v>
      </c>
      <c r="W763" s="2">
        <f>SalesData[[#This Row],[Unit_Price]]*(1-SalesData[[#This Row],[Discount]])</f>
        <v>3664.0384000000004</v>
      </c>
      <c r="X763" s="2">
        <f>SalesData[[#This Row],[Effective_Unit_Price]]-SalesData[[#This Row],[Unit_Cost]]</f>
        <v>-291.99159999999983</v>
      </c>
      <c r="Y763" s="2" t="str">
        <f>IF(SalesData[[#This Row],[Effective_Unit_Margin]]&lt;0,"Loss per Unit","Positive per Unit")</f>
        <v>Loss per Unit</v>
      </c>
    </row>
    <row r="764" spans="1:25" x14ac:dyDescent="0.3">
      <c r="A764">
        <v>1092</v>
      </c>
      <c r="B764" s="1">
        <v>45245</v>
      </c>
      <c r="C764" t="s">
        <v>23</v>
      </c>
      <c r="D764" t="s">
        <v>33</v>
      </c>
      <c r="E764">
        <v>47</v>
      </c>
      <c r="F764" t="s">
        <v>34</v>
      </c>
      <c r="G764">
        <v>3034.32</v>
      </c>
      <c r="H764">
        <v>3375.79</v>
      </c>
      <c r="I764" t="s">
        <v>29</v>
      </c>
      <c r="J764" s="2">
        <v>0.28000000000000003</v>
      </c>
      <c r="K764" t="s">
        <v>30</v>
      </c>
      <c r="L764" t="s">
        <v>18</v>
      </c>
      <c r="M764" t="s">
        <v>49</v>
      </c>
      <c r="N764">
        <f>SalesData[[#This Row],[Quantity_Sold]]*SalesData[[#This Row],[Unit_Cost]]</f>
        <v>142613.04</v>
      </c>
      <c r="O764">
        <f>SalesData[[#This Row],[Quantity_Sold]]*SalesData[[#This Row],[Unit_Price]]</f>
        <v>158662.13</v>
      </c>
      <c r="P764">
        <f>SalesData[[#This Row],[Gross_sales]]*(1-SalesData[[#This Row],[Discount]])</f>
        <v>114236.73359999999</v>
      </c>
      <c r="Q764" s="2">
        <f>SalesData[[#This Row],[Sales_amount]]-SalesData[[#This Row],[Total_Cost]]</f>
        <v>-28376.306400000016</v>
      </c>
      <c r="R764" s="2">
        <f>SalesData[[#This Row],[Profit]]/SalesData[[#This Row],[Sales_amount]]</f>
        <v>-0.24839914015188558</v>
      </c>
      <c r="S764" s="2">
        <f>SalesData[[#This Row],[Unit_Price]]-SalesData[[#This Row],[Unit_Cost]]</f>
        <v>341.4699999999998</v>
      </c>
      <c r="T764" s="10">
        <f>SalesData[[#This Row],[Unit_Margin]]/SalesData[[#This Row],[Unit_Price]]</f>
        <v>0.10115261909064242</v>
      </c>
      <c r="U764" s="2" t="str">
        <f>IF(SalesData[[#This Row],[Unit_Margin]]&lt;0, "Negative margin", "Positive margin")</f>
        <v>Positive margin</v>
      </c>
      <c r="V764" s="2" t="str">
        <f>IF(SalesData[[#This Row],[Profit]]&lt;0, "Loss", "Profit")</f>
        <v>Loss</v>
      </c>
      <c r="W764" s="2">
        <f>SalesData[[#This Row],[Unit_Price]]*(1-SalesData[[#This Row],[Discount]])</f>
        <v>2430.5688</v>
      </c>
      <c r="X764" s="2">
        <f>SalesData[[#This Row],[Effective_Unit_Price]]-SalesData[[#This Row],[Unit_Cost]]</f>
        <v>-603.75120000000015</v>
      </c>
      <c r="Y764" s="2" t="str">
        <f>IF(SalesData[[#This Row],[Effective_Unit_Margin]]&lt;0,"Loss per Unit","Positive per Unit")</f>
        <v>Loss per Unit</v>
      </c>
    </row>
    <row r="765" spans="1:25" x14ac:dyDescent="0.3">
      <c r="A765">
        <v>1041</v>
      </c>
      <c r="B765" s="1">
        <v>44986</v>
      </c>
      <c r="C765" t="s">
        <v>32</v>
      </c>
      <c r="D765" t="s">
        <v>33</v>
      </c>
      <c r="E765">
        <v>44</v>
      </c>
      <c r="F765" t="s">
        <v>34</v>
      </c>
      <c r="G765">
        <v>3288.39</v>
      </c>
      <c r="H765">
        <v>3391.46</v>
      </c>
      <c r="I765" t="s">
        <v>29</v>
      </c>
      <c r="J765" s="2">
        <v>0.05</v>
      </c>
      <c r="K765" t="s">
        <v>30</v>
      </c>
      <c r="L765" t="s">
        <v>21</v>
      </c>
      <c r="M765" t="s">
        <v>35</v>
      </c>
      <c r="N765">
        <f>SalesData[[#This Row],[Quantity_Sold]]*SalesData[[#This Row],[Unit_Cost]]</f>
        <v>144689.16</v>
      </c>
      <c r="O765">
        <f>SalesData[[#This Row],[Quantity_Sold]]*SalesData[[#This Row],[Unit_Price]]</f>
        <v>149224.24</v>
      </c>
      <c r="P765">
        <f>SalesData[[#This Row],[Gross_sales]]*(1-SalesData[[#This Row],[Discount]])</f>
        <v>141763.02799999999</v>
      </c>
      <c r="Q765" s="2">
        <f>SalesData[[#This Row],[Sales_amount]]-SalesData[[#This Row],[Total_Cost]]</f>
        <v>-2926.1320000000123</v>
      </c>
      <c r="R765" s="2">
        <f>SalesData[[#This Row],[Profit]]/SalesData[[#This Row],[Sales_amount]]</f>
        <v>-2.0641009445706904E-2</v>
      </c>
      <c r="S765" s="2">
        <f>SalesData[[#This Row],[Unit_Price]]-SalesData[[#This Row],[Unit_Cost]]</f>
        <v>103.07000000000016</v>
      </c>
      <c r="T765" s="10">
        <f>SalesData[[#This Row],[Unit_Margin]]/SalesData[[#This Row],[Unit_Price]]</f>
        <v>3.0391041026578573E-2</v>
      </c>
      <c r="U765" s="2" t="str">
        <f>IF(SalesData[[#This Row],[Unit_Margin]]&lt;0, "Negative margin", "Positive margin")</f>
        <v>Positive margin</v>
      </c>
      <c r="V765" s="2" t="str">
        <f>IF(SalesData[[#This Row],[Profit]]&lt;0, "Loss", "Profit")</f>
        <v>Loss</v>
      </c>
      <c r="W765" s="2">
        <f>SalesData[[#This Row],[Unit_Price]]*(1-SalesData[[#This Row],[Discount]])</f>
        <v>3221.8869999999997</v>
      </c>
      <c r="X765" s="2">
        <f>SalesData[[#This Row],[Effective_Unit_Price]]-SalesData[[#This Row],[Unit_Cost]]</f>
        <v>-66.503000000000156</v>
      </c>
      <c r="Y765" s="2" t="str">
        <f>IF(SalesData[[#This Row],[Effective_Unit_Margin]]&lt;0,"Loss per Unit","Positive per Unit")</f>
        <v>Loss per Unit</v>
      </c>
    </row>
    <row r="766" spans="1:25" x14ac:dyDescent="0.3">
      <c r="A766">
        <v>1100</v>
      </c>
      <c r="B766" s="1">
        <v>45261</v>
      </c>
      <c r="C766" t="s">
        <v>41</v>
      </c>
      <c r="D766" t="s">
        <v>33</v>
      </c>
      <c r="E766">
        <v>34</v>
      </c>
      <c r="F766" t="s">
        <v>15</v>
      </c>
      <c r="G766">
        <v>4991.09</v>
      </c>
      <c r="H766">
        <v>5402.28</v>
      </c>
      <c r="I766" t="s">
        <v>16</v>
      </c>
      <c r="J766" s="2">
        <v>0</v>
      </c>
      <c r="K766" t="s">
        <v>17</v>
      </c>
      <c r="L766" t="s">
        <v>21</v>
      </c>
      <c r="M766" t="s">
        <v>51</v>
      </c>
      <c r="N766">
        <f>SalesData[[#This Row],[Quantity_Sold]]*SalesData[[#This Row],[Unit_Cost]]</f>
        <v>169697.06</v>
      </c>
      <c r="O766">
        <f>SalesData[[#This Row],[Quantity_Sold]]*SalesData[[#This Row],[Unit_Price]]</f>
        <v>183677.52</v>
      </c>
      <c r="P766">
        <f>SalesData[[#This Row],[Gross_sales]]*(1-SalesData[[#This Row],[Discount]])</f>
        <v>183677.52</v>
      </c>
      <c r="Q766" s="2">
        <f>SalesData[[#This Row],[Sales_amount]]-SalesData[[#This Row],[Total_Cost]]</f>
        <v>13980.459999999992</v>
      </c>
      <c r="R766" s="2">
        <f>SalesData[[#This Row],[Profit]]/SalesData[[#This Row],[Sales_amount]]</f>
        <v>7.6114159206853368E-2</v>
      </c>
      <c r="S766" s="2">
        <f>SalesData[[#This Row],[Unit_Price]]-SalesData[[#This Row],[Unit_Cost]]</f>
        <v>411.1899999999996</v>
      </c>
      <c r="T766" s="10">
        <f>SalesData[[#This Row],[Unit_Margin]]/SalesData[[#This Row],[Unit_Price]]</f>
        <v>7.6114159206853327E-2</v>
      </c>
      <c r="U766" s="2" t="str">
        <f>IF(SalesData[[#This Row],[Unit_Margin]]&lt;0, "Negative margin", "Positive margin")</f>
        <v>Positive margin</v>
      </c>
      <c r="V766" s="2" t="str">
        <f>IF(SalesData[[#This Row],[Profit]]&lt;0, "Loss", "Profit")</f>
        <v>Profit</v>
      </c>
      <c r="W766" s="2">
        <f>SalesData[[#This Row],[Unit_Price]]*(1-SalesData[[#This Row],[Discount]])</f>
        <v>5402.28</v>
      </c>
      <c r="X766" s="2">
        <f>SalesData[[#This Row],[Effective_Unit_Price]]-SalesData[[#This Row],[Unit_Cost]]</f>
        <v>411.1899999999996</v>
      </c>
      <c r="Y766" s="2" t="str">
        <f>IF(SalesData[[#This Row],[Effective_Unit_Margin]]&lt;0,"Loss per Unit","Positive per Unit")</f>
        <v>Positive per Unit</v>
      </c>
    </row>
    <row r="767" spans="1:25" x14ac:dyDescent="0.3">
      <c r="A767">
        <v>1064</v>
      </c>
      <c r="B767" s="1">
        <v>45148</v>
      </c>
      <c r="C767" t="s">
        <v>13</v>
      </c>
      <c r="D767" t="s">
        <v>24</v>
      </c>
      <c r="E767">
        <v>5</v>
      </c>
      <c r="F767" t="s">
        <v>25</v>
      </c>
      <c r="G767">
        <v>421.05</v>
      </c>
      <c r="H767">
        <v>488.23</v>
      </c>
      <c r="I767" t="s">
        <v>16</v>
      </c>
      <c r="J767" s="2">
        <v>7.0000000000000007E-2</v>
      </c>
      <c r="K767" t="s">
        <v>30</v>
      </c>
      <c r="L767" t="s">
        <v>21</v>
      </c>
      <c r="M767" t="s">
        <v>31</v>
      </c>
      <c r="N767">
        <f>SalesData[[#This Row],[Quantity_Sold]]*SalesData[[#This Row],[Unit_Cost]]</f>
        <v>2105.25</v>
      </c>
      <c r="O767">
        <f>SalesData[[#This Row],[Quantity_Sold]]*SalesData[[#This Row],[Unit_Price]]</f>
        <v>2441.15</v>
      </c>
      <c r="P767">
        <f>SalesData[[#This Row],[Gross_sales]]*(1-SalesData[[#This Row],[Discount]])</f>
        <v>2270.2694999999999</v>
      </c>
      <c r="Q767" s="2">
        <f>SalesData[[#This Row],[Sales_amount]]-SalesData[[#This Row],[Total_Cost]]</f>
        <v>165.01949999999988</v>
      </c>
      <c r="R767" s="2">
        <f>SalesData[[#This Row],[Profit]]/SalesData[[#This Row],[Sales_amount]]</f>
        <v>7.2687185376009281E-2</v>
      </c>
      <c r="S767" s="2">
        <f>SalesData[[#This Row],[Unit_Price]]-SalesData[[#This Row],[Unit_Cost]]</f>
        <v>67.180000000000007</v>
      </c>
      <c r="T767" s="10">
        <f>SalesData[[#This Row],[Unit_Margin]]/SalesData[[#This Row],[Unit_Price]]</f>
        <v>0.13759908239968868</v>
      </c>
      <c r="U767" s="2" t="str">
        <f>IF(SalesData[[#This Row],[Unit_Margin]]&lt;0, "Negative margin", "Positive margin")</f>
        <v>Positive margin</v>
      </c>
      <c r="V767" s="2" t="str">
        <f>IF(SalesData[[#This Row],[Profit]]&lt;0, "Loss", "Profit")</f>
        <v>Profit</v>
      </c>
      <c r="W767" s="2">
        <f>SalesData[[#This Row],[Unit_Price]]*(1-SalesData[[#This Row],[Discount]])</f>
        <v>454.0539</v>
      </c>
      <c r="X767" s="2">
        <f>SalesData[[#This Row],[Effective_Unit_Price]]-SalesData[[#This Row],[Unit_Cost]]</f>
        <v>33.003899999999987</v>
      </c>
      <c r="Y767" s="2" t="str">
        <f>IF(SalesData[[#This Row],[Effective_Unit_Margin]]&lt;0,"Loss per Unit","Positive per Unit")</f>
        <v>Positive per Unit</v>
      </c>
    </row>
    <row r="768" spans="1:25" x14ac:dyDescent="0.3">
      <c r="A768">
        <v>1027</v>
      </c>
      <c r="B768" s="1">
        <v>44963</v>
      </c>
      <c r="C768" t="s">
        <v>37</v>
      </c>
      <c r="D768" t="s">
        <v>20</v>
      </c>
      <c r="E768">
        <v>45</v>
      </c>
      <c r="F768" t="s">
        <v>25</v>
      </c>
      <c r="G768">
        <v>1153.9000000000001</v>
      </c>
      <c r="H768">
        <v>1485.34</v>
      </c>
      <c r="I768" t="s">
        <v>29</v>
      </c>
      <c r="J768" s="2">
        <v>0.25</v>
      </c>
      <c r="K768" t="s">
        <v>30</v>
      </c>
      <c r="L768" t="s">
        <v>21</v>
      </c>
      <c r="M768" t="s">
        <v>40</v>
      </c>
      <c r="N768">
        <f>SalesData[[#This Row],[Quantity_Sold]]*SalesData[[#This Row],[Unit_Cost]]</f>
        <v>51925.500000000007</v>
      </c>
      <c r="O768">
        <f>SalesData[[#This Row],[Quantity_Sold]]*SalesData[[#This Row],[Unit_Price]]</f>
        <v>66840.3</v>
      </c>
      <c r="P768">
        <f>SalesData[[#This Row],[Gross_sales]]*(1-SalesData[[#This Row],[Discount]])</f>
        <v>50130.225000000006</v>
      </c>
      <c r="Q768" s="2">
        <f>SalesData[[#This Row],[Sales_amount]]-SalesData[[#This Row],[Total_Cost]]</f>
        <v>-1795.2750000000015</v>
      </c>
      <c r="R768" s="2">
        <f>SalesData[[#This Row],[Profit]]/SalesData[[#This Row],[Sales_amount]]</f>
        <v>-3.5812227054636228E-2</v>
      </c>
      <c r="S768" s="2">
        <f>SalesData[[#This Row],[Unit_Price]]-SalesData[[#This Row],[Unit_Cost]]</f>
        <v>331.43999999999983</v>
      </c>
      <c r="T768" s="10">
        <f>SalesData[[#This Row],[Unit_Margin]]/SalesData[[#This Row],[Unit_Price]]</f>
        <v>0.22314082970902274</v>
      </c>
      <c r="U768" s="2" t="str">
        <f>IF(SalesData[[#This Row],[Unit_Margin]]&lt;0, "Negative margin", "Positive margin")</f>
        <v>Positive margin</v>
      </c>
      <c r="V768" s="2" t="str">
        <f>IF(SalesData[[#This Row],[Profit]]&lt;0, "Loss", "Profit")</f>
        <v>Loss</v>
      </c>
      <c r="W768" s="2">
        <f>SalesData[[#This Row],[Unit_Price]]*(1-SalesData[[#This Row],[Discount]])</f>
        <v>1114.0049999999999</v>
      </c>
      <c r="X768" s="2">
        <f>SalesData[[#This Row],[Effective_Unit_Price]]-SalesData[[#This Row],[Unit_Cost]]</f>
        <v>-39.895000000000209</v>
      </c>
      <c r="Y768" s="2" t="str">
        <f>IF(SalesData[[#This Row],[Effective_Unit_Margin]]&lt;0,"Loss per Unit","Positive per Unit")</f>
        <v>Loss per Unit</v>
      </c>
    </row>
    <row r="769" spans="1:25" x14ac:dyDescent="0.3">
      <c r="A769">
        <v>1063</v>
      </c>
      <c r="B769" s="1">
        <v>45204</v>
      </c>
      <c r="C769" t="s">
        <v>41</v>
      </c>
      <c r="D769" t="s">
        <v>24</v>
      </c>
      <c r="E769">
        <v>27</v>
      </c>
      <c r="F769" t="s">
        <v>25</v>
      </c>
      <c r="G769">
        <v>2069.08</v>
      </c>
      <c r="H769">
        <v>2246.2399999999998</v>
      </c>
      <c r="I769" t="s">
        <v>29</v>
      </c>
      <c r="J769" s="2">
        <v>0.06</v>
      </c>
      <c r="K769" t="s">
        <v>26</v>
      </c>
      <c r="L769" t="s">
        <v>21</v>
      </c>
      <c r="M769" t="s">
        <v>42</v>
      </c>
      <c r="N769">
        <f>SalesData[[#This Row],[Quantity_Sold]]*SalesData[[#This Row],[Unit_Cost]]</f>
        <v>55865.159999999996</v>
      </c>
      <c r="O769">
        <f>SalesData[[#This Row],[Quantity_Sold]]*SalesData[[#This Row],[Unit_Price]]</f>
        <v>60648.479999999996</v>
      </c>
      <c r="P769">
        <f>SalesData[[#This Row],[Gross_sales]]*(1-SalesData[[#This Row],[Discount]])</f>
        <v>57009.571199999991</v>
      </c>
      <c r="Q769" s="2">
        <f>SalesData[[#This Row],[Sales_amount]]-SalesData[[#This Row],[Total_Cost]]</f>
        <v>1144.411199999995</v>
      </c>
      <c r="R769" s="2">
        <f>SalesData[[#This Row],[Profit]]/SalesData[[#This Row],[Sales_amount]]</f>
        <v>2.007401872898134E-2</v>
      </c>
      <c r="S769" s="2">
        <f>SalesData[[#This Row],[Unit_Price]]-SalesData[[#This Row],[Unit_Cost]]</f>
        <v>177.15999999999985</v>
      </c>
      <c r="T769" s="10">
        <f>SalesData[[#This Row],[Unit_Margin]]/SalesData[[#This Row],[Unit_Price]]</f>
        <v>7.8869577605242477E-2</v>
      </c>
      <c r="U769" s="2" t="str">
        <f>IF(SalesData[[#This Row],[Unit_Margin]]&lt;0, "Negative margin", "Positive margin")</f>
        <v>Positive margin</v>
      </c>
      <c r="V769" s="2" t="str">
        <f>IF(SalesData[[#This Row],[Profit]]&lt;0, "Loss", "Profit")</f>
        <v>Profit</v>
      </c>
      <c r="W769" s="2">
        <f>SalesData[[#This Row],[Unit_Price]]*(1-SalesData[[#This Row],[Discount]])</f>
        <v>2111.4655999999995</v>
      </c>
      <c r="X769" s="2">
        <f>SalesData[[#This Row],[Effective_Unit_Price]]-SalesData[[#This Row],[Unit_Cost]]</f>
        <v>42.385599999999613</v>
      </c>
      <c r="Y769" s="2" t="str">
        <f>IF(SalesData[[#This Row],[Effective_Unit_Margin]]&lt;0,"Loss per Unit","Positive per Unit")</f>
        <v>Positive per Unit</v>
      </c>
    </row>
    <row r="770" spans="1:25" x14ac:dyDescent="0.3">
      <c r="A770">
        <v>1017</v>
      </c>
      <c r="B770" s="1">
        <v>45122</v>
      </c>
      <c r="C770" t="s">
        <v>23</v>
      </c>
      <c r="D770" t="s">
        <v>14</v>
      </c>
      <c r="E770">
        <v>23</v>
      </c>
      <c r="F770" t="s">
        <v>34</v>
      </c>
      <c r="G770">
        <v>1771.52</v>
      </c>
      <c r="H770">
        <v>2147.8000000000002</v>
      </c>
      <c r="I770" t="s">
        <v>29</v>
      </c>
      <c r="J770" s="2">
        <v>7.0000000000000007E-2</v>
      </c>
      <c r="K770" t="s">
        <v>26</v>
      </c>
      <c r="L770" t="s">
        <v>18</v>
      </c>
      <c r="M770" t="s">
        <v>44</v>
      </c>
      <c r="N770">
        <f>SalesData[[#This Row],[Quantity_Sold]]*SalesData[[#This Row],[Unit_Cost]]</f>
        <v>40744.959999999999</v>
      </c>
      <c r="O770">
        <f>SalesData[[#This Row],[Quantity_Sold]]*SalesData[[#This Row],[Unit_Price]]</f>
        <v>49399.4</v>
      </c>
      <c r="P770">
        <f>SalesData[[#This Row],[Gross_sales]]*(1-SalesData[[#This Row],[Discount]])</f>
        <v>45941.441999999995</v>
      </c>
      <c r="Q770" s="2">
        <f>SalesData[[#This Row],[Sales_amount]]-SalesData[[#This Row],[Total_Cost]]</f>
        <v>5196.4819999999963</v>
      </c>
      <c r="R770" s="2">
        <f>SalesData[[#This Row],[Profit]]/SalesData[[#This Row],[Sales_amount]]</f>
        <v>0.11311099029063991</v>
      </c>
      <c r="S770" s="2">
        <f>SalesData[[#This Row],[Unit_Price]]-SalesData[[#This Row],[Unit_Cost]]</f>
        <v>376.2800000000002</v>
      </c>
      <c r="T770" s="10">
        <f>SalesData[[#This Row],[Unit_Margin]]/SalesData[[#This Row],[Unit_Price]]</f>
        <v>0.17519322097029527</v>
      </c>
      <c r="U770" s="2" t="str">
        <f>IF(SalesData[[#This Row],[Unit_Margin]]&lt;0, "Negative margin", "Positive margin")</f>
        <v>Positive margin</v>
      </c>
      <c r="V770" s="2" t="str">
        <f>IF(SalesData[[#This Row],[Profit]]&lt;0, "Loss", "Profit")</f>
        <v>Profit</v>
      </c>
      <c r="W770" s="2">
        <f>SalesData[[#This Row],[Unit_Price]]*(1-SalesData[[#This Row],[Discount]])</f>
        <v>1997.454</v>
      </c>
      <c r="X770" s="2">
        <f>SalesData[[#This Row],[Effective_Unit_Price]]-SalesData[[#This Row],[Unit_Cost]]</f>
        <v>225.93399999999997</v>
      </c>
      <c r="Y770" s="2" t="str">
        <f>IF(SalesData[[#This Row],[Effective_Unit_Margin]]&lt;0,"Loss per Unit","Positive per Unit")</f>
        <v>Positive per Unit</v>
      </c>
    </row>
    <row r="771" spans="1:25" x14ac:dyDescent="0.3">
      <c r="A771">
        <v>1073</v>
      </c>
      <c r="B771" s="1">
        <v>45278</v>
      </c>
      <c r="C771" t="s">
        <v>37</v>
      </c>
      <c r="D771" t="s">
        <v>20</v>
      </c>
      <c r="E771">
        <v>40</v>
      </c>
      <c r="F771" t="s">
        <v>25</v>
      </c>
      <c r="G771">
        <v>157.15</v>
      </c>
      <c r="H771">
        <v>436.53</v>
      </c>
      <c r="I771" t="s">
        <v>29</v>
      </c>
      <c r="J771" s="2">
        <v>0.04</v>
      </c>
      <c r="K771" t="s">
        <v>17</v>
      </c>
      <c r="L771" t="s">
        <v>21</v>
      </c>
      <c r="M771" t="s">
        <v>40</v>
      </c>
      <c r="N771">
        <f>SalesData[[#This Row],[Quantity_Sold]]*SalesData[[#This Row],[Unit_Cost]]</f>
        <v>6286</v>
      </c>
      <c r="O771">
        <f>SalesData[[#This Row],[Quantity_Sold]]*SalesData[[#This Row],[Unit_Price]]</f>
        <v>17461.199999999997</v>
      </c>
      <c r="P771">
        <f>SalesData[[#This Row],[Gross_sales]]*(1-SalesData[[#This Row],[Discount]])</f>
        <v>16762.751999999997</v>
      </c>
      <c r="Q771" s="2">
        <f>SalesData[[#This Row],[Sales_amount]]-SalesData[[#This Row],[Total_Cost]]</f>
        <v>10476.751999999997</v>
      </c>
      <c r="R771" s="2">
        <f>SalesData[[#This Row],[Profit]]/SalesData[[#This Row],[Sales_amount]]</f>
        <v>0.62500190899441799</v>
      </c>
      <c r="S771" s="2">
        <f>SalesData[[#This Row],[Unit_Price]]-SalesData[[#This Row],[Unit_Cost]]</f>
        <v>279.38</v>
      </c>
      <c r="T771" s="10">
        <f>SalesData[[#This Row],[Unit_Margin]]/SalesData[[#This Row],[Unit_Price]]</f>
        <v>0.64000183263464139</v>
      </c>
      <c r="U771" s="2" t="str">
        <f>IF(SalesData[[#This Row],[Unit_Margin]]&lt;0, "Negative margin", "Positive margin")</f>
        <v>Positive margin</v>
      </c>
      <c r="V771" s="2" t="str">
        <f>IF(SalesData[[#This Row],[Profit]]&lt;0, "Loss", "Profit")</f>
        <v>Profit</v>
      </c>
      <c r="W771" s="2">
        <f>SalesData[[#This Row],[Unit_Price]]*(1-SalesData[[#This Row],[Discount]])</f>
        <v>419.06879999999995</v>
      </c>
      <c r="X771" s="2">
        <f>SalesData[[#This Row],[Effective_Unit_Price]]-SalesData[[#This Row],[Unit_Cost]]</f>
        <v>261.91879999999992</v>
      </c>
      <c r="Y771" s="2" t="str">
        <f>IF(SalesData[[#This Row],[Effective_Unit_Margin]]&lt;0,"Loss per Unit","Positive per Unit")</f>
        <v>Positive per Unit</v>
      </c>
    </row>
    <row r="772" spans="1:25" x14ac:dyDescent="0.3">
      <c r="A772">
        <v>1033</v>
      </c>
      <c r="B772" s="1">
        <v>45168</v>
      </c>
      <c r="C772" t="s">
        <v>13</v>
      </c>
      <c r="D772" t="s">
        <v>33</v>
      </c>
      <c r="E772">
        <v>14</v>
      </c>
      <c r="F772" t="s">
        <v>25</v>
      </c>
      <c r="G772">
        <v>504.3</v>
      </c>
      <c r="H772">
        <v>735.95</v>
      </c>
      <c r="I772" t="s">
        <v>16</v>
      </c>
      <c r="J772" s="2">
        <v>0.21</v>
      </c>
      <c r="K772" t="s">
        <v>17</v>
      </c>
      <c r="L772" t="s">
        <v>21</v>
      </c>
      <c r="M772" t="s">
        <v>45</v>
      </c>
      <c r="N772">
        <f>SalesData[[#This Row],[Quantity_Sold]]*SalesData[[#This Row],[Unit_Cost]]</f>
        <v>7060.2</v>
      </c>
      <c r="O772">
        <f>SalesData[[#This Row],[Quantity_Sold]]*SalesData[[#This Row],[Unit_Price]]</f>
        <v>10303.300000000001</v>
      </c>
      <c r="P772">
        <f>SalesData[[#This Row],[Gross_sales]]*(1-SalesData[[#This Row],[Discount]])</f>
        <v>8139.6070000000009</v>
      </c>
      <c r="Q772" s="2">
        <f>SalesData[[#This Row],[Sales_amount]]-SalesData[[#This Row],[Total_Cost]]</f>
        <v>1079.4070000000011</v>
      </c>
      <c r="R772" s="2">
        <f>SalesData[[#This Row],[Profit]]/SalesData[[#This Row],[Sales_amount]]</f>
        <v>0.13261168506047047</v>
      </c>
      <c r="S772" s="2">
        <f>SalesData[[#This Row],[Unit_Price]]-SalesData[[#This Row],[Unit_Cost]]</f>
        <v>231.65000000000003</v>
      </c>
      <c r="T772" s="10">
        <f>SalesData[[#This Row],[Unit_Margin]]/SalesData[[#This Row],[Unit_Price]]</f>
        <v>0.31476323119777161</v>
      </c>
      <c r="U772" s="2" t="str">
        <f>IF(SalesData[[#This Row],[Unit_Margin]]&lt;0, "Negative margin", "Positive margin")</f>
        <v>Positive margin</v>
      </c>
      <c r="V772" s="2" t="str">
        <f>IF(SalesData[[#This Row],[Profit]]&lt;0, "Loss", "Profit")</f>
        <v>Profit</v>
      </c>
      <c r="W772" s="2">
        <f>SalesData[[#This Row],[Unit_Price]]*(1-SalesData[[#This Row],[Discount]])</f>
        <v>581.40050000000008</v>
      </c>
      <c r="X772" s="2">
        <f>SalesData[[#This Row],[Effective_Unit_Price]]-SalesData[[#This Row],[Unit_Cost]]</f>
        <v>77.100500000000068</v>
      </c>
      <c r="Y772" s="2" t="str">
        <f>IF(SalesData[[#This Row],[Effective_Unit_Margin]]&lt;0,"Loss per Unit","Positive per Unit")</f>
        <v>Positive per Unit</v>
      </c>
    </row>
    <row r="773" spans="1:25" x14ac:dyDescent="0.3">
      <c r="A773">
        <v>1084</v>
      </c>
      <c r="B773" s="1">
        <v>45250</v>
      </c>
      <c r="C773" t="s">
        <v>13</v>
      </c>
      <c r="D773" t="s">
        <v>24</v>
      </c>
      <c r="E773">
        <v>15</v>
      </c>
      <c r="F773" t="s">
        <v>15</v>
      </c>
      <c r="G773">
        <v>3420.72</v>
      </c>
      <c r="H773">
        <v>3513.74</v>
      </c>
      <c r="I773" t="s">
        <v>29</v>
      </c>
      <c r="J773" s="2">
        <v>0.02</v>
      </c>
      <c r="K773" t="s">
        <v>17</v>
      </c>
      <c r="L773" t="s">
        <v>18</v>
      </c>
      <c r="M773" t="s">
        <v>31</v>
      </c>
      <c r="N773">
        <f>SalesData[[#This Row],[Quantity_Sold]]*SalesData[[#This Row],[Unit_Cost]]</f>
        <v>51310.799999999996</v>
      </c>
      <c r="O773">
        <f>SalesData[[#This Row],[Quantity_Sold]]*SalesData[[#This Row],[Unit_Price]]</f>
        <v>52706.1</v>
      </c>
      <c r="P773">
        <f>SalesData[[#This Row],[Gross_sales]]*(1-SalesData[[#This Row],[Discount]])</f>
        <v>51651.977999999996</v>
      </c>
      <c r="Q773" s="2">
        <f>SalesData[[#This Row],[Sales_amount]]-SalesData[[#This Row],[Total_Cost]]</f>
        <v>341.17799999999988</v>
      </c>
      <c r="R773" s="2">
        <f>SalesData[[#This Row],[Profit]]/SalesData[[#This Row],[Sales_amount]]</f>
        <v>6.6053230333212006E-3</v>
      </c>
      <c r="S773" s="2">
        <f>SalesData[[#This Row],[Unit_Price]]-SalesData[[#This Row],[Unit_Cost]]</f>
        <v>93.019999999999982</v>
      </c>
      <c r="T773" s="10">
        <f>SalesData[[#This Row],[Unit_Margin]]/SalesData[[#This Row],[Unit_Price]]</f>
        <v>2.6473216572654775E-2</v>
      </c>
      <c r="U773" s="2" t="str">
        <f>IF(SalesData[[#This Row],[Unit_Margin]]&lt;0, "Negative margin", "Positive margin")</f>
        <v>Positive margin</v>
      </c>
      <c r="V773" s="2" t="str">
        <f>IF(SalesData[[#This Row],[Profit]]&lt;0, "Loss", "Profit")</f>
        <v>Profit</v>
      </c>
      <c r="W773" s="2">
        <f>SalesData[[#This Row],[Unit_Price]]*(1-SalesData[[#This Row],[Discount]])</f>
        <v>3443.4651999999996</v>
      </c>
      <c r="X773" s="2">
        <f>SalesData[[#This Row],[Effective_Unit_Price]]-SalesData[[#This Row],[Unit_Cost]]</f>
        <v>22.745199999999841</v>
      </c>
      <c r="Y773" s="2" t="str">
        <f>IF(SalesData[[#This Row],[Effective_Unit_Margin]]&lt;0,"Loss per Unit","Positive per Unit")</f>
        <v>Positive per Unit</v>
      </c>
    </row>
    <row r="774" spans="1:25" x14ac:dyDescent="0.3">
      <c r="A774">
        <v>1077</v>
      </c>
      <c r="B774" s="1">
        <v>45145</v>
      </c>
      <c r="C774" t="s">
        <v>32</v>
      </c>
      <c r="D774" t="s">
        <v>33</v>
      </c>
      <c r="E774">
        <v>43</v>
      </c>
      <c r="F774" t="s">
        <v>25</v>
      </c>
      <c r="G774">
        <v>4402.66</v>
      </c>
      <c r="H774">
        <v>4724.7</v>
      </c>
      <c r="I774" t="s">
        <v>29</v>
      </c>
      <c r="J774" s="2">
        <v>0.1</v>
      </c>
      <c r="K774" t="s">
        <v>26</v>
      </c>
      <c r="L774" t="s">
        <v>21</v>
      </c>
      <c r="M774" t="s">
        <v>35</v>
      </c>
      <c r="N774">
        <f>SalesData[[#This Row],[Quantity_Sold]]*SalesData[[#This Row],[Unit_Cost]]</f>
        <v>189314.38</v>
      </c>
      <c r="O774">
        <f>SalesData[[#This Row],[Quantity_Sold]]*SalesData[[#This Row],[Unit_Price]]</f>
        <v>203162.1</v>
      </c>
      <c r="P774">
        <f>SalesData[[#This Row],[Gross_sales]]*(1-SalesData[[#This Row],[Discount]])</f>
        <v>182845.89</v>
      </c>
      <c r="Q774" s="2">
        <f>SalesData[[#This Row],[Sales_amount]]-SalesData[[#This Row],[Total_Cost]]</f>
        <v>-6468.4899999999907</v>
      </c>
      <c r="R774" s="2">
        <f>SalesData[[#This Row],[Profit]]/SalesData[[#This Row],[Sales_amount]]</f>
        <v>-3.5376731738405442E-2</v>
      </c>
      <c r="S774" s="2">
        <f>SalesData[[#This Row],[Unit_Price]]-SalesData[[#This Row],[Unit_Cost]]</f>
        <v>322.03999999999996</v>
      </c>
      <c r="T774" s="10">
        <f>SalesData[[#This Row],[Unit_Margin]]/SalesData[[#This Row],[Unit_Price]]</f>
        <v>6.8160941435435052E-2</v>
      </c>
      <c r="U774" s="2" t="str">
        <f>IF(SalesData[[#This Row],[Unit_Margin]]&lt;0, "Negative margin", "Positive margin")</f>
        <v>Positive margin</v>
      </c>
      <c r="V774" s="2" t="str">
        <f>IF(SalesData[[#This Row],[Profit]]&lt;0, "Loss", "Profit")</f>
        <v>Loss</v>
      </c>
      <c r="W774" s="2">
        <f>SalesData[[#This Row],[Unit_Price]]*(1-SalesData[[#This Row],[Discount]])</f>
        <v>4252.2299999999996</v>
      </c>
      <c r="X774" s="2">
        <f>SalesData[[#This Row],[Effective_Unit_Price]]-SalesData[[#This Row],[Unit_Cost]]</f>
        <v>-150.43000000000029</v>
      </c>
      <c r="Y774" s="2" t="str">
        <f>IF(SalesData[[#This Row],[Effective_Unit_Margin]]&lt;0,"Loss per Unit","Positive per Unit")</f>
        <v>Loss per Unit</v>
      </c>
    </row>
    <row r="775" spans="1:25" x14ac:dyDescent="0.3">
      <c r="A775">
        <v>1092</v>
      </c>
      <c r="B775" s="1">
        <v>45118</v>
      </c>
      <c r="C775" t="s">
        <v>37</v>
      </c>
      <c r="D775" t="s">
        <v>33</v>
      </c>
      <c r="E775">
        <v>33</v>
      </c>
      <c r="F775" t="s">
        <v>34</v>
      </c>
      <c r="G775">
        <v>2595.42</v>
      </c>
      <c r="H775">
        <v>3083.06</v>
      </c>
      <c r="I775" t="s">
        <v>29</v>
      </c>
      <c r="J775" s="2">
        <v>0.08</v>
      </c>
      <c r="K775" t="s">
        <v>30</v>
      </c>
      <c r="L775" t="s">
        <v>18</v>
      </c>
      <c r="M775" t="s">
        <v>47</v>
      </c>
      <c r="N775">
        <f>SalesData[[#This Row],[Quantity_Sold]]*SalesData[[#This Row],[Unit_Cost]]</f>
        <v>85648.86</v>
      </c>
      <c r="O775">
        <f>SalesData[[#This Row],[Quantity_Sold]]*SalesData[[#This Row],[Unit_Price]]</f>
        <v>101740.98</v>
      </c>
      <c r="P775">
        <f>SalesData[[#This Row],[Gross_sales]]*(1-SalesData[[#This Row],[Discount]])</f>
        <v>93601.7016</v>
      </c>
      <c r="Q775" s="2">
        <f>SalesData[[#This Row],[Sales_amount]]-SalesData[[#This Row],[Total_Cost]]</f>
        <v>7952.8415999999997</v>
      </c>
      <c r="R775" s="2">
        <f>SalesData[[#This Row],[Profit]]/SalesData[[#This Row],[Sales_amount]]</f>
        <v>8.4964711795367617E-2</v>
      </c>
      <c r="S775" s="2">
        <f>SalesData[[#This Row],[Unit_Price]]-SalesData[[#This Row],[Unit_Cost]]</f>
        <v>487.63999999999987</v>
      </c>
      <c r="T775" s="10">
        <f>SalesData[[#This Row],[Unit_Margin]]/SalesData[[#This Row],[Unit_Price]]</f>
        <v>0.15816753485173818</v>
      </c>
      <c r="U775" s="2" t="str">
        <f>IF(SalesData[[#This Row],[Unit_Margin]]&lt;0, "Negative margin", "Positive margin")</f>
        <v>Positive margin</v>
      </c>
      <c r="V775" s="2" t="str">
        <f>IF(SalesData[[#This Row],[Profit]]&lt;0, "Loss", "Profit")</f>
        <v>Profit</v>
      </c>
      <c r="W775" s="2">
        <f>SalesData[[#This Row],[Unit_Price]]*(1-SalesData[[#This Row],[Discount]])</f>
        <v>2836.4151999999999</v>
      </c>
      <c r="X775" s="2">
        <f>SalesData[[#This Row],[Effective_Unit_Price]]-SalesData[[#This Row],[Unit_Cost]]</f>
        <v>240.99519999999984</v>
      </c>
      <c r="Y775" s="2" t="str">
        <f>IF(SalesData[[#This Row],[Effective_Unit_Margin]]&lt;0,"Loss per Unit","Positive per Unit")</f>
        <v>Positive per Unit</v>
      </c>
    </row>
    <row r="776" spans="1:25" x14ac:dyDescent="0.3">
      <c r="A776">
        <v>1029</v>
      </c>
      <c r="B776" s="1">
        <v>44943</v>
      </c>
      <c r="C776" t="s">
        <v>32</v>
      </c>
      <c r="D776" t="s">
        <v>14</v>
      </c>
      <c r="E776">
        <v>31</v>
      </c>
      <c r="F776" t="s">
        <v>34</v>
      </c>
      <c r="G776">
        <v>2719</v>
      </c>
      <c r="H776">
        <v>3133.55</v>
      </c>
      <c r="I776" t="s">
        <v>16</v>
      </c>
      <c r="J776" s="2">
        <v>0.17</v>
      </c>
      <c r="K776" t="s">
        <v>26</v>
      </c>
      <c r="L776" t="s">
        <v>21</v>
      </c>
      <c r="M776" t="s">
        <v>52</v>
      </c>
      <c r="N776">
        <f>SalesData[[#This Row],[Quantity_Sold]]*SalesData[[#This Row],[Unit_Cost]]</f>
        <v>84289</v>
      </c>
      <c r="O776">
        <f>SalesData[[#This Row],[Quantity_Sold]]*SalesData[[#This Row],[Unit_Price]]</f>
        <v>97140.05</v>
      </c>
      <c r="P776">
        <f>SalesData[[#This Row],[Gross_sales]]*(1-SalesData[[#This Row],[Discount]])</f>
        <v>80626.241500000004</v>
      </c>
      <c r="Q776" s="2">
        <f>SalesData[[#This Row],[Sales_amount]]-SalesData[[#This Row],[Total_Cost]]</f>
        <v>-3662.7584999999963</v>
      </c>
      <c r="R776" s="2">
        <f>SalesData[[#This Row],[Profit]]/SalesData[[#This Row],[Sales_amount]]</f>
        <v>-4.5428863256635817E-2</v>
      </c>
      <c r="S776" s="2">
        <f>SalesData[[#This Row],[Unit_Price]]-SalesData[[#This Row],[Unit_Cost]]</f>
        <v>414.55000000000018</v>
      </c>
      <c r="T776" s="10">
        <f>SalesData[[#This Row],[Unit_Margin]]/SalesData[[#This Row],[Unit_Price]]</f>
        <v>0.13229404349699228</v>
      </c>
      <c r="U776" s="2" t="str">
        <f>IF(SalesData[[#This Row],[Unit_Margin]]&lt;0, "Negative margin", "Positive margin")</f>
        <v>Positive margin</v>
      </c>
      <c r="V776" s="2" t="str">
        <f>IF(SalesData[[#This Row],[Profit]]&lt;0, "Loss", "Profit")</f>
        <v>Loss</v>
      </c>
      <c r="W776" s="2">
        <f>SalesData[[#This Row],[Unit_Price]]*(1-SalesData[[#This Row],[Discount]])</f>
        <v>2600.8465000000001</v>
      </c>
      <c r="X776" s="2">
        <f>SalesData[[#This Row],[Effective_Unit_Price]]-SalesData[[#This Row],[Unit_Cost]]</f>
        <v>-118.15349999999989</v>
      </c>
      <c r="Y776" s="2" t="str">
        <f>IF(SalesData[[#This Row],[Effective_Unit_Margin]]&lt;0,"Loss per Unit","Positive per Unit")</f>
        <v>Loss per Unit</v>
      </c>
    </row>
    <row r="777" spans="1:25" x14ac:dyDescent="0.3">
      <c r="A777">
        <v>1013</v>
      </c>
      <c r="B777" s="1">
        <v>44938</v>
      </c>
      <c r="C777" t="s">
        <v>41</v>
      </c>
      <c r="D777" t="s">
        <v>20</v>
      </c>
      <c r="E777">
        <v>35</v>
      </c>
      <c r="F777" t="s">
        <v>34</v>
      </c>
      <c r="G777">
        <v>1312.71</v>
      </c>
      <c r="H777">
        <v>1352.11</v>
      </c>
      <c r="I777" t="s">
        <v>16</v>
      </c>
      <c r="J777" s="2">
        <v>0.22</v>
      </c>
      <c r="K777" t="s">
        <v>26</v>
      </c>
      <c r="L777" t="s">
        <v>21</v>
      </c>
      <c r="M777" t="s">
        <v>50</v>
      </c>
      <c r="N777">
        <f>SalesData[[#This Row],[Quantity_Sold]]*SalesData[[#This Row],[Unit_Cost]]</f>
        <v>45944.85</v>
      </c>
      <c r="O777">
        <f>SalesData[[#This Row],[Quantity_Sold]]*SalesData[[#This Row],[Unit_Price]]</f>
        <v>47323.85</v>
      </c>
      <c r="P777">
        <f>SalesData[[#This Row],[Gross_sales]]*(1-SalesData[[#This Row],[Discount]])</f>
        <v>36912.603000000003</v>
      </c>
      <c r="Q777" s="2">
        <f>SalesData[[#This Row],[Sales_amount]]-SalesData[[#This Row],[Total_Cost]]</f>
        <v>-9032.2469999999958</v>
      </c>
      <c r="R777" s="2">
        <f>SalesData[[#This Row],[Profit]]/SalesData[[#This Row],[Sales_amount]]</f>
        <v>-0.2446927679416159</v>
      </c>
      <c r="S777" s="2">
        <f>SalesData[[#This Row],[Unit_Price]]-SalesData[[#This Row],[Unit_Cost]]</f>
        <v>39.399999999999864</v>
      </c>
      <c r="T777" s="10">
        <f>SalesData[[#This Row],[Unit_Margin]]/SalesData[[#This Row],[Unit_Price]]</f>
        <v>2.9139641005539393E-2</v>
      </c>
      <c r="U777" s="2" t="str">
        <f>IF(SalesData[[#This Row],[Unit_Margin]]&lt;0, "Negative margin", "Positive margin")</f>
        <v>Positive margin</v>
      </c>
      <c r="V777" s="2" t="str">
        <f>IF(SalesData[[#This Row],[Profit]]&lt;0, "Loss", "Profit")</f>
        <v>Loss</v>
      </c>
      <c r="W777" s="2">
        <f>SalesData[[#This Row],[Unit_Price]]*(1-SalesData[[#This Row],[Discount]])</f>
        <v>1054.6458</v>
      </c>
      <c r="X777" s="2">
        <f>SalesData[[#This Row],[Effective_Unit_Price]]-SalesData[[#This Row],[Unit_Cost]]</f>
        <v>-258.06420000000003</v>
      </c>
      <c r="Y777" s="2" t="str">
        <f>IF(SalesData[[#This Row],[Effective_Unit_Margin]]&lt;0,"Loss per Unit","Positive per Unit")</f>
        <v>Loss per Unit</v>
      </c>
    </row>
    <row r="778" spans="1:25" x14ac:dyDescent="0.3">
      <c r="A778">
        <v>1046</v>
      </c>
      <c r="B778" s="1">
        <v>45119</v>
      </c>
      <c r="C778" t="s">
        <v>37</v>
      </c>
      <c r="D778" t="s">
        <v>14</v>
      </c>
      <c r="E778">
        <v>17</v>
      </c>
      <c r="F778" t="s">
        <v>15</v>
      </c>
      <c r="G778">
        <v>3850.99</v>
      </c>
      <c r="H778">
        <v>4045.3399999999901</v>
      </c>
      <c r="I778" t="s">
        <v>16</v>
      </c>
      <c r="J778" s="2">
        <v>0.16</v>
      </c>
      <c r="K778" t="s">
        <v>30</v>
      </c>
      <c r="L778" t="s">
        <v>18</v>
      </c>
      <c r="M778" t="s">
        <v>39</v>
      </c>
      <c r="N778">
        <f>SalesData[[#This Row],[Quantity_Sold]]*SalesData[[#This Row],[Unit_Cost]]</f>
        <v>65466.829999999994</v>
      </c>
      <c r="O778">
        <f>SalesData[[#This Row],[Quantity_Sold]]*SalesData[[#This Row],[Unit_Price]]</f>
        <v>68770.779999999839</v>
      </c>
      <c r="P778">
        <f>SalesData[[#This Row],[Gross_sales]]*(1-SalesData[[#This Row],[Discount]])</f>
        <v>57767.455199999866</v>
      </c>
      <c r="Q778" s="2">
        <f>SalesData[[#This Row],[Sales_amount]]-SalesData[[#This Row],[Total_Cost]]</f>
        <v>-7699.3748000001287</v>
      </c>
      <c r="R778" s="2">
        <f>SalesData[[#This Row],[Profit]]/SalesData[[#This Row],[Sales_amount]]</f>
        <v>-0.13328222220182112</v>
      </c>
      <c r="S778" s="2">
        <f>SalesData[[#This Row],[Unit_Price]]-SalesData[[#This Row],[Unit_Cost]]</f>
        <v>194.34999999999036</v>
      </c>
      <c r="T778" s="10">
        <f>SalesData[[#This Row],[Unit_Margin]]/SalesData[[#This Row],[Unit_Price]]</f>
        <v>4.8042933350470128E-2</v>
      </c>
      <c r="U778" s="2" t="str">
        <f>IF(SalesData[[#This Row],[Unit_Margin]]&lt;0, "Negative margin", "Positive margin")</f>
        <v>Positive margin</v>
      </c>
      <c r="V778" s="2" t="str">
        <f>IF(SalesData[[#This Row],[Profit]]&lt;0, "Loss", "Profit")</f>
        <v>Loss</v>
      </c>
      <c r="W778" s="2">
        <f>SalesData[[#This Row],[Unit_Price]]*(1-SalesData[[#This Row],[Discount]])</f>
        <v>3398.0855999999917</v>
      </c>
      <c r="X778" s="2">
        <f>SalesData[[#This Row],[Effective_Unit_Price]]-SalesData[[#This Row],[Unit_Cost]]</f>
        <v>-452.90440000000808</v>
      </c>
      <c r="Y778" s="2" t="str">
        <f>IF(SalesData[[#This Row],[Effective_Unit_Margin]]&lt;0,"Loss per Unit","Positive per Unit")</f>
        <v>Loss per Unit</v>
      </c>
    </row>
    <row r="779" spans="1:25" x14ac:dyDescent="0.3">
      <c r="A779">
        <v>1035</v>
      </c>
      <c r="B779" s="1">
        <v>44948</v>
      </c>
      <c r="C779" t="s">
        <v>41</v>
      </c>
      <c r="D779" t="s">
        <v>14</v>
      </c>
      <c r="E779">
        <v>28</v>
      </c>
      <c r="F779" t="s">
        <v>15</v>
      </c>
      <c r="G779">
        <v>3771.38</v>
      </c>
      <c r="H779">
        <v>4234.92</v>
      </c>
      <c r="I779" t="s">
        <v>29</v>
      </c>
      <c r="J779" s="2">
        <v>0.28000000000000003</v>
      </c>
      <c r="K779" t="s">
        <v>30</v>
      </c>
      <c r="L779" t="s">
        <v>21</v>
      </c>
      <c r="M779" t="s">
        <v>48</v>
      </c>
      <c r="N779">
        <f>SalesData[[#This Row],[Quantity_Sold]]*SalesData[[#This Row],[Unit_Cost]]</f>
        <v>105598.64</v>
      </c>
      <c r="O779">
        <f>SalesData[[#This Row],[Quantity_Sold]]*SalesData[[#This Row],[Unit_Price]]</f>
        <v>118577.76000000001</v>
      </c>
      <c r="P779">
        <f>SalesData[[#This Row],[Gross_sales]]*(1-SalesData[[#This Row],[Discount]])</f>
        <v>85375.987200000003</v>
      </c>
      <c r="Q779" s="2">
        <f>SalesData[[#This Row],[Sales_amount]]-SalesData[[#This Row],[Total_Cost]]</f>
        <v>-20222.652799999996</v>
      </c>
      <c r="R779" s="2">
        <f>SalesData[[#This Row],[Profit]]/SalesData[[#This Row],[Sales_amount]]</f>
        <v>-0.23686581512231106</v>
      </c>
      <c r="S779" s="2">
        <f>SalesData[[#This Row],[Unit_Price]]-SalesData[[#This Row],[Unit_Cost]]</f>
        <v>463.53999999999996</v>
      </c>
      <c r="T779" s="10">
        <f>SalesData[[#This Row],[Unit_Margin]]/SalesData[[#This Row],[Unit_Price]]</f>
        <v>0.10945661311193598</v>
      </c>
      <c r="U779" s="2" t="str">
        <f>IF(SalesData[[#This Row],[Unit_Margin]]&lt;0, "Negative margin", "Positive margin")</f>
        <v>Positive margin</v>
      </c>
      <c r="V779" s="2" t="str">
        <f>IF(SalesData[[#This Row],[Profit]]&lt;0, "Loss", "Profit")</f>
        <v>Loss</v>
      </c>
      <c r="W779" s="2">
        <f>SalesData[[#This Row],[Unit_Price]]*(1-SalesData[[#This Row],[Discount]])</f>
        <v>3049.1423999999997</v>
      </c>
      <c r="X779" s="2">
        <f>SalesData[[#This Row],[Effective_Unit_Price]]-SalesData[[#This Row],[Unit_Cost]]</f>
        <v>-722.23760000000038</v>
      </c>
      <c r="Y779" s="2" t="str">
        <f>IF(SalesData[[#This Row],[Effective_Unit_Margin]]&lt;0,"Loss per Unit","Positive per Unit")</f>
        <v>Loss per Unit</v>
      </c>
    </row>
    <row r="780" spans="1:25" x14ac:dyDescent="0.3">
      <c r="A780">
        <v>1006</v>
      </c>
      <c r="B780" s="1">
        <v>45046</v>
      </c>
      <c r="C780" t="s">
        <v>32</v>
      </c>
      <c r="D780" t="s">
        <v>14</v>
      </c>
      <c r="E780">
        <v>19</v>
      </c>
      <c r="F780" t="s">
        <v>28</v>
      </c>
      <c r="G780">
        <v>2962.41</v>
      </c>
      <c r="H780">
        <v>3218.8999999999901</v>
      </c>
      <c r="I780" t="s">
        <v>29</v>
      </c>
      <c r="J780" s="2">
        <v>0.28999999999999998</v>
      </c>
      <c r="K780" t="s">
        <v>17</v>
      </c>
      <c r="L780" t="s">
        <v>21</v>
      </c>
      <c r="M780" t="s">
        <v>52</v>
      </c>
      <c r="N780">
        <f>SalesData[[#This Row],[Quantity_Sold]]*SalesData[[#This Row],[Unit_Cost]]</f>
        <v>56285.789999999994</v>
      </c>
      <c r="O780">
        <f>SalesData[[#This Row],[Quantity_Sold]]*SalesData[[#This Row],[Unit_Price]]</f>
        <v>61159.099999999809</v>
      </c>
      <c r="P780">
        <f>SalesData[[#This Row],[Gross_sales]]*(1-SalesData[[#This Row],[Discount]])</f>
        <v>43422.960999999865</v>
      </c>
      <c r="Q780" s="2">
        <f>SalesData[[#This Row],[Sales_amount]]-SalesData[[#This Row],[Total_Cost]]</f>
        <v>-12862.829000000129</v>
      </c>
      <c r="R780" s="2">
        <f>SalesData[[#This Row],[Profit]]/SalesData[[#This Row],[Sales_amount]]</f>
        <v>-0.29622183065775198</v>
      </c>
      <c r="S780" s="2">
        <f>SalesData[[#This Row],[Unit_Price]]-SalesData[[#This Row],[Unit_Cost]]</f>
        <v>256.48999999999023</v>
      </c>
      <c r="T780" s="10">
        <f>SalesData[[#This Row],[Unit_Margin]]/SalesData[[#This Row],[Unit_Price]]</f>
        <v>7.9682500232996056E-2</v>
      </c>
      <c r="U780" s="2" t="str">
        <f>IF(SalesData[[#This Row],[Unit_Margin]]&lt;0, "Negative margin", "Positive margin")</f>
        <v>Positive margin</v>
      </c>
      <c r="V780" s="2" t="str">
        <f>IF(SalesData[[#This Row],[Profit]]&lt;0, "Loss", "Profit")</f>
        <v>Loss</v>
      </c>
      <c r="W780" s="2">
        <f>SalesData[[#This Row],[Unit_Price]]*(1-SalesData[[#This Row],[Discount]])</f>
        <v>2285.418999999993</v>
      </c>
      <c r="X780" s="2">
        <f>SalesData[[#This Row],[Effective_Unit_Price]]-SalesData[[#This Row],[Unit_Cost]]</f>
        <v>-676.99100000000681</v>
      </c>
      <c r="Y780" s="2" t="str">
        <f>IF(SalesData[[#This Row],[Effective_Unit_Margin]]&lt;0,"Loss per Unit","Positive per Unit")</f>
        <v>Loss per Unit</v>
      </c>
    </row>
    <row r="781" spans="1:25" x14ac:dyDescent="0.3">
      <c r="A781">
        <v>1082</v>
      </c>
      <c r="B781" s="1">
        <v>45136</v>
      </c>
      <c r="C781" t="s">
        <v>37</v>
      </c>
      <c r="D781" t="s">
        <v>33</v>
      </c>
      <c r="E781">
        <v>46</v>
      </c>
      <c r="F781" t="s">
        <v>25</v>
      </c>
      <c r="G781">
        <v>1102.69</v>
      </c>
      <c r="H781">
        <v>1437.12</v>
      </c>
      <c r="I781" t="s">
        <v>29</v>
      </c>
      <c r="J781" s="2">
        <v>0.11</v>
      </c>
      <c r="K781" t="s">
        <v>30</v>
      </c>
      <c r="L781" t="s">
        <v>18</v>
      </c>
      <c r="M781" t="s">
        <v>47</v>
      </c>
      <c r="N781">
        <f>SalesData[[#This Row],[Quantity_Sold]]*SalesData[[#This Row],[Unit_Cost]]</f>
        <v>50723.740000000005</v>
      </c>
      <c r="O781">
        <f>SalesData[[#This Row],[Quantity_Sold]]*SalesData[[#This Row],[Unit_Price]]</f>
        <v>66107.51999999999</v>
      </c>
      <c r="P781">
        <f>SalesData[[#This Row],[Gross_sales]]*(1-SalesData[[#This Row],[Discount]])</f>
        <v>58835.69279999999</v>
      </c>
      <c r="Q781" s="2">
        <f>SalesData[[#This Row],[Sales_amount]]-SalesData[[#This Row],[Total_Cost]]</f>
        <v>8111.9527999999846</v>
      </c>
      <c r="R781" s="2">
        <f>SalesData[[#This Row],[Profit]]/SalesData[[#This Row],[Sales_amount]]</f>
        <v>0.13787468820287244</v>
      </c>
      <c r="S781" s="2">
        <f>SalesData[[#This Row],[Unit_Price]]-SalesData[[#This Row],[Unit_Cost]]</f>
        <v>334.42999999999984</v>
      </c>
      <c r="T781" s="10">
        <f>SalesData[[#This Row],[Unit_Margin]]/SalesData[[#This Row],[Unit_Price]]</f>
        <v>0.23270847250055657</v>
      </c>
      <c r="U781" s="2" t="str">
        <f>IF(SalesData[[#This Row],[Unit_Margin]]&lt;0, "Negative margin", "Positive margin")</f>
        <v>Positive margin</v>
      </c>
      <c r="V781" s="2" t="str">
        <f>IF(SalesData[[#This Row],[Profit]]&lt;0, "Loss", "Profit")</f>
        <v>Profit</v>
      </c>
      <c r="W781" s="2">
        <f>SalesData[[#This Row],[Unit_Price]]*(1-SalesData[[#This Row],[Discount]])</f>
        <v>1279.0367999999999</v>
      </c>
      <c r="X781" s="2">
        <f>SalesData[[#This Row],[Effective_Unit_Price]]-SalesData[[#This Row],[Unit_Cost]]</f>
        <v>176.3467999999998</v>
      </c>
      <c r="Y781" s="2" t="str">
        <f>IF(SalesData[[#This Row],[Effective_Unit_Margin]]&lt;0,"Loss per Unit","Positive per Unit")</f>
        <v>Positive per Unit</v>
      </c>
    </row>
    <row r="782" spans="1:25" x14ac:dyDescent="0.3">
      <c r="A782">
        <v>1069</v>
      </c>
      <c r="B782" s="1">
        <v>45232</v>
      </c>
      <c r="C782" t="s">
        <v>32</v>
      </c>
      <c r="D782" t="s">
        <v>14</v>
      </c>
      <c r="E782">
        <v>23</v>
      </c>
      <c r="F782" t="s">
        <v>15</v>
      </c>
      <c r="G782">
        <v>530.24</v>
      </c>
      <c r="H782">
        <v>987.41</v>
      </c>
      <c r="I782" t="s">
        <v>16</v>
      </c>
      <c r="J782" s="2">
        <v>0.23</v>
      </c>
      <c r="K782" t="s">
        <v>30</v>
      </c>
      <c r="L782" t="s">
        <v>18</v>
      </c>
      <c r="M782" t="s">
        <v>52</v>
      </c>
      <c r="N782">
        <f>SalesData[[#This Row],[Quantity_Sold]]*SalesData[[#This Row],[Unit_Cost]]</f>
        <v>12195.52</v>
      </c>
      <c r="O782">
        <f>SalesData[[#This Row],[Quantity_Sold]]*SalesData[[#This Row],[Unit_Price]]</f>
        <v>22710.43</v>
      </c>
      <c r="P782">
        <f>SalesData[[#This Row],[Gross_sales]]*(1-SalesData[[#This Row],[Discount]])</f>
        <v>17487.0311</v>
      </c>
      <c r="Q782" s="2">
        <f>SalesData[[#This Row],[Sales_amount]]-SalesData[[#This Row],[Total_Cost]]</f>
        <v>5291.5110999999997</v>
      </c>
      <c r="R782" s="2">
        <f>SalesData[[#This Row],[Profit]]/SalesData[[#This Row],[Sales_amount]]</f>
        <v>0.30259631093124778</v>
      </c>
      <c r="S782" s="2">
        <f>SalesData[[#This Row],[Unit_Price]]-SalesData[[#This Row],[Unit_Cost]]</f>
        <v>457.16999999999996</v>
      </c>
      <c r="T782" s="10">
        <f>SalesData[[#This Row],[Unit_Margin]]/SalesData[[#This Row],[Unit_Price]]</f>
        <v>0.46299915941706077</v>
      </c>
      <c r="U782" s="2" t="str">
        <f>IF(SalesData[[#This Row],[Unit_Margin]]&lt;0, "Negative margin", "Positive margin")</f>
        <v>Positive margin</v>
      </c>
      <c r="V782" s="2" t="str">
        <f>IF(SalesData[[#This Row],[Profit]]&lt;0, "Loss", "Profit")</f>
        <v>Profit</v>
      </c>
      <c r="W782" s="2">
        <f>SalesData[[#This Row],[Unit_Price]]*(1-SalesData[[#This Row],[Discount]])</f>
        <v>760.3057</v>
      </c>
      <c r="X782" s="2">
        <f>SalesData[[#This Row],[Effective_Unit_Price]]-SalesData[[#This Row],[Unit_Cost]]</f>
        <v>230.06569999999999</v>
      </c>
      <c r="Y782" s="2" t="str">
        <f>IF(SalesData[[#This Row],[Effective_Unit_Margin]]&lt;0,"Loss per Unit","Positive per Unit")</f>
        <v>Positive per Unit</v>
      </c>
    </row>
    <row r="783" spans="1:25" x14ac:dyDescent="0.3">
      <c r="A783">
        <v>1047</v>
      </c>
      <c r="B783" s="1">
        <v>45196</v>
      </c>
      <c r="C783" t="s">
        <v>37</v>
      </c>
      <c r="D783" t="s">
        <v>14</v>
      </c>
      <c r="E783">
        <v>32</v>
      </c>
      <c r="F783" t="s">
        <v>34</v>
      </c>
      <c r="G783">
        <v>367.98</v>
      </c>
      <c r="H783">
        <v>806.14</v>
      </c>
      <c r="I783" t="s">
        <v>16</v>
      </c>
      <c r="J783" s="2">
        <v>0.22</v>
      </c>
      <c r="K783" t="s">
        <v>30</v>
      </c>
      <c r="L783" t="s">
        <v>21</v>
      </c>
      <c r="M783" t="s">
        <v>39</v>
      </c>
      <c r="N783">
        <f>SalesData[[#This Row],[Quantity_Sold]]*SalesData[[#This Row],[Unit_Cost]]</f>
        <v>11775.36</v>
      </c>
      <c r="O783">
        <f>SalesData[[#This Row],[Quantity_Sold]]*SalesData[[#This Row],[Unit_Price]]</f>
        <v>25796.48</v>
      </c>
      <c r="P783">
        <f>SalesData[[#This Row],[Gross_sales]]*(1-SalesData[[#This Row],[Discount]])</f>
        <v>20121.254400000002</v>
      </c>
      <c r="Q783" s="2">
        <f>SalesData[[#This Row],[Sales_amount]]-SalesData[[#This Row],[Total_Cost]]</f>
        <v>8345.894400000001</v>
      </c>
      <c r="R783" s="2">
        <f>SalesData[[#This Row],[Profit]]/SalesData[[#This Row],[Sales_amount]]</f>
        <v>0.41478002484775506</v>
      </c>
      <c r="S783" s="2">
        <f>SalesData[[#This Row],[Unit_Price]]-SalesData[[#This Row],[Unit_Cost]]</f>
        <v>438.15999999999997</v>
      </c>
      <c r="T783" s="10">
        <f>SalesData[[#This Row],[Unit_Margin]]/SalesData[[#This Row],[Unit_Price]]</f>
        <v>0.54352841938124885</v>
      </c>
      <c r="U783" s="2" t="str">
        <f>IF(SalesData[[#This Row],[Unit_Margin]]&lt;0, "Negative margin", "Positive margin")</f>
        <v>Positive margin</v>
      </c>
      <c r="V783" s="2" t="str">
        <f>IF(SalesData[[#This Row],[Profit]]&lt;0, "Loss", "Profit")</f>
        <v>Profit</v>
      </c>
      <c r="W783" s="2">
        <f>SalesData[[#This Row],[Unit_Price]]*(1-SalesData[[#This Row],[Discount]])</f>
        <v>628.78920000000005</v>
      </c>
      <c r="X783" s="2">
        <f>SalesData[[#This Row],[Effective_Unit_Price]]-SalesData[[#This Row],[Unit_Cost]]</f>
        <v>260.80920000000003</v>
      </c>
      <c r="Y783" s="2" t="str">
        <f>IF(SalesData[[#This Row],[Effective_Unit_Margin]]&lt;0,"Loss per Unit","Positive per Unit")</f>
        <v>Positive per Unit</v>
      </c>
    </row>
    <row r="784" spans="1:25" x14ac:dyDescent="0.3">
      <c r="A784">
        <v>1025</v>
      </c>
      <c r="B784" s="1">
        <v>45118</v>
      </c>
      <c r="C784" t="s">
        <v>32</v>
      </c>
      <c r="D784" t="s">
        <v>20</v>
      </c>
      <c r="E784">
        <v>40</v>
      </c>
      <c r="F784" t="s">
        <v>34</v>
      </c>
      <c r="G784">
        <v>2983.85</v>
      </c>
      <c r="H784">
        <v>3239.74</v>
      </c>
      <c r="I784" t="s">
        <v>29</v>
      </c>
      <c r="J784" s="2">
        <v>0.27</v>
      </c>
      <c r="K784" t="s">
        <v>30</v>
      </c>
      <c r="L784" t="s">
        <v>18</v>
      </c>
      <c r="M784" t="s">
        <v>36</v>
      </c>
      <c r="N784">
        <f>SalesData[[#This Row],[Quantity_Sold]]*SalesData[[#This Row],[Unit_Cost]]</f>
        <v>119354</v>
      </c>
      <c r="O784">
        <f>SalesData[[#This Row],[Quantity_Sold]]*SalesData[[#This Row],[Unit_Price]]</f>
        <v>129589.59999999999</v>
      </c>
      <c r="P784">
        <f>SalesData[[#This Row],[Gross_sales]]*(1-SalesData[[#This Row],[Discount]])</f>
        <v>94600.407999999996</v>
      </c>
      <c r="Q784" s="2">
        <f>SalesData[[#This Row],[Sales_amount]]-SalesData[[#This Row],[Total_Cost]]</f>
        <v>-24753.592000000004</v>
      </c>
      <c r="R784" s="2">
        <f>SalesData[[#This Row],[Profit]]/SalesData[[#This Row],[Sales_amount]]</f>
        <v>-0.26166474884548074</v>
      </c>
      <c r="S784" s="2">
        <f>SalesData[[#This Row],[Unit_Price]]-SalesData[[#This Row],[Unit_Cost]]</f>
        <v>255.88999999999987</v>
      </c>
      <c r="T784" s="10">
        <f>SalesData[[#This Row],[Unit_Margin]]/SalesData[[#This Row],[Unit_Price]]</f>
        <v>7.8984733342799082E-2</v>
      </c>
      <c r="U784" s="2" t="str">
        <f>IF(SalesData[[#This Row],[Unit_Margin]]&lt;0, "Negative margin", "Positive margin")</f>
        <v>Positive margin</v>
      </c>
      <c r="V784" s="2" t="str">
        <f>IF(SalesData[[#This Row],[Profit]]&lt;0, "Loss", "Profit")</f>
        <v>Loss</v>
      </c>
      <c r="W784" s="2">
        <f>SalesData[[#This Row],[Unit_Price]]*(1-SalesData[[#This Row],[Discount]])</f>
        <v>2365.0101999999997</v>
      </c>
      <c r="X784" s="2">
        <f>SalesData[[#This Row],[Effective_Unit_Price]]-SalesData[[#This Row],[Unit_Cost]]</f>
        <v>-618.8398000000002</v>
      </c>
      <c r="Y784" s="2" t="str">
        <f>IF(SalesData[[#This Row],[Effective_Unit_Margin]]&lt;0,"Loss per Unit","Positive per Unit")</f>
        <v>Loss per Unit</v>
      </c>
    </row>
    <row r="785" spans="1:25" x14ac:dyDescent="0.3">
      <c r="A785">
        <v>1066</v>
      </c>
      <c r="B785" s="1">
        <v>45101</v>
      </c>
      <c r="C785" t="s">
        <v>13</v>
      </c>
      <c r="D785" t="s">
        <v>20</v>
      </c>
      <c r="E785">
        <v>13</v>
      </c>
      <c r="F785" t="s">
        <v>15</v>
      </c>
      <c r="G785">
        <v>4133.92</v>
      </c>
      <c r="H785">
        <v>4358.37</v>
      </c>
      <c r="I785" t="s">
        <v>29</v>
      </c>
      <c r="J785" s="2">
        <v>0.13</v>
      </c>
      <c r="K785" t="s">
        <v>17</v>
      </c>
      <c r="L785" t="s">
        <v>21</v>
      </c>
      <c r="M785" t="s">
        <v>22</v>
      </c>
      <c r="N785">
        <f>SalesData[[#This Row],[Quantity_Sold]]*SalesData[[#This Row],[Unit_Cost]]</f>
        <v>53740.959999999999</v>
      </c>
      <c r="O785">
        <f>SalesData[[#This Row],[Quantity_Sold]]*SalesData[[#This Row],[Unit_Price]]</f>
        <v>56658.81</v>
      </c>
      <c r="P785">
        <f>SalesData[[#This Row],[Gross_sales]]*(1-SalesData[[#This Row],[Discount]])</f>
        <v>49293.164700000001</v>
      </c>
      <c r="Q785" s="2">
        <f>SalesData[[#This Row],[Sales_amount]]-SalesData[[#This Row],[Total_Cost]]</f>
        <v>-4447.795299999998</v>
      </c>
      <c r="R785" s="2">
        <f>SalesData[[#This Row],[Profit]]/SalesData[[#This Row],[Sales_amount]]</f>
        <v>-9.0231481932017202E-2</v>
      </c>
      <c r="S785" s="2">
        <f>SalesData[[#This Row],[Unit_Price]]-SalesData[[#This Row],[Unit_Cost]]</f>
        <v>224.44999999999982</v>
      </c>
      <c r="T785" s="10">
        <f>SalesData[[#This Row],[Unit_Margin]]/SalesData[[#This Row],[Unit_Price]]</f>
        <v>5.1498610719144959E-2</v>
      </c>
      <c r="U785" s="2" t="str">
        <f>IF(SalesData[[#This Row],[Unit_Margin]]&lt;0, "Negative margin", "Positive margin")</f>
        <v>Positive margin</v>
      </c>
      <c r="V785" s="2" t="str">
        <f>IF(SalesData[[#This Row],[Profit]]&lt;0, "Loss", "Profit")</f>
        <v>Loss</v>
      </c>
      <c r="W785" s="2">
        <f>SalesData[[#This Row],[Unit_Price]]*(1-SalesData[[#This Row],[Discount]])</f>
        <v>3791.7819</v>
      </c>
      <c r="X785" s="2">
        <f>SalesData[[#This Row],[Effective_Unit_Price]]-SalesData[[#This Row],[Unit_Cost]]</f>
        <v>-342.13810000000012</v>
      </c>
      <c r="Y785" s="2" t="str">
        <f>IF(SalesData[[#This Row],[Effective_Unit_Margin]]&lt;0,"Loss per Unit","Positive per Unit")</f>
        <v>Loss per Unit</v>
      </c>
    </row>
    <row r="786" spans="1:25" x14ac:dyDescent="0.3">
      <c r="A786">
        <v>1010</v>
      </c>
      <c r="B786" s="1">
        <v>45211</v>
      </c>
      <c r="C786" t="s">
        <v>32</v>
      </c>
      <c r="D786" t="s">
        <v>14</v>
      </c>
      <c r="E786">
        <v>20</v>
      </c>
      <c r="F786" t="s">
        <v>15</v>
      </c>
      <c r="G786">
        <v>4298.74</v>
      </c>
      <c r="H786">
        <v>4475.1899999999996</v>
      </c>
      <c r="I786" t="s">
        <v>16</v>
      </c>
      <c r="J786" s="2">
        <v>0.16</v>
      </c>
      <c r="K786" t="s">
        <v>17</v>
      </c>
      <c r="L786" t="s">
        <v>18</v>
      </c>
      <c r="M786" t="s">
        <v>52</v>
      </c>
      <c r="N786">
        <f>SalesData[[#This Row],[Quantity_Sold]]*SalesData[[#This Row],[Unit_Cost]]</f>
        <v>85974.799999999988</v>
      </c>
      <c r="O786">
        <f>SalesData[[#This Row],[Quantity_Sold]]*SalesData[[#This Row],[Unit_Price]]</f>
        <v>89503.799999999988</v>
      </c>
      <c r="P786">
        <f>SalesData[[#This Row],[Gross_sales]]*(1-SalesData[[#This Row],[Discount]])</f>
        <v>75183.191999999981</v>
      </c>
      <c r="Q786" s="2">
        <f>SalesData[[#This Row],[Sales_amount]]-SalesData[[#This Row],[Total_Cost]]</f>
        <v>-10791.608000000007</v>
      </c>
      <c r="R786" s="2">
        <f>SalesData[[#This Row],[Profit]]/SalesData[[#This Row],[Sales_amount]]</f>
        <v>-0.14353750769187892</v>
      </c>
      <c r="S786" s="2">
        <f>SalesData[[#This Row],[Unit_Price]]-SalesData[[#This Row],[Unit_Cost]]</f>
        <v>176.44999999999982</v>
      </c>
      <c r="T786" s="10">
        <f>SalesData[[#This Row],[Unit_Margin]]/SalesData[[#This Row],[Unit_Price]]</f>
        <v>3.9428493538821781E-2</v>
      </c>
      <c r="U786" s="2" t="str">
        <f>IF(SalesData[[#This Row],[Unit_Margin]]&lt;0, "Negative margin", "Positive margin")</f>
        <v>Positive margin</v>
      </c>
      <c r="V786" s="2" t="str">
        <f>IF(SalesData[[#This Row],[Profit]]&lt;0, "Loss", "Profit")</f>
        <v>Loss</v>
      </c>
      <c r="W786" s="2">
        <f>SalesData[[#This Row],[Unit_Price]]*(1-SalesData[[#This Row],[Discount]])</f>
        <v>3759.1595999999995</v>
      </c>
      <c r="X786" s="2">
        <f>SalesData[[#This Row],[Effective_Unit_Price]]-SalesData[[#This Row],[Unit_Cost]]</f>
        <v>-539.58040000000028</v>
      </c>
      <c r="Y786" s="2" t="str">
        <f>IF(SalesData[[#This Row],[Effective_Unit_Margin]]&lt;0,"Loss per Unit","Positive per Unit")</f>
        <v>Loss per Unit</v>
      </c>
    </row>
    <row r="787" spans="1:25" x14ac:dyDescent="0.3">
      <c r="A787">
        <v>1056</v>
      </c>
      <c r="B787" s="1">
        <v>45130</v>
      </c>
      <c r="C787" t="s">
        <v>13</v>
      </c>
      <c r="D787" t="s">
        <v>20</v>
      </c>
      <c r="E787">
        <v>35</v>
      </c>
      <c r="F787" t="s">
        <v>15</v>
      </c>
      <c r="G787">
        <v>2344.9299999999998</v>
      </c>
      <c r="H787">
        <v>2707.25</v>
      </c>
      <c r="I787" t="s">
        <v>29</v>
      </c>
      <c r="J787" s="2">
        <v>0.12</v>
      </c>
      <c r="K787" t="s">
        <v>30</v>
      </c>
      <c r="L787" t="s">
        <v>21</v>
      </c>
      <c r="M787" t="s">
        <v>22</v>
      </c>
      <c r="N787">
        <f>SalesData[[#This Row],[Quantity_Sold]]*SalesData[[#This Row],[Unit_Cost]]</f>
        <v>82072.549999999988</v>
      </c>
      <c r="O787">
        <f>SalesData[[#This Row],[Quantity_Sold]]*SalesData[[#This Row],[Unit_Price]]</f>
        <v>94753.75</v>
      </c>
      <c r="P787">
        <f>SalesData[[#This Row],[Gross_sales]]*(1-SalesData[[#This Row],[Discount]])</f>
        <v>83383.3</v>
      </c>
      <c r="Q787" s="2">
        <f>SalesData[[#This Row],[Sales_amount]]-SalesData[[#This Row],[Total_Cost]]</f>
        <v>1310.7500000000146</v>
      </c>
      <c r="R787" s="2">
        <f>SalesData[[#This Row],[Profit]]/SalesData[[#This Row],[Sales_amount]]</f>
        <v>1.5719574543104128E-2</v>
      </c>
      <c r="S787" s="2">
        <f>SalesData[[#This Row],[Unit_Price]]-SalesData[[#This Row],[Unit_Cost]]</f>
        <v>362.32000000000016</v>
      </c>
      <c r="T787" s="10">
        <f>SalesData[[#This Row],[Unit_Margin]]/SalesData[[#This Row],[Unit_Price]]</f>
        <v>0.13383322559793154</v>
      </c>
      <c r="U787" s="2" t="str">
        <f>IF(SalesData[[#This Row],[Unit_Margin]]&lt;0, "Negative margin", "Positive margin")</f>
        <v>Positive margin</v>
      </c>
      <c r="V787" s="2" t="str">
        <f>IF(SalesData[[#This Row],[Profit]]&lt;0, "Loss", "Profit")</f>
        <v>Profit</v>
      </c>
      <c r="W787" s="2">
        <f>SalesData[[#This Row],[Unit_Price]]*(1-SalesData[[#This Row],[Discount]])</f>
        <v>2382.38</v>
      </c>
      <c r="X787" s="2">
        <f>SalesData[[#This Row],[Effective_Unit_Price]]-SalesData[[#This Row],[Unit_Cost]]</f>
        <v>37.450000000000273</v>
      </c>
      <c r="Y787" s="2" t="str">
        <f>IF(SalesData[[#This Row],[Effective_Unit_Margin]]&lt;0,"Loss per Unit","Positive per Unit")</f>
        <v>Positive per Unit</v>
      </c>
    </row>
    <row r="788" spans="1:25" x14ac:dyDescent="0.3">
      <c r="A788">
        <v>1030</v>
      </c>
      <c r="B788" s="1">
        <v>45090</v>
      </c>
      <c r="C788" t="s">
        <v>32</v>
      </c>
      <c r="D788" t="s">
        <v>20</v>
      </c>
      <c r="E788">
        <v>5</v>
      </c>
      <c r="F788" t="s">
        <v>28</v>
      </c>
      <c r="G788">
        <v>3932.14</v>
      </c>
      <c r="H788">
        <v>4082.7599999999902</v>
      </c>
      <c r="I788" t="s">
        <v>29</v>
      </c>
      <c r="J788" s="2">
        <v>0.26</v>
      </c>
      <c r="K788" t="s">
        <v>30</v>
      </c>
      <c r="L788" t="s">
        <v>18</v>
      </c>
      <c r="M788" t="s">
        <v>36</v>
      </c>
      <c r="N788">
        <f>SalesData[[#This Row],[Quantity_Sold]]*SalesData[[#This Row],[Unit_Cost]]</f>
        <v>19660.7</v>
      </c>
      <c r="O788">
        <f>SalesData[[#This Row],[Quantity_Sold]]*SalesData[[#This Row],[Unit_Price]]</f>
        <v>20413.799999999952</v>
      </c>
      <c r="P788">
        <f>SalesData[[#This Row],[Gross_sales]]*(1-SalesData[[#This Row],[Discount]])</f>
        <v>15106.211999999965</v>
      </c>
      <c r="Q788" s="2">
        <f>SalesData[[#This Row],[Sales_amount]]-SalesData[[#This Row],[Total_Cost]]</f>
        <v>-4554.4880000000358</v>
      </c>
      <c r="R788" s="2">
        <f>SalesData[[#This Row],[Profit]]/SalesData[[#This Row],[Sales_amount]]</f>
        <v>-0.30149768850060138</v>
      </c>
      <c r="S788" s="2">
        <f>SalesData[[#This Row],[Unit_Price]]-SalesData[[#This Row],[Unit_Cost]]</f>
        <v>150.61999999999034</v>
      </c>
      <c r="T788" s="10">
        <f>SalesData[[#This Row],[Unit_Margin]]/SalesData[[#This Row],[Unit_Price]]</f>
        <v>3.6891710509554983E-2</v>
      </c>
      <c r="U788" s="2" t="str">
        <f>IF(SalesData[[#This Row],[Unit_Margin]]&lt;0, "Negative margin", "Positive margin")</f>
        <v>Positive margin</v>
      </c>
      <c r="V788" s="2" t="str">
        <f>IF(SalesData[[#This Row],[Profit]]&lt;0, "Loss", "Profit")</f>
        <v>Loss</v>
      </c>
      <c r="W788" s="2">
        <f>SalesData[[#This Row],[Unit_Price]]*(1-SalesData[[#This Row],[Discount]])</f>
        <v>3021.2423999999928</v>
      </c>
      <c r="X788" s="2">
        <f>SalesData[[#This Row],[Effective_Unit_Price]]-SalesData[[#This Row],[Unit_Cost]]</f>
        <v>-910.89760000000706</v>
      </c>
      <c r="Y788" s="2" t="str">
        <f>IF(SalesData[[#This Row],[Effective_Unit_Margin]]&lt;0,"Loss per Unit","Positive per Unit")</f>
        <v>Loss per Unit</v>
      </c>
    </row>
    <row r="789" spans="1:25" x14ac:dyDescent="0.3">
      <c r="A789">
        <v>1005</v>
      </c>
      <c r="B789" s="1">
        <v>45177</v>
      </c>
      <c r="C789" t="s">
        <v>37</v>
      </c>
      <c r="D789" t="s">
        <v>14</v>
      </c>
      <c r="E789">
        <v>9</v>
      </c>
      <c r="F789" t="s">
        <v>34</v>
      </c>
      <c r="G789">
        <v>4737.0600000000004</v>
      </c>
      <c r="H789">
        <v>4869.5</v>
      </c>
      <c r="I789" t="s">
        <v>29</v>
      </c>
      <c r="J789" s="2">
        <v>7.0000000000000007E-2</v>
      </c>
      <c r="K789" t="s">
        <v>17</v>
      </c>
      <c r="L789" t="s">
        <v>18</v>
      </c>
      <c r="M789" t="s">
        <v>39</v>
      </c>
      <c r="N789">
        <f>SalesData[[#This Row],[Quantity_Sold]]*SalesData[[#This Row],[Unit_Cost]]</f>
        <v>42633.54</v>
      </c>
      <c r="O789">
        <f>SalesData[[#This Row],[Quantity_Sold]]*SalesData[[#This Row],[Unit_Price]]</f>
        <v>43825.5</v>
      </c>
      <c r="P789">
        <f>SalesData[[#This Row],[Gross_sales]]*(1-SalesData[[#This Row],[Discount]])</f>
        <v>40757.714999999997</v>
      </c>
      <c r="Q789" s="2">
        <f>SalesData[[#This Row],[Sales_amount]]-SalesData[[#This Row],[Total_Cost]]</f>
        <v>-1875.8250000000044</v>
      </c>
      <c r="R789" s="2">
        <f>SalesData[[#This Row],[Profit]]/SalesData[[#This Row],[Sales_amount]]</f>
        <v>-4.6023801874074746E-2</v>
      </c>
      <c r="S789" s="2">
        <f>SalesData[[#This Row],[Unit_Price]]-SalesData[[#This Row],[Unit_Cost]]</f>
        <v>132.4399999999996</v>
      </c>
      <c r="T789" s="10">
        <f>SalesData[[#This Row],[Unit_Margin]]/SalesData[[#This Row],[Unit_Price]]</f>
        <v>2.7197864257110505E-2</v>
      </c>
      <c r="U789" s="2" t="str">
        <f>IF(SalesData[[#This Row],[Unit_Margin]]&lt;0, "Negative margin", "Positive margin")</f>
        <v>Positive margin</v>
      </c>
      <c r="V789" s="2" t="str">
        <f>IF(SalesData[[#This Row],[Profit]]&lt;0, "Loss", "Profit")</f>
        <v>Loss</v>
      </c>
      <c r="W789" s="2">
        <f>SalesData[[#This Row],[Unit_Price]]*(1-SalesData[[#This Row],[Discount]])</f>
        <v>4528.6349999999993</v>
      </c>
      <c r="X789" s="2">
        <f>SalesData[[#This Row],[Effective_Unit_Price]]-SalesData[[#This Row],[Unit_Cost]]</f>
        <v>-208.42500000000109</v>
      </c>
      <c r="Y789" s="2" t="str">
        <f>IF(SalesData[[#This Row],[Effective_Unit_Margin]]&lt;0,"Loss per Unit","Positive per Unit")</f>
        <v>Loss per Unit</v>
      </c>
    </row>
    <row r="790" spans="1:25" x14ac:dyDescent="0.3">
      <c r="A790">
        <v>1033</v>
      </c>
      <c r="B790" s="1">
        <v>45153</v>
      </c>
      <c r="C790" t="s">
        <v>37</v>
      </c>
      <c r="D790" t="s">
        <v>33</v>
      </c>
      <c r="E790">
        <v>29</v>
      </c>
      <c r="F790" t="s">
        <v>28</v>
      </c>
      <c r="G790">
        <v>1412.09</v>
      </c>
      <c r="H790">
        <v>1596.6499999999901</v>
      </c>
      <c r="I790" t="s">
        <v>16</v>
      </c>
      <c r="J790" s="2">
        <v>7.0000000000000007E-2</v>
      </c>
      <c r="K790" t="s">
        <v>17</v>
      </c>
      <c r="L790" t="s">
        <v>18</v>
      </c>
      <c r="M790" t="s">
        <v>47</v>
      </c>
      <c r="N790">
        <f>SalesData[[#This Row],[Quantity_Sold]]*SalesData[[#This Row],[Unit_Cost]]</f>
        <v>40950.61</v>
      </c>
      <c r="O790">
        <f>SalesData[[#This Row],[Quantity_Sold]]*SalesData[[#This Row],[Unit_Price]]</f>
        <v>46302.849999999715</v>
      </c>
      <c r="P790">
        <f>SalesData[[#This Row],[Gross_sales]]*(1-SalesData[[#This Row],[Discount]])</f>
        <v>43061.650499999734</v>
      </c>
      <c r="Q790" s="2">
        <f>SalesData[[#This Row],[Sales_amount]]-SalesData[[#This Row],[Total_Cost]]</f>
        <v>2111.0404999997336</v>
      </c>
      <c r="R790" s="2">
        <f>SalesData[[#This Row],[Profit]]/SalesData[[#This Row],[Sales_amount]]</f>
        <v>4.9023678272613974E-2</v>
      </c>
      <c r="S790" s="2">
        <f>SalesData[[#This Row],[Unit_Price]]-SalesData[[#This Row],[Unit_Cost]]</f>
        <v>184.55999999999017</v>
      </c>
      <c r="T790" s="10">
        <f>SalesData[[#This Row],[Unit_Margin]]/SalesData[[#This Row],[Unit_Price]]</f>
        <v>0.11559202079353102</v>
      </c>
      <c r="U790" s="2" t="str">
        <f>IF(SalesData[[#This Row],[Unit_Margin]]&lt;0, "Negative margin", "Positive margin")</f>
        <v>Positive margin</v>
      </c>
      <c r="V790" s="2" t="str">
        <f>IF(SalesData[[#This Row],[Profit]]&lt;0, "Loss", "Profit")</f>
        <v>Profit</v>
      </c>
      <c r="W790" s="2">
        <f>SalesData[[#This Row],[Unit_Price]]*(1-SalesData[[#This Row],[Discount]])</f>
        <v>1484.8844999999908</v>
      </c>
      <c r="X790" s="2">
        <f>SalesData[[#This Row],[Effective_Unit_Price]]-SalesData[[#This Row],[Unit_Cost]]</f>
        <v>72.794499999990876</v>
      </c>
      <c r="Y790" s="2" t="str">
        <f>IF(SalesData[[#This Row],[Effective_Unit_Margin]]&lt;0,"Loss per Unit","Positive per Unit")</f>
        <v>Positive per Unit</v>
      </c>
    </row>
    <row r="791" spans="1:25" x14ac:dyDescent="0.3">
      <c r="A791">
        <v>1065</v>
      </c>
      <c r="B791" s="1">
        <v>44933</v>
      </c>
      <c r="C791" t="s">
        <v>37</v>
      </c>
      <c r="D791" t="s">
        <v>14</v>
      </c>
      <c r="E791">
        <v>6</v>
      </c>
      <c r="F791" t="s">
        <v>28</v>
      </c>
      <c r="G791">
        <v>2019.9</v>
      </c>
      <c r="H791">
        <v>2116.7399999999998</v>
      </c>
      <c r="I791" t="s">
        <v>29</v>
      </c>
      <c r="J791" s="2">
        <v>0.11</v>
      </c>
      <c r="K791" t="s">
        <v>30</v>
      </c>
      <c r="L791" t="s">
        <v>18</v>
      </c>
      <c r="M791" t="s">
        <v>39</v>
      </c>
      <c r="N791">
        <f>SalesData[[#This Row],[Quantity_Sold]]*SalesData[[#This Row],[Unit_Cost]]</f>
        <v>12119.400000000001</v>
      </c>
      <c r="O791">
        <f>SalesData[[#This Row],[Quantity_Sold]]*SalesData[[#This Row],[Unit_Price]]</f>
        <v>12700.439999999999</v>
      </c>
      <c r="P791">
        <f>SalesData[[#This Row],[Gross_sales]]*(1-SalesData[[#This Row],[Discount]])</f>
        <v>11303.391599999999</v>
      </c>
      <c r="Q791" s="2">
        <f>SalesData[[#This Row],[Sales_amount]]-SalesData[[#This Row],[Total_Cost]]</f>
        <v>-816.00840000000244</v>
      </c>
      <c r="R791" s="2">
        <f>SalesData[[#This Row],[Profit]]/SalesData[[#This Row],[Sales_amount]]</f>
        <v>-7.2191465082038081E-2</v>
      </c>
      <c r="S791" s="2">
        <f>SalesData[[#This Row],[Unit_Price]]-SalesData[[#This Row],[Unit_Cost]]</f>
        <v>96.839999999999691</v>
      </c>
      <c r="T791" s="10">
        <f>SalesData[[#This Row],[Unit_Margin]]/SalesData[[#This Row],[Unit_Price]]</f>
        <v>4.5749596076986171E-2</v>
      </c>
      <c r="U791" s="2" t="str">
        <f>IF(SalesData[[#This Row],[Unit_Margin]]&lt;0, "Negative margin", "Positive margin")</f>
        <v>Positive margin</v>
      </c>
      <c r="V791" s="2" t="str">
        <f>IF(SalesData[[#This Row],[Profit]]&lt;0, "Loss", "Profit")</f>
        <v>Loss</v>
      </c>
      <c r="W791" s="2">
        <f>SalesData[[#This Row],[Unit_Price]]*(1-SalesData[[#This Row],[Discount]])</f>
        <v>1883.8985999999998</v>
      </c>
      <c r="X791" s="2">
        <f>SalesData[[#This Row],[Effective_Unit_Price]]-SalesData[[#This Row],[Unit_Cost]]</f>
        <v>-136.00140000000033</v>
      </c>
      <c r="Y791" s="2" t="str">
        <f>IF(SalesData[[#This Row],[Effective_Unit_Margin]]&lt;0,"Loss per Unit","Positive per Unit")</f>
        <v>Loss per Unit</v>
      </c>
    </row>
    <row r="792" spans="1:25" x14ac:dyDescent="0.3">
      <c r="A792">
        <v>1018</v>
      </c>
      <c r="B792" s="1">
        <v>44955</v>
      </c>
      <c r="C792" t="s">
        <v>23</v>
      </c>
      <c r="D792" t="s">
        <v>20</v>
      </c>
      <c r="E792">
        <v>25</v>
      </c>
      <c r="F792" t="s">
        <v>25</v>
      </c>
      <c r="G792">
        <v>4660.82</v>
      </c>
      <c r="H792">
        <v>5011.4299999999903</v>
      </c>
      <c r="I792" t="s">
        <v>29</v>
      </c>
      <c r="J792" s="2">
        <v>7.0000000000000007E-2</v>
      </c>
      <c r="K792" t="s">
        <v>26</v>
      </c>
      <c r="L792" t="s">
        <v>18</v>
      </c>
      <c r="M792" t="s">
        <v>46</v>
      </c>
      <c r="N792">
        <f>SalesData[[#This Row],[Quantity_Sold]]*SalesData[[#This Row],[Unit_Cost]]</f>
        <v>116520.5</v>
      </c>
      <c r="O792">
        <f>SalesData[[#This Row],[Quantity_Sold]]*SalesData[[#This Row],[Unit_Price]]</f>
        <v>125285.74999999975</v>
      </c>
      <c r="P792">
        <f>SalesData[[#This Row],[Gross_sales]]*(1-SalesData[[#This Row],[Discount]])</f>
        <v>116515.74749999976</v>
      </c>
      <c r="Q792" s="2">
        <f>SalesData[[#This Row],[Sales_amount]]-SalesData[[#This Row],[Total_Cost]]</f>
        <v>-4.752500000235159</v>
      </c>
      <c r="R792" s="2">
        <f>SalesData[[#This Row],[Profit]]/SalesData[[#This Row],[Sales_amount]]</f>
        <v>-4.0788477971487662E-5</v>
      </c>
      <c r="S792" s="2">
        <f>SalesData[[#This Row],[Unit_Price]]-SalesData[[#This Row],[Unit_Cost]]</f>
        <v>350.60999999999058</v>
      </c>
      <c r="T792" s="10">
        <f>SalesData[[#This Row],[Unit_Margin]]/SalesData[[#This Row],[Unit_Price]]</f>
        <v>6.9962066715486645E-2</v>
      </c>
      <c r="U792" s="2" t="str">
        <f>IF(SalesData[[#This Row],[Unit_Margin]]&lt;0, "Negative margin", "Positive margin")</f>
        <v>Positive margin</v>
      </c>
      <c r="V792" s="2" t="str">
        <f>IF(SalesData[[#This Row],[Profit]]&lt;0, "Loss", "Profit")</f>
        <v>Loss</v>
      </c>
      <c r="W792" s="2">
        <f>SalesData[[#This Row],[Unit_Price]]*(1-SalesData[[#This Row],[Discount]])</f>
        <v>4660.6298999999908</v>
      </c>
      <c r="X792" s="2">
        <f>SalesData[[#This Row],[Effective_Unit_Price]]-SalesData[[#This Row],[Unit_Cost]]</f>
        <v>-0.19010000000889704</v>
      </c>
      <c r="Y792" s="2" t="str">
        <f>IF(SalesData[[#This Row],[Effective_Unit_Margin]]&lt;0,"Loss per Unit","Positive per Unit")</f>
        <v>Loss per Unit</v>
      </c>
    </row>
    <row r="793" spans="1:25" x14ac:dyDescent="0.3">
      <c r="A793">
        <v>1096</v>
      </c>
      <c r="B793" s="1">
        <v>44959</v>
      </c>
      <c r="C793" t="s">
        <v>41</v>
      </c>
      <c r="D793" t="s">
        <v>33</v>
      </c>
      <c r="E793">
        <v>31</v>
      </c>
      <c r="F793" t="s">
        <v>34</v>
      </c>
      <c r="G793">
        <v>1724.24</v>
      </c>
      <c r="H793">
        <v>2036.2</v>
      </c>
      <c r="I793" t="s">
        <v>29</v>
      </c>
      <c r="J793" s="2">
        <v>0.17</v>
      </c>
      <c r="K793" t="s">
        <v>17</v>
      </c>
      <c r="L793" t="s">
        <v>18</v>
      </c>
      <c r="M793" t="s">
        <v>51</v>
      </c>
      <c r="N793">
        <f>SalesData[[#This Row],[Quantity_Sold]]*SalesData[[#This Row],[Unit_Cost]]</f>
        <v>53451.44</v>
      </c>
      <c r="O793">
        <f>SalesData[[#This Row],[Quantity_Sold]]*SalesData[[#This Row],[Unit_Price]]</f>
        <v>63122.200000000004</v>
      </c>
      <c r="P793">
        <f>SalesData[[#This Row],[Gross_sales]]*(1-SalesData[[#This Row],[Discount]])</f>
        <v>52391.425999999999</v>
      </c>
      <c r="Q793" s="2">
        <f>SalesData[[#This Row],[Sales_amount]]-SalesData[[#This Row],[Total_Cost]]</f>
        <v>-1060.0140000000029</v>
      </c>
      <c r="R793" s="2">
        <f>SalesData[[#This Row],[Profit]]/SalesData[[#This Row],[Sales_amount]]</f>
        <v>-2.0232585385249923E-2</v>
      </c>
      <c r="S793" s="2">
        <f>SalesData[[#This Row],[Unit_Price]]-SalesData[[#This Row],[Unit_Cost]]</f>
        <v>311.96000000000004</v>
      </c>
      <c r="T793" s="10">
        <f>SalesData[[#This Row],[Unit_Margin]]/SalesData[[#This Row],[Unit_Price]]</f>
        <v>0.15320695413024263</v>
      </c>
      <c r="U793" s="2" t="str">
        <f>IF(SalesData[[#This Row],[Unit_Margin]]&lt;0, "Negative margin", "Positive margin")</f>
        <v>Positive margin</v>
      </c>
      <c r="V793" s="2" t="str">
        <f>IF(SalesData[[#This Row],[Profit]]&lt;0, "Loss", "Profit")</f>
        <v>Loss</v>
      </c>
      <c r="W793" s="2">
        <f>SalesData[[#This Row],[Unit_Price]]*(1-SalesData[[#This Row],[Discount]])</f>
        <v>1690.046</v>
      </c>
      <c r="X793" s="2">
        <f>SalesData[[#This Row],[Effective_Unit_Price]]-SalesData[[#This Row],[Unit_Cost]]</f>
        <v>-34.19399999999996</v>
      </c>
      <c r="Y793" s="2" t="str">
        <f>IF(SalesData[[#This Row],[Effective_Unit_Margin]]&lt;0,"Loss per Unit","Positive per Unit")</f>
        <v>Loss per Unit</v>
      </c>
    </row>
    <row r="794" spans="1:25" x14ac:dyDescent="0.3">
      <c r="A794">
        <v>1049</v>
      </c>
      <c r="B794" s="1">
        <v>45060</v>
      </c>
      <c r="C794" t="s">
        <v>37</v>
      </c>
      <c r="D794" t="s">
        <v>24</v>
      </c>
      <c r="E794">
        <v>22</v>
      </c>
      <c r="F794" t="s">
        <v>34</v>
      </c>
      <c r="G794">
        <v>4573.6899999999996</v>
      </c>
      <c r="H794">
        <v>4820.2999999999902</v>
      </c>
      <c r="I794" t="s">
        <v>29</v>
      </c>
      <c r="J794" s="2">
        <v>0.04</v>
      </c>
      <c r="K794" t="s">
        <v>17</v>
      </c>
      <c r="L794" t="s">
        <v>18</v>
      </c>
      <c r="M794" t="s">
        <v>38</v>
      </c>
      <c r="N794">
        <f>SalesData[[#This Row],[Quantity_Sold]]*SalesData[[#This Row],[Unit_Cost]]</f>
        <v>100621.18</v>
      </c>
      <c r="O794">
        <f>SalesData[[#This Row],[Quantity_Sold]]*SalesData[[#This Row],[Unit_Price]]</f>
        <v>106046.59999999979</v>
      </c>
      <c r="P794">
        <f>SalesData[[#This Row],[Gross_sales]]*(1-SalesData[[#This Row],[Discount]])</f>
        <v>101804.73599999979</v>
      </c>
      <c r="Q794" s="2">
        <f>SalesData[[#This Row],[Sales_amount]]-SalesData[[#This Row],[Total_Cost]]</f>
        <v>1183.5559999997931</v>
      </c>
      <c r="R794" s="2">
        <f>SalesData[[#This Row],[Profit]]/SalesData[[#This Row],[Sales_amount]]</f>
        <v>1.1625745977081024E-2</v>
      </c>
      <c r="S794" s="2">
        <f>SalesData[[#This Row],[Unit_Price]]-SalesData[[#This Row],[Unit_Cost]]</f>
        <v>246.60999999999058</v>
      </c>
      <c r="T794" s="10">
        <f>SalesData[[#This Row],[Unit_Margin]]/SalesData[[#This Row],[Unit_Price]]</f>
        <v>5.1160716137997858E-2</v>
      </c>
      <c r="U794" s="2" t="str">
        <f>IF(SalesData[[#This Row],[Unit_Margin]]&lt;0, "Negative margin", "Positive margin")</f>
        <v>Positive margin</v>
      </c>
      <c r="V794" s="2" t="str">
        <f>IF(SalesData[[#This Row],[Profit]]&lt;0, "Loss", "Profit")</f>
        <v>Profit</v>
      </c>
      <c r="W794" s="2">
        <f>SalesData[[#This Row],[Unit_Price]]*(1-SalesData[[#This Row],[Discount]])</f>
        <v>4627.4879999999903</v>
      </c>
      <c r="X794" s="2">
        <f>SalesData[[#This Row],[Effective_Unit_Price]]-SalesData[[#This Row],[Unit_Cost]]</f>
        <v>53.797999999990679</v>
      </c>
      <c r="Y794" s="2" t="str">
        <f>IF(SalesData[[#This Row],[Effective_Unit_Margin]]&lt;0,"Loss per Unit","Positive per Unit")</f>
        <v>Positive per Unit</v>
      </c>
    </row>
    <row r="795" spans="1:25" x14ac:dyDescent="0.3">
      <c r="A795">
        <v>1011</v>
      </c>
      <c r="B795" s="1">
        <v>45005</v>
      </c>
      <c r="C795" t="s">
        <v>13</v>
      </c>
      <c r="D795" t="s">
        <v>33</v>
      </c>
      <c r="E795">
        <v>2</v>
      </c>
      <c r="F795" t="s">
        <v>15</v>
      </c>
      <c r="G795">
        <v>4906.17</v>
      </c>
      <c r="H795">
        <v>5107.43</v>
      </c>
      <c r="I795" t="s">
        <v>16</v>
      </c>
      <c r="J795" s="2">
        <v>0.1</v>
      </c>
      <c r="K795" t="s">
        <v>17</v>
      </c>
      <c r="L795" t="s">
        <v>18</v>
      </c>
      <c r="M795" t="s">
        <v>45</v>
      </c>
      <c r="N795">
        <f>SalesData[[#This Row],[Quantity_Sold]]*SalesData[[#This Row],[Unit_Cost]]</f>
        <v>9812.34</v>
      </c>
      <c r="O795">
        <f>SalesData[[#This Row],[Quantity_Sold]]*SalesData[[#This Row],[Unit_Price]]</f>
        <v>10214.86</v>
      </c>
      <c r="P795">
        <f>SalesData[[#This Row],[Gross_sales]]*(1-SalesData[[#This Row],[Discount]])</f>
        <v>9193.3740000000016</v>
      </c>
      <c r="Q795" s="2">
        <f>SalesData[[#This Row],[Sales_amount]]-SalesData[[#This Row],[Total_Cost]]</f>
        <v>-618.96599999999853</v>
      </c>
      <c r="R795" s="2">
        <f>SalesData[[#This Row],[Profit]]/SalesData[[#This Row],[Sales_amount]]</f>
        <v>-6.7327403410325573E-2</v>
      </c>
      <c r="S795" s="2">
        <f>SalesData[[#This Row],[Unit_Price]]-SalesData[[#This Row],[Unit_Cost]]</f>
        <v>201.26000000000022</v>
      </c>
      <c r="T795" s="10">
        <f>SalesData[[#This Row],[Unit_Margin]]/SalesData[[#This Row],[Unit_Price]]</f>
        <v>3.9405336930706872E-2</v>
      </c>
      <c r="U795" s="2" t="str">
        <f>IF(SalesData[[#This Row],[Unit_Margin]]&lt;0, "Negative margin", "Positive margin")</f>
        <v>Positive margin</v>
      </c>
      <c r="V795" s="2" t="str">
        <f>IF(SalesData[[#This Row],[Profit]]&lt;0, "Loss", "Profit")</f>
        <v>Loss</v>
      </c>
      <c r="W795" s="2">
        <f>SalesData[[#This Row],[Unit_Price]]*(1-SalesData[[#This Row],[Discount]])</f>
        <v>4596.6870000000008</v>
      </c>
      <c r="X795" s="2">
        <f>SalesData[[#This Row],[Effective_Unit_Price]]-SalesData[[#This Row],[Unit_Cost]]</f>
        <v>-309.48299999999927</v>
      </c>
      <c r="Y795" s="2" t="str">
        <f>IF(SalesData[[#This Row],[Effective_Unit_Margin]]&lt;0,"Loss per Unit","Positive per Unit")</f>
        <v>Loss per Unit</v>
      </c>
    </row>
    <row r="796" spans="1:25" x14ac:dyDescent="0.3">
      <c r="A796">
        <v>1085</v>
      </c>
      <c r="B796" s="1">
        <v>44984</v>
      </c>
      <c r="C796" t="s">
        <v>37</v>
      </c>
      <c r="D796" t="s">
        <v>20</v>
      </c>
      <c r="E796">
        <v>45</v>
      </c>
      <c r="F796" t="s">
        <v>15</v>
      </c>
      <c r="G796">
        <v>3325.96</v>
      </c>
      <c r="H796">
        <v>3781.4</v>
      </c>
      <c r="I796" t="s">
        <v>16</v>
      </c>
      <c r="J796" s="2">
        <v>0.27</v>
      </c>
      <c r="K796" t="s">
        <v>30</v>
      </c>
      <c r="L796" t="s">
        <v>18</v>
      </c>
      <c r="M796" t="s">
        <v>40</v>
      </c>
      <c r="N796">
        <f>SalesData[[#This Row],[Quantity_Sold]]*SalesData[[#This Row],[Unit_Cost]]</f>
        <v>149668.20000000001</v>
      </c>
      <c r="O796">
        <f>SalesData[[#This Row],[Quantity_Sold]]*SalesData[[#This Row],[Unit_Price]]</f>
        <v>170163</v>
      </c>
      <c r="P796">
        <f>SalesData[[#This Row],[Gross_sales]]*(1-SalesData[[#This Row],[Discount]])</f>
        <v>124218.98999999999</v>
      </c>
      <c r="Q796" s="2">
        <f>SalesData[[#This Row],[Sales_amount]]-SalesData[[#This Row],[Total_Cost]]</f>
        <v>-25449.210000000021</v>
      </c>
      <c r="R796" s="2">
        <f>SalesData[[#This Row],[Profit]]/SalesData[[#This Row],[Sales_amount]]</f>
        <v>-0.20487374756468413</v>
      </c>
      <c r="S796" s="2">
        <f>SalesData[[#This Row],[Unit_Price]]-SalesData[[#This Row],[Unit_Cost]]</f>
        <v>455.44000000000005</v>
      </c>
      <c r="T796" s="10">
        <f>SalesData[[#This Row],[Unit_Margin]]/SalesData[[#This Row],[Unit_Price]]</f>
        <v>0.12044216427778073</v>
      </c>
      <c r="U796" s="2" t="str">
        <f>IF(SalesData[[#This Row],[Unit_Margin]]&lt;0, "Negative margin", "Positive margin")</f>
        <v>Positive margin</v>
      </c>
      <c r="V796" s="2" t="str">
        <f>IF(SalesData[[#This Row],[Profit]]&lt;0, "Loss", "Profit")</f>
        <v>Loss</v>
      </c>
      <c r="W796" s="2">
        <f>SalesData[[#This Row],[Unit_Price]]*(1-SalesData[[#This Row],[Discount]])</f>
        <v>2760.422</v>
      </c>
      <c r="X796" s="2">
        <f>SalesData[[#This Row],[Effective_Unit_Price]]-SalesData[[#This Row],[Unit_Cost]]</f>
        <v>-565.53800000000001</v>
      </c>
      <c r="Y796" s="2" t="str">
        <f>IF(SalesData[[#This Row],[Effective_Unit_Margin]]&lt;0,"Loss per Unit","Positive per Unit")</f>
        <v>Loss per Unit</v>
      </c>
    </row>
    <row r="797" spans="1:25" x14ac:dyDescent="0.3">
      <c r="A797">
        <v>1026</v>
      </c>
      <c r="B797" s="1">
        <v>44952</v>
      </c>
      <c r="C797" t="s">
        <v>23</v>
      </c>
      <c r="D797" t="s">
        <v>33</v>
      </c>
      <c r="E797">
        <v>5</v>
      </c>
      <c r="F797" t="s">
        <v>25</v>
      </c>
      <c r="G797">
        <v>4093.61</v>
      </c>
      <c r="H797">
        <v>4117.88</v>
      </c>
      <c r="I797" t="s">
        <v>16</v>
      </c>
      <c r="J797" s="2">
        <v>0.12</v>
      </c>
      <c r="K797" t="s">
        <v>30</v>
      </c>
      <c r="L797" t="s">
        <v>21</v>
      </c>
      <c r="M797" t="s">
        <v>49</v>
      </c>
      <c r="N797">
        <f>SalesData[[#This Row],[Quantity_Sold]]*SalesData[[#This Row],[Unit_Cost]]</f>
        <v>20468.05</v>
      </c>
      <c r="O797">
        <f>SalesData[[#This Row],[Quantity_Sold]]*SalesData[[#This Row],[Unit_Price]]</f>
        <v>20589.400000000001</v>
      </c>
      <c r="P797">
        <f>SalesData[[#This Row],[Gross_sales]]*(1-SalesData[[#This Row],[Discount]])</f>
        <v>18118.672000000002</v>
      </c>
      <c r="Q797" s="2">
        <f>SalesData[[#This Row],[Sales_amount]]-SalesData[[#This Row],[Total_Cost]]</f>
        <v>-2349.377999999997</v>
      </c>
      <c r="R797" s="2">
        <f>SalesData[[#This Row],[Profit]]/SalesData[[#This Row],[Sales_amount]]</f>
        <v>-0.12966612564099603</v>
      </c>
      <c r="S797" s="2">
        <f>SalesData[[#This Row],[Unit_Price]]-SalesData[[#This Row],[Unit_Cost]]</f>
        <v>24.269999999999982</v>
      </c>
      <c r="T797" s="10">
        <f>SalesData[[#This Row],[Unit_Margin]]/SalesData[[#This Row],[Unit_Price]]</f>
        <v>5.8938094359233346E-3</v>
      </c>
      <c r="U797" s="2" t="str">
        <f>IF(SalesData[[#This Row],[Unit_Margin]]&lt;0, "Negative margin", "Positive margin")</f>
        <v>Positive margin</v>
      </c>
      <c r="V797" s="2" t="str">
        <f>IF(SalesData[[#This Row],[Profit]]&lt;0, "Loss", "Profit")</f>
        <v>Loss</v>
      </c>
      <c r="W797" s="2">
        <f>SalesData[[#This Row],[Unit_Price]]*(1-SalesData[[#This Row],[Discount]])</f>
        <v>3623.7344000000003</v>
      </c>
      <c r="X797" s="2">
        <f>SalesData[[#This Row],[Effective_Unit_Price]]-SalesData[[#This Row],[Unit_Cost]]</f>
        <v>-469.87559999999985</v>
      </c>
      <c r="Y797" s="2" t="str">
        <f>IF(SalesData[[#This Row],[Effective_Unit_Margin]]&lt;0,"Loss per Unit","Positive per Unit")</f>
        <v>Loss per Unit</v>
      </c>
    </row>
    <row r="798" spans="1:25" x14ac:dyDescent="0.3">
      <c r="A798">
        <v>1063</v>
      </c>
      <c r="B798" s="1">
        <v>45152</v>
      </c>
      <c r="C798" t="s">
        <v>13</v>
      </c>
      <c r="D798" t="s">
        <v>14</v>
      </c>
      <c r="E798">
        <v>27</v>
      </c>
      <c r="F798" t="s">
        <v>28</v>
      </c>
      <c r="G798">
        <v>3760.25</v>
      </c>
      <c r="H798">
        <v>4147.1099999999997</v>
      </c>
      <c r="I798" t="s">
        <v>29</v>
      </c>
      <c r="J798" s="2">
        <v>0.22</v>
      </c>
      <c r="K798" t="s">
        <v>17</v>
      </c>
      <c r="L798" t="s">
        <v>18</v>
      </c>
      <c r="M798" t="s">
        <v>19</v>
      </c>
      <c r="N798">
        <f>SalesData[[#This Row],[Quantity_Sold]]*SalesData[[#This Row],[Unit_Cost]]</f>
        <v>101526.75</v>
      </c>
      <c r="O798">
        <f>SalesData[[#This Row],[Quantity_Sold]]*SalesData[[#This Row],[Unit_Price]]</f>
        <v>111971.96999999999</v>
      </c>
      <c r="P798">
        <f>SalesData[[#This Row],[Gross_sales]]*(1-SalesData[[#This Row],[Discount]])</f>
        <v>87338.136599999998</v>
      </c>
      <c r="Q798" s="2">
        <f>SalesData[[#This Row],[Sales_amount]]-SalesData[[#This Row],[Total_Cost]]</f>
        <v>-14188.613400000002</v>
      </c>
      <c r="R798" s="2">
        <f>SalesData[[#This Row],[Profit]]/SalesData[[#This Row],[Sales_amount]]</f>
        <v>-0.1624561039695917</v>
      </c>
      <c r="S798" s="2">
        <f>SalesData[[#This Row],[Unit_Price]]-SalesData[[#This Row],[Unit_Cost]]</f>
        <v>386.85999999999967</v>
      </c>
      <c r="T798" s="10">
        <f>SalesData[[#This Row],[Unit_Margin]]/SalesData[[#This Row],[Unit_Price]]</f>
        <v>9.3284238903718425E-2</v>
      </c>
      <c r="U798" s="2" t="str">
        <f>IF(SalesData[[#This Row],[Unit_Margin]]&lt;0, "Negative margin", "Positive margin")</f>
        <v>Positive margin</v>
      </c>
      <c r="V798" s="2" t="str">
        <f>IF(SalesData[[#This Row],[Profit]]&lt;0, "Loss", "Profit")</f>
        <v>Loss</v>
      </c>
      <c r="W798" s="2">
        <f>SalesData[[#This Row],[Unit_Price]]*(1-SalesData[[#This Row],[Discount]])</f>
        <v>3234.7457999999997</v>
      </c>
      <c r="X798" s="2">
        <f>SalesData[[#This Row],[Effective_Unit_Price]]-SalesData[[#This Row],[Unit_Cost]]</f>
        <v>-525.50420000000031</v>
      </c>
      <c r="Y798" s="2" t="str">
        <f>IF(SalesData[[#This Row],[Effective_Unit_Margin]]&lt;0,"Loss per Unit","Positive per Unit")</f>
        <v>Loss per Unit</v>
      </c>
    </row>
    <row r="799" spans="1:25" x14ac:dyDescent="0.3">
      <c r="A799">
        <v>1089</v>
      </c>
      <c r="B799" s="1">
        <v>45211</v>
      </c>
      <c r="C799" t="s">
        <v>23</v>
      </c>
      <c r="D799" t="s">
        <v>24</v>
      </c>
      <c r="E799">
        <v>25</v>
      </c>
      <c r="F799" t="s">
        <v>15</v>
      </c>
      <c r="G799">
        <v>3512.69</v>
      </c>
      <c r="H799">
        <v>3964.63</v>
      </c>
      <c r="I799" t="s">
        <v>16</v>
      </c>
      <c r="J799" s="2">
        <v>0.03</v>
      </c>
      <c r="K799" t="s">
        <v>30</v>
      </c>
      <c r="L799" t="s">
        <v>21</v>
      </c>
      <c r="M799" t="s">
        <v>27</v>
      </c>
      <c r="N799">
        <f>SalesData[[#This Row],[Quantity_Sold]]*SalesData[[#This Row],[Unit_Cost]]</f>
        <v>87817.25</v>
      </c>
      <c r="O799">
        <f>SalesData[[#This Row],[Quantity_Sold]]*SalesData[[#This Row],[Unit_Price]]</f>
        <v>99115.75</v>
      </c>
      <c r="P799">
        <f>SalesData[[#This Row],[Gross_sales]]*(1-SalesData[[#This Row],[Discount]])</f>
        <v>96142.277499999997</v>
      </c>
      <c r="Q799" s="2">
        <f>SalesData[[#This Row],[Sales_amount]]-SalesData[[#This Row],[Total_Cost]]</f>
        <v>8325.0274999999965</v>
      </c>
      <c r="R799" s="2">
        <f>SalesData[[#This Row],[Profit]]/SalesData[[#This Row],[Sales_amount]]</f>
        <v>8.6590704073969918E-2</v>
      </c>
      <c r="S799" s="2">
        <f>SalesData[[#This Row],[Unit_Price]]-SalesData[[#This Row],[Unit_Cost]]</f>
        <v>451.94000000000005</v>
      </c>
      <c r="T799" s="10">
        <f>SalesData[[#This Row],[Unit_Margin]]/SalesData[[#This Row],[Unit_Price]]</f>
        <v>0.11399298295175087</v>
      </c>
      <c r="U799" s="2" t="str">
        <f>IF(SalesData[[#This Row],[Unit_Margin]]&lt;0, "Negative margin", "Positive margin")</f>
        <v>Positive margin</v>
      </c>
      <c r="V799" s="2" t="str">
        <f>IF(SalesData[[#This Row],[Profit]]&lt;0, "Loss", "Profit")</f>
        <v>Profit</v>
      </c>
      <c r="W799" s="2">
        <f>SalesData[[#This Row],[Unit_Price]]*(1-SalesData[[#This Row],[Discount]])</f>
        <v>3845.6911</v>
      </c>
      <c r="X799" s="2">
        <f>SalesData[[#This Row],[Effective_Unit_Price]]-SalesData[[#This Row],[Unit_Cost]]</f>
        <v>333.00109999999995</v>
      </c>
      <c r="Y799" s="2" t="str">
        <f>IF(SalesData[[#This Row],[Effective_Unit_Margin]]&lt;0,"Loss per Unit","Positive per Unit")</f>
        <v>Positive per Unit</v>
      </c>
    </row>
    <row r="800" spans="1:25" x14ac:dyDescent="0.3">
      <c r="A800">
        <v>1086</v>
      </c>
      <c r="B800" s="1">
        <v>44930</v>
      </c>
      <c r="C800" t="s">
        <v>13</v>
      </c>
      <c r="D800" t="s">
        <v>24</v>
      </c>
      <c r="E800">
        <v>8</v>
      </c>
      <c r="F800" t="s">
        <v>15</v>
      </c>
      <c r="G800">
        <v>1569.31</v>
      </c>
      <c r="H800">
        <v>1798.02</v>
      </c>
      <c r="I800" t="s">
        <v>29</v>
      </c>
      <c r="J800" s="2">
        <v>7.0000000000000007E-2</v>
      </c>
      <c r="K800" t="s">
        <v>30</v>
      </c>
      <c r="L800" t="s">
        <v>18</v>
      </c>
      <c r="M800" t="s">
        <v>31</v>
      </c>
      <c r="N800">
        <f>SalesData[[#This Row],[Quantity_Sold]]*SalesData[[#This Row],[Unit_Cost]]</f>
        <v>12554.48</v>
      </c>
      <c r="O800">
        <f>SalesData[[#This Row],[Quantity_Sold]]*SalesData[[#This Row],[Unit_Price]]</f>
        <v>14384.16</v>
      </c>
      <c r="P800">
        <f>SalesData[[#This Row],[Gross_sales]]*(1-SalesData[[#This Row],[Discount]])</f>
        <v>13377.2688</v>
      </c>
      <c r="Q800" s="2">
        <f>SalesData[[#This Row],[Sales_amount]]-SalesData[[#This Row],[Total_Cost]]</f>
        <v>822.78880000000026</v>
      </c>
      <c r="R800" s="2">
        <f>SalesData[[#This Row],[Profit]]/SalesData[[#This Row],[Sales_amount]]</f>
        <v>6.1506486286647712E-2</v>
      </c>
      <c r="S800" s="2">
        <f>SalesData[[#This Row],[Unit_Price]]-SalesData[[#This Row],[Unit_Cost]]</f>
        <v>228.71000000000004</v>
      </c>
      <c r="T800" s="10">
        <f>SalesData[[#This Row],[Unit_Margin]]/SalesData[[#This Row],[Unit_Price]]</f>
        <v>0.12720103224658239</v>
      </c>
      <c r="U800" s="2" t="str">
        <f>IF(SalesData[[#This Row],[Unit_Margin]]&lt;0, "Negative margin", "Positive margin")</f>
        <v>Positive margin</v>
      </c>
      <c r="V800" s="2" t="str">
        <f>IF(SalesData[[#This Row],[Profit]]&lt;0, "Loss", "Profit")</f>
        <v>Profit</v>
      </c>
      <c r="W800" s="2">
        <f>SalesData[[#This Row],[Unit_Price]]*(1-SalesData[[#This Row],[Discount]])</f>
        <v>1672.1586</v>
      </c>
      <c r="X800" s="2">
        <f>SalesData[[#This Row],[Effective_Unit_Price]]-SalesData[[#This Row],[Unit_Cost]]</f>
        <v>102.84860000000003</v>
      </c>
      <c r="Y800" s="2" t="str">
        <f>IF(SalesData[[#This Row],[Effective_Unit_Margin]]&lt;0,"Loss per Unit","Positive per Unit")</f>
        <v>Positive per Unit</v>
      </c>
    </row>
    <row r="801" spans="1:25" x14ac:dyDescent="0.3">
      <c r="A801">
        <v>1059</v>
      </c>
      <c r="B801" s="1">
        <v>45025</v>
      </c>
      <c r="C801" t="s">
        <v>32</v>
      </c>
      <c r="D801" t="s">
        <v>24</v>
      </c>
      <c r="E801">
        <v>1</v>
      </c>
      <c r="F801" t="s">
        <v>34</v>
      </c>
      <c r="G801">
        <v>332.62</v>
      </c>
      <c r="H801">
        <v>612.46</v>
      </c>
      <c r="I801" t="s">
        <v>16</v>
      </c>
      <c r="J801" s="2">
        <v>0.24</v>
      </c>
      <c r="K801" t="s">
        <v>17</v>
      </c>
      <c r="L801" t="s">
        <v>21</v>
      </c>
      <c r="M801" t="s">
        <v>43</v>
      </c>
      <c r="N801">
        <f>SalesData[[#This Row],[Quantity_Sold]]*SalesData[[#This Row],[Unit_Cost]]</f>
        <v>332.62</v>
      </c>
      <c r="O801">
        <f>SalesData[[#This Row],[Quantity_Sold]]*SalesData[[#This Row],[Unit_Price]]</f>
        <v>612.46</v>
      </c>
      <c r="P801">
        <f>SalesData[[#This Row],[Gross_sales]]*(1-SalesData[[#This Row],[Discount]])</f>
        <v>465.46960000000001</v>
      </c>
      <c r="Q801" s="2">
        <f>SalesData[[#This Row],[Sales_amount]]-SalesData[[#This Row],[Total_Cost]]</f>
        <v>132.84960000000001</v>
      </c>
      <c r="R801" s="2">
        <f>SalesData[[#This Row],[Profit]]/SalesData[[#This Row],[Sales_amount]]</f>
        <v>0.28540983127576969</v>
      </c>
      <c r="S801" s="2">
        <f>SalesData[[#This Row],[Unit_Price]]-SalesData[[#This Row],[Unit_Cost]]</f>
        <v>279.84000000000003</v>
      </c>
      <c r="T801" s="10">
        <f>SalesData[[#This Row],[Unit_Margin]]/SalesData[[#This Row],[Unit_Price]]</f>
        <v>0.45691147176958496</v>
      </c>
      <c r="U801" s="2" t="str">
        <f>IF(SalesData[[#This Row],[Unit_Margin]]&lt;0, "Negative margin", "Positive margin")</f>
        <v>Positive margin</v>
      </c>
      <c r="V801" s="2" t="str">
        <f>IF(SalesData[[#This Row],[Profit]]&lt;0, "Loss", "Profit")</f>
        <v>Profit</v>
      </c>
      <c r="W801" s="2">
        <f>SalesData[[#This Row],[Unit_Price]]*(1-SalesData[[#This Row],[Discount]])</f>
        <v>465.46960000000001</v>
      </c>
      <c r="X801" s="2">
        <f>SalesData[[#This Row],[Effective_Unit_Price]]-SalesData[[#This Row],[Unit_Cost]]</f>
        <v>132.84960000000001</v>
      </c>
      <c r="Y801" s="2" t="str">
        <f>IF(SalesData[[#This Row],[Effective_Unit_Margin]]&lt;0,"Loss per Unit","Positive per Unit")</f>
        <v>Positive per Unit</v>
      </c>
    </row>
    <row r="802" spans="1:25" x14ac:dyDescent="0.3">
      <c r="A802">
        <v>1027</v>
      </c>
      <c r="B802" s="1">
        <v>44965</v>
      </c>
      <c r="C802" t="s">
        <v>41</v>
      </c>
      <c r="D802" t="s">
        <v>20</v>
      </c>
      <c r="E802">
        <v>20</v>
      </c>
      <c r="F802" t="s">
        <v>34</v>
      </c>
      <c r="G802">
        <v>1748.11</v>
      </c>
      <c r="H802">
        <v>2220.9</v>
      </c>
      <c r="I802" t="s">
        <v>29</v>
      </c>
      <c r="J802" s="2">
        <v>0.23</v>
      </c>
      <c r="K802" t="s">
        <v>30</v>
      </c>
      <c r="L802" t="s">
        <v>21</v>
      </c>
      <c r="M802" t="s">
        <v>50</v>
      </c>
      <c r="N802">
        <f>SalesData[[#This Row],[Quantity_Sold]]*SalesData[[#This Row],[Unit_Cost]]</f>
        <v>34962.199999999997</v>
      </c>
      <c r="O802">
        <f>SalesData[[#This Row],[Quantity_Sold]]*SalesData[[#This Row],[Unit_Price]]</f>
        <v>44418</v>
      </c>
      <c r="P802">
        <f>SalesData[[#This Row],[Gross_sales]]*(1-SalesData[[#This Row],[Discount]])</f>
        <v>34201.86</v>
      </c>
      <c r="Q802" s="2">
        <f>SalesData[[#This Row],[Sales_amount]]-SalesData[[#This Row],[Total_Cost]]</f>
        <v>-760.33999999999651</v>
      </c>
      <c r="R802" s="2">
        <f>SalesData[[#This Row],[Profit]]/SalesData[[#This Row],[Sales_amount]]</f>
        <v>-2.2230954690768176E-2</v>
      </c>
      <c r="S802" s="2">
        <f>SalesData[[#This Row],[Unit_Price]]-SalesData[[#This Row],[Unit_Cost]]</f>
        <v>472.79000000000019</v>
      </c>
      <c r="T802" s="10">
        <f>SalesData[[#This Row],[Unit_Margin]]/SalesData[[#This Row],[Unit_Price]]</f>
        <v>0.21288216488810849</v>
      </c>
      <c r="U802" s="2" t="str">
        <f>IF(SalesData[[#This Row],[Unit_Margin]]&lt;0, "Negative margin", "Positive margin")</f>
        <v>Positive margin</v>
      </c>
      <c r="V802" s="2" t="str">
        <f>IF(SalesData[[#This Row],[Profit]]&lt;0, "Loss", "Profit")</f>
        <v>Loss</v>
      </c>
      <c r="W802" s="2">
        <f>SalesData[[#This Row],[Unit_Price]]*(1-SalesData[[#This Row],[Discount]])</f>
        <v>1710.0930000000001</v>
      </c>
      <c r="X802" s="2">
        <f>SalesData[[#This Row],[Effective_Unit_Price]]-SalesData[[#This Row],[Unit_Cost]]</f>
        <v>-38.016999999999825</v>
      </c>
      <c r="Y802" s="2" t="str">
        <f>IF(SalesData[[#This Row],[Effective_Unit_Margin]]&lt;0,"Loss per Unit","Positive per Unit")</f>
        <v>Loss per Unit</v>
      </c>
    </row>
    <row r="803" spans="1:25" x14ac:dyDescent="0.3">
      <c r="A803">
        <v>1049</v>
      </c>
      <c r="B803" s="1">
        <v>45197</v>
      </c>
      <c r="C803" t="s">
        <v>41</v>
      </c>
      <c r="D803" t="s">
        <v>20</v>
      </c>
      <c r="E803">
        <v>44</v>
      </c>
      <c r="F803" t="s">
        <v>15</v>
      </c>
      <c r="G803">
        <v>3351.33</v>
      </c>
      <c r="H803">
        <v>3465.35</v>
      </c>
      <c r="I803" t="s">
        <v>16</v>
      </c>
      <c r="J803" s="2">
        <v>0.12</v>
      </c>
      <c r="K803" t="s">
        <v>26</v>
      </c>
      <c r="L803" t="s">
        <v>18</v>
      </c>
      <c r="M803" t="s">
        <v>50</v>
      </c>
      <c r="N803">
        <f>SalesData[[#This Row],[Quantity_Sold]]*SalesData[[#This Row],[Unit_Cost]]</f>
        <v>147458.51999999999</v>
      </c>
      <c r="O803">
        <f>SalesData[[#This Row],[Quantity_Sold]]*SalesData[[#This Row],[Unit_Price]]</f>
        <v>152475.4</v>
      </c>
      <c r="P803">
        <f>SalesData[[#This Row],[Gross_sales]]*(1-SalesData[[#This Row],[Discount]])</f>
        <v>134178.35199999998</v>
      </c>
      <c r="Q803" s="2">
        <f>SalesData[[#This Row],[Sales_amount]]-SalesData[[#This Row],[Total_Cost]]</f>
        <v>-13280.168000000005</v>
      </c>
      <c r="R803" s="2">
        <f>SalesData[[#This Row],[Profit]]/SalesData[[#This Row],[Sales_amount]]</f>
        <v>-9.8973998428599025E-2</v>
      </c>
      <c r="S803" s="2">
        <f>SalesData[[#This Row],[Unit_Price]]-SalesData[[#This Row],[Unit_Cost]]</f>
        <v>114.01999999999998</v>
      </c>
      <c r="T803" s="10">
        <f>SalesData[[#This Row],[Unit_Margin]]/SalesData[[#This Row],[Unit_Price]]</f>
        <v>3.2902881382832899E-2</v>
      </c>
      <c r="U803" s="2" t="str">
        <f>IF(SalesData[[#This Row],[Unit_Margin]]&lt;0, "Negative margin", "Positive margin")</f>
        <v>Positive margin</v>
      </c>
      <c r="V803" s="2" t="str">
        <f>IF(SalesData[[#This Row],[Profit]]&lt;0, "Loss", "Profit")</f>
        <v>Loss</v>
      </c>
      <c r="W803" s="2">
        <f>SalesData[[#This Row],[Unit_Price]]*(1-SalesData[[#This Row],[Discount]])</f>
        <v>3049.5079999999998</v>
      </c>
      <c r="X803" s="2">
        <f>SalesData[[#This Row],[Effective_Unit_Price]]-SalesData[[#This Row],[Unit_Cost]]</f>
        <v>-301.82200000000012</v>
      </c>
      <c r="Y803" s="2" t="str">
        <f>IF(SalesData[[#This Row],[Effective_Unit_Margin]]&lt;0,"Loss per Unit","Positive per Unit")</f>
        <v>Loss per Unit</v>
      </c>
    </row>
    <row r="804" spans="1:25" x14ac:dyDescent="0.3">
      <c r="A804">
        <v>1077</v>
      </c>
      <c r="B804" s="1">
        <v>45211</v>
      </c>
      <c r="C804" t="s">
        <v>23</v>
      </c>
      <c r="D804" t="s">
        <v>24</v>
      </c>
      <c r="E804">
        <v>23</v>
      </c>
      <c r="F804" t="s">
        <v>34</v>
      </c>
      <c r="G804">
        <v>557.52</v>
      </c>
      <c r="H804">
        <v>822.39</v>
      </c>
      <c r="I804" t="s">
        <v>16</v>
      </c>
      <c r="J804" s="2">
        <v>0.28999999999999998</v>
      </c>
      <c r="K804" t="s">
        <v>30</v>
      </c>
      <c r="L804" t="s">
        <v>18</v>
      </c>
      <c r="M804" t="s">
        <v>27</v>
      </c>
      <c r="N804">
        <f>SalesData[[#This Row],[Quantity_Sold]]*SalesData[[#This Row],[Unit_Cost]]</f>
        <v>12822.96</v>
      </c>
      <c r="O804">
        <f>SalesData[[#This Row],[Quantity_Sold]]*SalesData[[#This Row],[Unit_Price]]</f>
        <v>18914.97</v>
      </c>
      <c r="P804">
        <f>SalesData[[#This Row],[Gross_sales]]*(1-SalesData[[#This Row],[Discount]])</f>
        <v>13429.628699999999</v>
      </c>
      <c r="Q804" s="2">
        <f>SalesData[[#This Row],[Sales_amount]]-SalesData[[#This Row],[Total_Cost]]</f>
        <v>606.66870000000017</v>
      </c>
      <c r="R804" s="2">
        <f>SalesData[[#This Row],[Profit]]/SalesData[[#This Row],[Sales_amount]]</f>
        <v>4.5173899707294234E-2</v>
      </c>
      <c r="S804" s="2">
        <f>SalesData[[#This Row],[Unit_Price]]-SalesData[[#This Row],[Unit_Cost]]</f>
        <v>264.87</v>
      </c>
      <c r="T804" s="10">
        <f>SalesData[[#This Row],[Unit_Margin]]/SalesData[[#This Row],[Unit_Price]]</f>
        <v>0.32207346879217891</v>
      </c>
      <c r="U804" s="2" t="str">
        <f>IF(SalesData[[#This Row],[Unit_Margin]]&lt;0, "Negative margin", "Positive margin")</f>
        <v>Positive margin</v>
      </c>
      <c r="V804" s="2" t="str">
        <f>IF(SalesData[[#This Row],[Profit]]&lt;0, "Loss", "Profit")</f>
        <v>Profit</v>
      </c>
      <c r="W804" s="2">
        <f>SalesData[[#This Row],[Unit_Price]]*(1-SalesData[[#This Row],[Discount]])</f>
        <v>583.89689999999996</v>
      </c>
      <c r="X804" s="2">
        <f>SalesData[[#This Row],[Effective_Unit_Price]]-SalesData[[#This Row],[Unit_Cost]]</f>
        <v>26.376899999999978</v>
      </c>
      <c r="Y804" s="2" t="str">
        <f>IF(SalesData[[#This Row],[Effective_Unit_Margin]]&lt;0,"Loss per Unit","Positive per Unit")</f>
        <v>Positive per Unit</v>
      </c>
    </row>
    <row r="805" spans="1:25" x14ac:dyDescent="0.3">
      <c r="A805">
        <v>1033</v>
      </c>
      <c r="B805" s="1">
        <v>45083</v>
      </c>
      <c r="C805" t="s">
        <v>41</v>
      </c>
      <c r="D805" t="s">
        <v>33</v>
      </c>
      <c r="E805">
        <v>32</v>
      </c>
      <c r="F805" t="s">
        <v>25</v>
      </c>
      <c r="G805">
        <v>108.99</v>
      </c>
      <c r="H805">
        <v>351.6</v>
      </c>
      <c r="I805" t="s">
        <v>16</v>
      </c>
      <c r="J805" s="2">
        <v>0.27</v>
      </c>
      <c r="K805" t="s">
        <v>30</v>
      </c>
      <c r="L805" t="s">
        <v>21</v>
      </c>
      <c r="M805" t="s">
        <v>51</v>
      </c>
      <c r="N805">
        <f>SalesData[[#This Row],[Quantity_Sold]]*SalesData[[#This Row],[Unit_Cost]]</f>
        <v>3487.68</v>
      </c>
      <c r="O805">
        <f>SalesData[[#This Row],[Quantity_Sold]]*SalesData[[#This Row],[Unit_Price]]</f>
        <v>11251.2</v>
      </c>
      <c r="P805">
        <f>SalesData[[#This Row],[Gross_sales]]*(1-SalesData[[#This Row],[Discount]])</f>
        <v>8213.3760000000002</v>
      </c>
      <c r="Q805" s="2">
        <f>SalesData[[#This Row],[Sales_amount]]-SalesData[[#This Row],[Total_Cost]]</f>
        <v>4725.6959999999999</v>
      </c>
      <c r="R805" s="2">
        <f>SalesData[[#This Row],[Profit]]/SalesData[[#This Row],[Sales_amount]]</f>
        <v>0.57536584225536491</v>
      </c>
      <c r="S805" s="2">
        <f>SalesData[[#This Row],[Unit_Price]]-SalesData[[#This Row],[Unit_Cost]]</f>
        <v>242.61</v>
      </c>
      <c r="T805" s="10">
        <f>SalesData[[#This Row],[Unit_Margin]]/SalesData[[#This Row],[Unit_Price]]</f>
        <v>0.69001706484641634</v>
      </c>
      <c r="U805" s="2" t="str">
        <f>IF(SalesData[[#This Row],[Unit_Margin]]&lt;0, "Negative margin", "Positive margin")</f>
        <v>Positive margin</v>
      </c>
      <c r="V805" s="2" t="str">
        <f>IF(SalesData[[#This Row],[Profit]]&lt;0, "Loss", "Profit")</f>
        <v>Profit</v>
      </c>
      <c r="W805" s="2">
        <f>SalesData[[#This Row],[Unit_Price]]*(1-SalesData[[#This Row],[Discount]])</f>
        <v>256.66800000000001</v>
      </c>
      <c r="X805" s="2">
        <f>SalesData[[#This Row],[Effective_Unit_Price]]-SalesData[[#This Row],[Unit_Cost]]</f>
        <v>147.678</v>
      </c>
      <c r="Y805" s="2" t="str">
        <f>IF(SalesData[[#This Row],[Effective_Unit_Margin]]&lt;0,"Loss per Unit","Positive per Unit")</f>
        <v>Positive per Unit</v>
      </c>
    </row>
    <row r="806" spans="1:25" x14ac:dyDescent="0.3">
      <c r="A806">
        <v>1098</v>
      </c>
      <c r="B806" s="1">
        <v>45001</v>
      </c>
      <c r="C806" t="s">
        <v>23</v>
      </c>
      <c r="D806" t="s">
        <v>24</v>
      </c>
      <c r="E806">
        <v>11</v>
      </c>
      <c r="F806" t="s">
        <v>15</v>
      </c>
      <c r="G806">
        <v>741.48</v>
      </c>
      <c r="H806">
        <v>878.09</v>
      </c>
      <c r="I806" t="s">
        <v>29</v>
      </c>
      <c r="J806" s="2">
        <v>0.28999999999999998</v>
      </c>
      <c r="K806" t="s">
        <v>17</v>
      </c>
      <c r="L806" t="s">
        <v>21</v>
      </c>
      <c r="M806" t="s">
        <v>27</v>
      </c>
      <c r="N806">
        <f>SalesData[[#This Row],[Quantity_Sold]]*SalesData[[#This Row],[Unit_Cost]]</f>
        <v>8156.2800000000007</v>
      </c>
      <c r="O806">
        <f>SalesData[[#This Row],[Quantity_Sold]]*SalesData[[#This Row],[Unit_Price]]</f>
        <v>9658.99</v>
      </c>
      <c r="P806">
        <f>SalesData[[#This Row],[Gross_sales]]*(1-SalesData[[#This Row],[Discount]])</f>
        <v>6857.8828999999996</v>
      </c>
      <c r="Q806" s="2">
        <f>SalesData[[#This Row],[Sales_amount]]-SalesData[[#This Row],[Total_Cost]]</f>
        <v>-1298.397100000001</v>
      </c>
      <c r="R806" s="2">
        <f>SalesData[[#This Row],[Profit]]/SalesData[[#This Row],[Sales_amount]]</f>
        <v>-0.18932914412988899</v>
      </c>
      <c r="S806" s="2">
        <f>SalesData[[#This Row],[Unit_Price]]-SalesData[[#This Row],[Unit_Cost]]</f>
        <v>136.61000000000001</v>
      </c>
      <c r="T806" s="10">
        <f>SalesData[[#This Row],[Unit_Margin]]/SalesData[[#This Row],[Unit_Price]]</f>
        <v>0.15557630766777894</v>
      </c>
      <c r="U806" s="2" t="str">
        <f>IF(SalesData[[#This Row],[Unit_Margin]]&lt;0, "Negative margin", "Positive margin")</f>
        <v>Positive margin</v>
      </c>
      <c r="V806" s="2" t="str">
        <f>IF(SalesData[[#This Row],[Profit]]&lt;0, "Loss", "Profit")</f>
        <v>Loss</v>
      </c>
      <c r="W806" s="2">
        <f>SalesData[[#This Row],[Unit_Price]]*(1-SalesData[[#This Row],[Discount]])</f>
        <v>623.44389999999999</v>
      </c>
      <c r="X806" s="2">
        <f>SalesData[[#This Row],[Effective_Unit_Price]]-SalesData[[#This Row],[Unit_Cost]]</f>
        <v>-118.03610000000003</v>
      </c>
      <c r="Y806" s="2" t="str">
        <f>IF(SalesData[[#This Row],[Effective_Unit_Margin]]&lt;0,"Loss per Unit","Positive per Unit")</f>
        <v>Loss per Unit</v>
      </c>
    </row>
    <row r="807" spans="1:25" x14ac:dyDescent="0.3">
      <c r="A807">
        <v>1099</v>
      </c>
      <c r="B807" s="1">
        <v>45214</v>
      </c>
      <c r="C807" t="s">
        <v>23</v>
      </c>
      <c r="D807" t="s">
        <v>33</v>
      </c>
      <c r="E807">
        <v>39</v>
      </c>
      <c r="F807" t="s">
        <v>34</v>
      </c>
      <c r="G807">
        <v>3592.89</v>
      </c>
      <c r="H807">
        <v>4004</v>
      </c>
      <c r="I807" t="s">
        <v>29</v>
      </c>
      <c r="J807" s="2">
        <v>0.13</v>
      </c>
      <c r="K807" t="s">
        <v>17</v>
      </c>
      <c r="L807" t="s">
        <v>18</v>
      </c>
      <c r="M807" t="s">
        <v>49</v>
      </c>
      <c r="N807">
        <f>SalesData[[#This Row],[Quantity_Sold]]*SalesData[[#This Row],[Unit_Cost]]</f>
        <v>140122.71</v>
      </c>
      <c r="O807">
        <f>SalesData[[#This Row],[Quantity_Sold]]*SalesData[[#This Row],[Unit_Price]]</f>
        <v>156156</v>
      </c>
      <c r="P807">
        <f>SalesData[[#This Row],[Gross_sales]]*(1-SalesData[[#This Row],[Discount]])</f>
        <v>135855.72</v>
      </c>
      <c r="Q807" s="2">
        <f>SalesData[[#This Row],[Sales_amount]]-SalesData[[#This Row],[Total_Cost]]</f>
        <v>-4266.9899999999907</v>
      </c>
      <c r="R807" s="2">
        <f>SalesData[[#This Row],[Profit]]/SalesData[[#This Row],[Sales_amount]]</f>
        <v>-3.1408246925488235E-2</v>
      </c>
      <c r="S807" s="2">
        <f>SalesData[[#This Row],[Unit_Price]]-SalesData[[#This Row],[Unit_Cost]]</f>
        <v>411.11000000000013</v>
      </c>
      <c r="T807" s="10">
        <f>SalesData[[#This Row],[Unit_Margin]]/SalesData[[#This Row],[Unit_Price]]</f>
        <v>0.10267482517482521</v>
      </c>
      <c r="U807" s="2" t="str">
        <f>IF(SalesData[[#This Row],[Unit_Margin]]&lt;0, "Negative margin", "Positive margin")</f>
        <v>Positive margin</v>
      </c>
      <c r="V807" s="2" t="str">
        <f>IF(SalesData[[#This Row],[Profit]]&lt;0, "Loss", "Profit")</f>
        <v>Loss</v>
      </c>
      <c r="W807" s="2">
        <f>SalesData[[#This Row],[Unit_Price]]*(1-SalesData[[#This Row],[Discount]])</f>
        <v>3483.48</v>
      </c>
      <c r="X807" s="2">
        <f>SalesData[[#This Row],[Effective_Unit_Price]]-SalesData[[#This Row],[Unit_Cost]]</f>
        <v>-109.40999999999985</v>
      </c>
      <c r="Y807" s="2" t="str">
        <f>IF(SalesData[[#This Row],[Effective_Unit_Margin]]&lt;0,"Loss per Unit","Positive per Unit")</f>
        <v>Loss per Unit</v>
      </c>
    </row>
    <row r="808" spans="1:25" x14ac:dyDescent="0.3">
      <c r="A808">
        <v>1001</v>
      </c>
      <c r="B808" s="1">
        <v>45056</v>
      </c>
      <c r="C808" t="s">
        <v>23</v>
      </c>
      <c r="D808" t="s">
        <v>33</v>
      </c>
      <c r="E808">
        <v>47</v>
      </c>
      <c r="F808" t="s">
        <v>25</v>
      </c>
      <c r="G808">
        <v>4865.33</v>
      </c>
      <c r="H808">
        <v>5316.13</v>
      </c>
      <c r="I808" t="s">
        <v>29</v>
      </c>
      <c r="J808" s="2">
        <v>0.06</v>
      </c>
      <c r="K808" t="s">
        <v>26</v>
      </c>
      <c r="L808" t="s">
        <v>18</v>
      </c>
      <c r="M808" t="s">
        <v>49</v>
      </c>
      <c r="N808">
        <f>SalesData[[#This Row],[Quantity_Sold]]*SalesData[[#This Row],[Unit_Cost]]</f>
        <v>228670.51</v>
      </c>
      <c r="O808">
        <f>SalesData[[#This Row],[Quantity_Sold]]*SalesData[[#This Row],[Unit_Price]]</f>
        <v>249858.11000000002</v>
      </c>
      <c r="P808">
        <f>SalesData[[#This Row],[Gross_sales]]*(1-SalesData[[#This Row],[Discount]])</f>
        <v>234866.62340000001</v>
      </c>
      <c r="Q808" s="2">
        <f>SalesData[[#This Row],[Sales_amount]]-SalesData[[#This Row],[Total_Cost]]</f>
        <v>6196.113400000002</v>
      </c>
      <c r="R808" s="2">
        <f>SalesData[[#This Row],[Profit]]/SalesData[[#This Row],[Sales_amount]]</f>
        <v>2.6381413034782027E-2</v>
      </c>
      <c r="S808" s="2">
        <f>SalesData[[#This Row],[Unit_Price]]-SalesData[[#This Row],[Unit_Cost]]</f>
        <v>450.80000000000018</v>
      </c>
      <c r="T808" s="10">
        <f>SalesData[[#This Row],[Unit_Margin]]/SalesData[[#This Row],[Unit_Price]]</f>
        <v>8.4798528252695127E-2</v>
      </c>
      <c r="U808" s="2" t="str">
        <f>IF(SalesData[[#This Row],[Unit_Margin]]&lt;0, "Negative margin", "Positive margin")</f>
        <v>Positive margin</v>
      </c>
      <c r="V808" s="2" t="str">
        <f>IF(SalesData[[#This Row],[Profit]]&lt;0, "Loss", "Profit")</f>
        <v>Profit</v>
      </c>
      <c r="W808" s="2">
        <f>SalesData[[#This Row],[Unit_Price]]*(1-SalesData[[#This Row],[Discount]])</f>
        <v>4997.1621999999998</v>
      </c>
      <c r="X808" s="2">
        <f>SalesData[[#This Row],[Effective_Unit_Price]]-SalesData[[#This Row],[Unit_Cost]]</f>
        <v>131.83219999999983</v>
      </c>
      <c r="Y808" s="2" t="str">
        <f>IF(SalesData[[#This Row],[Effective_Unit_Margin]]&lt;0,"Loss per Unit","Positive per Unit")</f>
        <v>Positive per Unit</v>
      </c>
    </row>
    <row r="809" spans="1:25" x14ac:dyDescent="0.3">
      <c r="A809">
        <v>1021</v>
      </c>
      <c r="B809" s="1">
        <v>45101</v>
      </c>
      <c r="C809" t="s">
        <v>41</v>
      </c>
      <c r="D809" t="s">
        <v>20</v>
      </c>
      <c r="E809">
        <v>24</v>
      </c>
      <c r="F809" t="s">
        <v>34</v>
      </c>
      <c r="G809">
        <v>4916.17</v>
      </c>
      <c r="H809">
        <v>5309.32</v>
      </c>
      <c r="I809" t="s">
        <v>16</v>
      </c>
      <c r="J809" s="2">
        <v>0.19</v>
      </c>
      <c r="K809" t="s">
        <v>30</v>
      </c>
      <c r="L809" t="s">
        <v>18</v>
      </c>
      <c r="M809" t="s">
        <v>50</v>
      </c>
      <c r="N809">
        <f>SalesData[[#This Row],[Quantity_Sold]]*SalesData[[#This Row],[Unit_Cost]]</f>
        <v>117988.08</v>
      </c>
      <c r="O809">
        <f>SalesData[[#This Row],[Quantity_Sold]]*SalesData[[#This Row],[Unit_Price]]</f>
        <v>127423.67999999999</v>
      </c>
      <c r="P809">
        <f>SalesData[[#This Row],[Gross_sales]]*(1-SalesData[[#This Row],[Discount]])</f>
        <v>103213.1808</v>
      </c>
      <c r="Q809" s="2">
        <f>SalesData[[#This Row],[Sales_amount]]-SalesData[[#This Row],[Total_Cost]]</f>
        <v>-14774.8992</v>
      </c>
      <c r="R809" s="2">
        <f>SalesData[[#This Row],[Profit]]/SalesData[[#This Row],[Sales_amount]]</f>
        <v>-0.14314934473950444</v>
      </c>
      <c r="S809" s="2">
        <f>SalesData[[#This Row],[Unit_Price]]-SalesData[[#This Row],[Unit_Cost]]</f>
        <v>393.14999999999964</v>
      </c>
      <c r="T809" s="10">
        <f>SalesData[[#This Row],[Unit_Margin]]/SalesData[[#This Row],[Unit_Price]]</f>
        <v>7.4049030761001347E-2</v>
      </c>
      <c r="U809" s="2" t="str">
        <f>IF(SalesData[[#This Row],[Unit_Margin]]&lt;0, "Negative margin", "Positive margin")</f>
        <v>Positive margin</v>
      </c>
      <c r="V809" s="2" t="str">
        <f>IF(SalesData[[#This Row],[Profit]]&lt;0, "Loss", "Profit")</f>
        <v>Loss</v>
      </c>
      <c r="W809" s="2">
        <f>SalesData[[#This Row],[Unit_Price]]*(1-SalesData[[#This Row],[Discount]])</f>
        <v>4300.5492000000004</v>
      </c>
      <c r="X809" s="2">
        <f>SalesData[[#This Row],[Effective_Unit_Price]]-SalesData[[#This Row],[Unit_Cost]]</f>
        <v>-615.62079999999969</v>
      </c>
      <c r="Y809" s="2" t="str">
        <f>IF(SalesData[[#This Row],[Effective_Unit_Margin]]&lt;0,"Loss per Unit","Positive per Unit")</f>
        <v>Loss per Unit</v>
      </c>
    </row>
    <row r="810" spans="1:25" x14ac:dyDescent="0.3">
      <c r="A810">
        <v>1055</v>
      </c>
      <c r="B810" s="1">
        <v>45010</v>
      </c>
      <c r="C810" t="s">
        <v>23</v>
      </c>
      <c r="D810" t="s">
        <v>33</v>
      </c>
      <c r="E810">
        <v>11</v>
      </c>
      <c r="F810" t="s">
        <v>34</v>
      </c>
      <c r="G810">
        <v>2495.1999999999998</v>
      </c>
      <c r="H810">
        <v>2600.9299999999998</v>
      </c>
      <c r="I810" t="s">
        <v>29</v>
      </c>
      <c r="J810" s="2">
        <v>0.21</v>
      </c>
      <c r="K810" t="s">
        <v>26</v>
      </c>
      <c r="L810" t="s">
        <v>21</v>
      </c>
      <c r="M810" t="s">
        <v>49</v>
      </c>
      <c r="N810">
        <f>SalesData[[#This Row],[Quantity_Sold]]*SalesData[[#This Row],[Unit_Cost]]</f>
        <v>27447.199999999997</v>
      </c>
      <c r="O810">
        <f>SalesData[[#This Row],[Quantity_Sold]]*SalesData[[#This Row],[Unit_Price]]</f>
        <v>28610.23</v>
      </c>
      <c r="P810">
        <f>SalesData[[#This Row],[Gross_sales]]*(1-SalesData[[#This Row],[Discount]])</f>
        <v>22602.081700000002</v>
      </c>
      <c r="Q810" s="2">
        <f>SalesData[[#This Row],[Sales_amount]]-SalesData[[#This Row],[Total_Cost]]</f>
        <v>-4845.1182999999946</v>
      </c>
      <c r="R810" s="2">
        <f>SalesData[[#This Row],[Profit]]/SalesData[[#This Row],[Sales_amount]]</f>
        <v>-0.21436602009982089</v>
      </c>
      <c r="S810" s="2">
        <f>SalesData[[#This Row],[Unit_Price]]-SalesData[[#This Row],[Unit_Cost]]</f>
        <v>105.73000000000002</v>
      </c>
      <c r="T810" s="10">
        <f>SalesData[[#This Row],[Unit_Margin]]/SalesData[[#This Row],[Unit_Price]]</f>
        <v>4.0650844121141297E-2</v>
      </c>
      <c r="U810" s="2" t="str">
        <f>IF(SalesData[[#This Row],[Unit_Margin]]&lt;0, "Negative margin", "Positive margin")</f>
        <v>Positive margin</v>
      </c>
      <c r="V810" s="2" t="str">
        <f>IF(SalesData[[#This Row],[Profit]]&lt;0, "Loss", "Profit")</f>
        <v>Loss</v>
      </c>
      <c r="W810" s="2">
        <f>SalesData[[#This Row],[Unit_Price]]*(1-SalesData[[#This Row],[Discount]])</f>
        <v>2054.7347</v>
      </c>
      <c r="X810" s="2">
        <f>SalesData[[#This Row],[Effective_Unit_Price]]-SalesData[[#This Row],[Unit_Cost]]</f>
        <v>-440.46529999999984</v>
      </c>
      <c r="Y810" s="2" t="str">
        <f>IF(SalesData[[#This Row],[Effective_Unit_Margin]]&lt;0,"Loss per Unit","Positive per Unit")</f>
        <v>Loss per Unit</v>
      </c>
    </row>
    <row r="811" spans="1:25" x14ac:dyDescent="0.3">
      <c r="A811">
        <v>1006</v>
      </c>
      <c r="B811" s="1">
        <v>44948</v>
      </c>
      <c r="C811" t="s">
        <v>41</v>
      </c>
      <c r="D811" t="s">
        <v>24</v>
      </c>
      <c r="E811">
        <v>29</v>
      </c>
      <c r="F811" t="s">
        <v>34</v>
      </c>
      <c r="G811">
        <v>4353.29</v>
      </c>
      <c r="H811">
        <v>4405.8</v>
      </c>
      <c r="I811" t="s">
        <v>29</v>
      </c>
      <c r="J811" s="2">
        <v>0.04</v>
      </c>
      <c r="K811" t="s">
        <v>26</v>
      </c>
      <c r="L811" t="s">
        <v>18</v>
      </c>
      <c r="M811" t="s">
        <v>42</v>
      </c>
      <c r="N811">
        <f>SalesData[[#This Row],[Quantity_Sold]]*SalesData[[#This Row],[Unit_Cost]]</f>
        <v>126245.41</v>
      </c>
      <c r="O811">
        <f>SalesData[[#This Row],[Quantity_Sold]]*SalesData[[#This Row],[Unit_Price]]</f>
        <v>127768.20000000001</v>
      </c>
      <c r="P811">
        <f>SalesData[[#This Row],[Gross_sales]]*(1-SalesData[[#This Row],[Discount]])</f>
        <v>122657.47200000001</v>
      </c>
      <c r="Q811" s="2">
        <f>SalesData[[#This Row],[Sales_amount]]-SalesData[[#This Row],[Total_Cost]]</f>
        <v>-3587.9379999999946</v>
      </c>
      <c r="R811" s="2">
        <f>SalesData[[#This Row],[Profit]]/SalesData[[#This Row],[Sales_amount]]</f>
        <v>-2.9251687169942607E-2</v>
      </c>
      <c r="S811" s="2">
        <f>SalesData[[#This Row],[Unit_Price]]-SalesData[[#This Row],[Unit_Cost]]</f>
        <v>52.510000000000218</v>
      </c>
      <c r="T811" s="10">
        <f>SalesData[[#This Row],[Unit_Margin]]/SalesData[[#This Row],[Unit_Price]]</f>
        <v>1.1918380316855104E-2</v>
      </c>
      <c r="U811" s="2" t="str">
        <f>IF(SalesData[[#This Row],[Unit_Margin]]&lt;0, "Negative margin", "Positive margin")</f>
        <v>Positive margin</v>
      </c>
      <c r="V811" s="2" t="str">
        <f>IF(SalesData[[#This Row],[Profit]]&lt;0, "Loss", "Profit")</f>
        <v>Loss</v>
      </c>
      <c r="W811" s="2">
        <f>SalesData[[#This Row],[Unit_Price]]*(1-SalesData[[#This Row],[Discount]])</f>
        <v>4229.5680000000002</v>
      </c>
      <c r="X811" s="2">
        <f>SalesData[[#This Row],[Effective_Unit_Price]]-SalesData[[#This Row],[Unit_Cost]]</f>
        <v>-123.72199999999975</v>
      </c>
      <c r="Y811" s="2" t="str">
        <f>IF(SalesData[[#This Row],[Effective_Unit_Margin]]&lt;0,"Loss per Unit","Positive per Unit")</f>
        <v>Loss per Unit</v>
      </c>
    </row>
    <row r="812" spans="1:25" x14ac:dyDescent="0.3">
      <c r="A812">
        <v>1092</v>
      </c>
      <c r="B812" s="1">
        <v>44953</v>
      </c>
      <c r="C812" t="s">
        <v>23</v>
      </c>
      <c r="D812" t="s">
        <v>20</v>
      </c>
      <c r="E812">
        <v>26</v>
      </c>
      <c r="F812" t="s">
        <v>15</v>
      </c>
      <c r="G812">
        <v>3697.29</v>
      </c>
      <c r="H812">
        <v>4003.96</v>
      </c>
      <c r="I812" t="s">
        <v>29</v>
      </c>
      <c r="J812" s="2">
        <v>0.24</v>
      </c>
      <c r="K812" t="s">
        <v>17</v>
      </c>
      <c r="L812" t="s">
        <v>18</v>
      </c>
      <c r="M812" t="s">
        <v>46</v>
      </c>
      <c r="N812">
        <f>SalesData[[#This Row],[Quantity_Sold]]*SalesData[[#This Row],[Unit_Cost]]</f>
        <v>96129.54</v>
      </c>
      <c r="O812">
        <f>SalesData[[#This Row],[Quantity_Sold]]*SalesData[[#This Row],[Unit_Price]]</f>
        <v>104102.96</v>
      </c>
      <c r="P812">
        <f>SalesData[[#This Row],[Gross_sales]]*(1-SalesData[[#This Row],[Discount]])</f>
        <v>79118.24960000001</v>
      </c>
      <c r="Q812" s="2">
        <f>SalesData[[#This Row],[Sales_amount]]-SalesData[[#This Row],[Total_Cost]]</f>
        <v>-17011.290399999983</v>
      </c>
      <c r="R812" s="2">
        <f>SalesData[[#This Row],[Profit]]/SalesData[[#This Row],[Sales_amount]]</f>
        <v>-0.21501095494407882</v>
      </c>
      <c r="S812" s="2">
        <f>SalesData[[#This Row],[Unit_Price]]-SalesData[[#This Row],[Unit_Cost]]</f>
        <v>306.67000000000007</v>
      </c>
      <c r="T812" s="10">
        <f>SalesData[[#This Row],[Unit_Margin]]/SalesData[[#This Row],[Unit_Price]]</f>
        <v>7.6591674242499949E-2</v>
      </c>
      <c r="U812" s="2" t="str">
        <f>IF(SalesData[[#This Row],[Unit_Margin]]&lt;0, "Negative margin", "Positive margin")</f>
        <v>Positive margin</v>
      </c>
      <c r="V812" s="2" t="str">
        <f>IF(SalesData[[#This Row],[Profit]]&lt;0, "Loss", "Profit")</f>
        <v>Loss</v>
      </c>
      <c r="W812" s="2">
        <f>SalesData[[#This Row],[Unit_Price]]*(1-SalesData[[#This Row],[Discount]])</f>
        <v>3043.0095999999999</v>
      </c>
      <c r="X812" s="2">
        <f>SalesData[[#This Row],[Effective_Unit_Price]]-SalesData[[#This Row],[Unit_Cost]]</f>
        <v>-654.2804000000001</v>
      </c>
      <c r="Y812" s="2" t="str">
        <f>IF(SalesData[[#This Row],[Effective_Unit_Margin]]&lt;0,"Loss per Unit","Positive per Unit")</f>
        <v>Loss per Unit</v>
      </c>
    </row>
    <row r="813" spans="1:25" x14ac:dyDescent="0.3">
      <c r="A813">
        <v>1081</v>
      </c>
      <c r="B813" s="1">
        <v>45121</v>
      </c>
      <c r="C813" t="s">
        <v>37</v>
      </c>
      <c r="D813" t="s">
        <v>14</v>
      </c>
      <c r="E813">
        <v>16</v>
      </c>
      <c r="F813" t="s">
        <v>28</v>
      </c>
      <c r="G813">
        <v>2530.15</v>
      </c>
      <c r="H813">
        <v>2568.13</v>
      </c>
      <c r="I813" t="s">
        <v>29</v>
      </c>
      <c r="J813" s="2">
        <v>0.01</v>
      </c>
      <c r="K813" t="s">
        <v>30</v>
      </c>
      <c r="L813" t="s">
        <v>18</v>
      </c>
      <c r="M813" t="s">
        <v>39</v>
      </c>
      <c r="N813">
        <f>SalesData[[#This Row],[Quantity_Sold]]*SalesData[[#This Row],[Unit_Cost]]</f>
        <v>40482.400000000001</v>
      </c>
      <c r="O813">
        <f>SalesData[[#This Row],[Quantity_Sold]]*SalesData[[#This Row],[Unit_Price]]</f>
        <v>41090.080000000002</v>
      </c>
      <c r="P813">
        <f>SalesData[[#This Row],[Gross_sales]]*(1-SalesData[[#This Row],[Discount]])</f>
        <v>40679.179199999999</v>
      </c>
      <c r="Q813" s="2">
        <f>SalesData[[#This Row],[Sales_amount]]-SalesData[[#This Row],[Total_Cost]]</f>
        <v>196.77919999999722</v>
      </c>
      <c r="R813" s="2">
        <f>SalesData[[#This Row],[Profit]]/SalesData[[#This Row],[Sales_amount]]</f>
        <v>4.8373444073816817E-3</v>
      </c>
      <c r="S813" s="2">
        <f>SalesData[[#This Row],[Unit_Price]]-SalesData[[#This Row],[Unit_Cost]]</f>
        <v>37.980000000000018</v>
      </c>
      <c r="T813" s="10">
        <f>SalesData[[#This Row],[Unit_Margin]]/SalesData[[#This Row],[Unit_Price]]</f>
        <v>1.4788970963307939E-2</v>
      </c>
      <c r="U813" s="2" t="str">
        <f>IF(SalesData[[#This Row],[Unit_Margin]]&lt;0, "Negative margin", "Positive margin")</f>
        <v>Positive margin</v>
      </c>
      <c r="V813" s="2" t="str">
        <f>IF(SalesData[[#This Row],[Profit]]&lt;0, "Loss", "Profit")</f>
        <v>Profit</v>
      </c>
      <c r="W813" s="2">
        <f>SalesData[[#This Row],[Unit_Price]]*(1-SalesData[[#This Row],[Discount]])</f>
        <v>2542.4486999999999</v>
      </c>
      <c r="X813" s="2">
        <f>SalesData[[#This Row],[Effective_Unit_Price]]-SalesData[[#This Row],[Unit_Cost]]</f>
        <v>12.298699999999826</v>
      </c>
      <c r="Y813" s="2" t="str">
        <f>IF(SalesData[[#This Row],[Effective_Unit_Margin]]&lt;0,"Loss per Unit","Positive per Unit")</f>
        <v>Positive per Unit</v>
      </c>
    </row>
    <row r="814" spans="1:25" x14ac:dyDescent="0.3">
      <c r="A814">
        <v>1069</v>
      </c>
      <c r="B814" s="1">
        <v>45263</v>
      </c>
      <c r="C814" t="s">
        <v>23</v>
      </c>
      <c r="D814" t="s">
        <v>14</v>
      </c>
      <c r="E814">
        <v>35</v>
      </c>
      <c r="F814" t="s">
        <v>34</v>
      </c>
      <c r="G814">
        <v>2885.16</v>
      </c>
      <c r="H814">
        <v>3224.8399999999901</v>
      </c>
      <c r="I814" t="s">
        <v>29</v>
      </c>
      <c r="J814" s="2">
        <v>0.14000000000000001</v>
      </c>
      <c r="K814" t="s">
        <v>17</v>
      </c>
      <c r="L814" t="s">
        <v>18</v>
      </c>
      <c r="M814" t="s">
        <v>44</v>
      </c>
      <c r="N814">
        <f>SalesData[[#This Row],[Quantity_Sold]]*SalesData[[#This Row],[Unit_Cost]]</f>
        <v>100980.59999999999</v>
      </c>
      <c r="O814">
        <f>SalesData[[#This Row],[Quantity_Sold]]*SalesData[[#This Row],[Unit_Price]]</f>
        <v>112869.39999999966</v>
      </c>
      <c r="P814">
        <f>SalesData[[#This Row],[Gross_sales]]*(1-SalesData[[#This Row],[Discount]])</f>
        <v>97067.683999999703</v>
      </c>
      <c r="Q814" s="2">
        <f>SalesData[[#This Row],[Sales_amount]]-SalesData[[#This Row],[Total_Cost]]</f>
        <v>-3912.9160000002885</v>
      </c>
      <c r="R814" s="2">
        <f>SalesData[[#This Row],[Profit]]/SalesData[[#This Row],[Sales_amount]]</f>
        <v>-4.0311212122876042E-2</v>
      </c>
      <c r="S814" s="2">
        <f>SalesData[[#This Row],[Unit_Price]]-SalesData[[#This Row],[Unit_Cost]]</f>
        <v>339.67999999999029</v>
      </c>
      <c r="T814" s="10">
        <f>SalesData[[#This Row],[Unit_Margin]]/SalesData[[#This Row],[Unit_Price]]</f>
        <v>0.10533235757432657</v>
      </c>
      <c r="U814" s="2" t="str">
        <f>IF(SalesData[[#This Row],[Unit_Margin]]&lt;0, "Negative margin", "Positive margin")</f>
        <v>Positive margin</v>
      </c>
      <c r="V814" s="2" t="str">
        <f>IF(SalesData[[#This Row],[Profit]]&lt;0, "Loss", "Profit")</f>
        <v>Loss</v>
      </c>
      <c r="W814" s="2">
        <f>SalesData[[#This Row],[Unit_Price]]*(1-SalesData[[#This Row],[Discount]])</f>
        <v>2773.3623999999913</v>
      </c>
      <c r="X814" s="2">
        <f>SalesData[[#This Row],[Effective_Unit_Price]]-SalesData[[#This Row],[Unit_Cost]]</f>
        <v>-111.79760000000852</v>
      </c>
      <c r="Y814" s="2" t="str">
        <f>IF(SalesData[[#This Row],[Effective_Unit_Margin]]&lt;0,"Loss per Unit","Positive per Unit")</f>
        <v>Loss per Unit</v>
      </c>
    </row>
    <row r="815" spans="1:25" x14ac:dyDescent="0.3">
      <c r="A815">
        <v>1095</v>
      </c>
      <c r="B815" s="1">
        <v>45162</v>
      </c>
      <c r="C815" t="s">
        <v>13</v>
      </c>
      <c r="D815" t="s">
        <v>20</v>
      </c>
      <c r="E815">
        <v>20</v>
      </c>
      <c r="F815" t="s">
        <v>25</v>
      </c>
      <c r="G815">
        <v>729.27</v>
      </c>
      <c r="H815">
        <v>999.18</v>
      </c>
      <c r="I815" t="s">
        <v>29</v>
      </c>
      <c r="J815" s="2">
        <v>0.1</v>
      </c>
      <c r="K815" t="s">
        <v>26</v>
      </c>
      <c r="L815" t="s">
        <v>18</v>
      </c>
      <c r="M815" t="s">
        <v>22</v>
      </c>
      <c r="N815">
        <f>SalesData[[#This Row],[Quantity_Sold]]*SalesData[[#This Row],[Unit_Cost]]</f>
        <v>14585.4</v>
      </c>
      <c r="O815">
        <f>SalesData[[#This Row],[Quantity_Sold]]*SalesData[[#This Row],[Unit_Price]]</f>
        <v>19983.599999999999</v>
      </c>
      <c r="P815">
        <f>SalesData[[#This Row],[Gross_sales]]*(1-SalesData[[#This Row],[Discount]])</f>
        <v>17985.239999999998</v>
      </c>
      <c r="Q815" s="2">
        <f>SalesData[[#This Row],[Sales_amount]]-SalesData[[#This Row],[Total_Cost]]</f>
        <v>3399.8399999999983</v>
      </c>
      <c r="R815" s="2">
        <f>SalesData[[#This Row],[Profit]]/SalesData[[#This Row],[Sales_amount]]</f>
        <v>0.1890350087071398</v>
      </c>
      <c r="S815" s="2">
        <f>SalesData[[#This Row],[Unit_Price]]-SalesData[[#This Row],[Unit_Cost]]</f>
        <v>269.90999999999997</v>
      </c>
      <c r="T815" s="10">
        <f>SalesData[[#This Row],[Unit_Margin]]/SalesData[[#This Row],[Unit_Price]]</f>
        <v>0.27013150783642587</v>
      </c>
      <c r="U815" s="2" t="str">
        <f>IF(SalesData[[#This Row],[Unit_Margin]]&lt;0, "Negative margin", "Positive margin")</f>
        <v>Positive margin</v>
      </c>
      <c r="V815" s="2" t="str">
        <f>IF(SalesData[[#This Row],[Profit]]&lt;0, "Loss", "Profit")</f>
        <v>Profit</v>
      </c>
      <c r="W815" s="2">
        <f>SalesData[[#This Row],[Unit_Price]]*(1-SalesData[[#This Row],[Discount]])</f>
        <v>899.26199999999994</v>
      </c>
      <c r="X815" s="2">
        <f>SalesData[[#This Row],[Effective_Unit_Price]]-SalesData[[#This Row],[Unit_Cost]]</f>
        <v>169.99199999999996</v>
      </c>
      <c r="Y815" s="2" t="str">
        <f>IF(SalesData[[#This Row],[Effective_Unit_Margin]]&lt;0,"Loss per Unit","Positive per Unit")</f>
        <v>Positive per Unit</v>
      </c>
    </row>
    <row r="816" spans="1:25" x14ac:dyDescent="0.3">
      <c r="A816">
        <v>1005</v>
      </c>
      <c r="B816" s="1">
        <v>45018</v>
      </c>
      <c r="C816" t="s">
        <v>23</v>
      </c>
      <c r="D816" t="s">
        <v>24</v>
      </c>
      <c r="E816">
        <v>46</v>
      </c>
      <c r="F816" t="s">
        <v>15</v>
      </c>
      <c r="G816">
        <v>4691.42</v>
      </c>
      <c r="H816">
        <v>5026.1899999999996</v>
      </c>
      <c r="I816" t="s">
        <v>16</v>
      </c>
      <c r="J816" s="2">
        <v>0.22</v>
      </c>
      <c r="K816" t="s">
        <v>26</v>
      </c>
      <c r="L816" t="s">
        <v>21</v>
      </c>
      <c r="M816" t="s">
        <v>27</v>
      </c>
      <c r="N816">
        <f>SalesData[[#This Row],[Quantity_Sold]]*SalesData[[#This Row],[Unit_Cost]]</f>
        <v>215805.32</v>
      </c>
      <c r="O816">
        <f>SalesData[[#This Row],[Quantity_Sold]]*SalesData[[#This Row],[Unit_Price]]</f>
        <v>231204.74</v>
      </c>
      <c r="P816">
        <f>SalesData[[#This Row],[Gross_sales]]*(1-SalesData[[#This Row],[Discount]])</f>
        <v>180339.6972</v>
      </c>
      <c r="Q816" s="2">
        <f>SalesData[[#This Row],[Sales_amount]]-SalesData[[#This Row],[Total_Cost]]</f>
        <v>-35465.622800000012</v>
      </c>
      <c r="R816" s="2">
        <f>SalesData[[#This Row],[Profit]]/SalesData[[#This Row],[Sales_amount]]</f>
        <v>-0.19666009952688338</v>
      </c>
      <c r="S816" s="2">
        <f>SalesData[[#This Row],[Unit_Price]]-SalesData[[#This Row],[Unit_Cost]]</f>
        <v>334.76999999999953</v>
      </c>
      <c r="T816" s="10">
        <f>SalesData[[#This Row],[Unit_Margin]]/SalesData[[#This Row],[Unit_Price]]</f>
        <v>6.6605122369030934E-2</v>
      </c>
      <c r="U816" s="2" t="str">
        <f>IF(SalesData[[#This Row],[Unit_Margin]]&lt;0, "Negative margin", "Positive margin")</f>
        <v>Positive margin</v>
      </c>
      <c r="V816" s="2" t="str">
        <f>IF(SalesData[[#This Row],[Profit]]&lt;0, "Loss", "Profit")</f>
        <v>Loss</v>
      </c>
      <c r="W816" s="2">
        <f>SalesData[[#This Row],[Unit_Price]]*(1-SalesData[[#This Row],[Discount]])</f>
        <v>3920.4281999999998</v>
      </c>
      <c r="X816" s="2">
        <f>SalesData[[#This Row],[Effective_Unit_Price]]-SalesData[[#This Row],[Unit_Cost]]</f>
        <v>-770.99180000000024</v>
      </c>
      <c r="Y816" s="2" t="str">
        <f>IF(SalesData[[#This Row],[Effective_Unit_Margin]]&lt;0,"Loss per Unit","Positive per Unit")</f>
        <v>Loss per Unit</v>
      </c>
    </row>
    <row r="817" spans="1:25" x14ac:dyDescent="0.3">
      <c r="A817">
        <v>1003</v>
      </c>
      <c r="B817" s="1">
        <v>44947</v>
      </c>
      <c r="C817" t="s">
        <v>32</v>
      </c>
      <c r="D817" t="s">
        <v>14</v>
      </c>
      <c r="E817">
        <v>3</v>
      </c>
      <c r="F817" t="s">
        <v>15</v>
      </c>
      <c r="G817">
        <v>1792.05</v>
      </c>
      <c r="H817">
        <v>2091.23</v>
      </c>
      <c r="I817" t="s">
        <v>16</v>
      </c>
      <c r="J817" s="2">
        <v>0.09</v>
      </c>
      <c r="K817" t="s">
        <v>17</v>
      </c>
      <c r="L817" t="s">
        <v>21</v>
      </c>
      <c r="M817" t="s">
        <v>52</v>
      </c>
      <c r="N817">
        <f>SalesData[[#This Row],[Quantity_Sold]]*SalesData[[#This Row],[Unit_Cost]]</f>
        <v>5376.15</v>
      </c>
      <c r="O817">
        <f>SalesData[[#This Row],[Quantity_Sold]]*SalesData[[#This Row],[Unit_Price]]</f>
        <v>6273.6900000000005</v>
      </c>
      <c r="P817">
        <f>SalesData[[#This Row],[Gross_sales]]*(1-SalesData[[#This Row],[Discount]])</f>
        <v>5709.0579000000007</v>
      </c>
      <c r="Q817" s="2">
        <f>SalesData[[#This Row],[Sales_amount]]-SalesData[[#This Row],[Total_Cost]]</f>
        <v>332.90790000000106</v>
      </c>
      <c r="R817" s="2">
        <f>SalesData[[#This Row],[Profit]]/SalesData[[#This Row],[Sales_amount]]</f>
        <v>5.8312230464504664E-2</v>
      </c>
      <c r="S817" s="2">
        <f>SalesData[[#This Row],[Unit_Price]]-SalesData[[#This Row],[Unit_Cost]]</f>
        <v>299.18000000000006</v>
      </c>
      <c r="T817" s="10">
        <f>SalesData[[#This Row],[Unit_Margin]]/SalesData[[#This Row],[Unit_Price]]</f>
        <v>0.14306412972269911</v>
      </c>
      <c r="U817" s="2" t="str">
        <f>IF(SalesData[[#This Row],[Unit_Margin]]&lt;0, "Negative margin", "Positive margin")</f>
        <v>Positive margin</v>
      </c>
      <c r="V817" s="2" t="str">
        <f>IF(SalesData[[#This Row],[Profit]]&lt;0, "Loss", "Profit")</f>
        <v>Profit</v>
      </c>
      <c r="W817" s="2">
        <f>SalesData[[#This Row],[Unit_Price]]*(1-SalesData[[#This Row],[Discount]])</f>
        <v>1903.0193000000002</v>
      </c>
      <c r="X817" s="2">
        <f>SalesData[[#This Row],[Effective_Unit_Price]]-SalesData[[#This Row],[Unit_Cost]]</f>
        <v>110.9693000000002</v>
      </c>
      <c r="Y817" s="2" t="str">
        <f>IF(SalesData[[#This Row],[Effective_Unit_Margin]]&lt;0,"Loss per Unit","Positive per Unit")</f>
        <v>Positive per Unit</v>
      </c>
    </row>
    <row r="818" spans="1:25" x14ac:dyDescent="0.3">
      <c r="A818">
        <v>1053</v>
      </c>
      <c r="B818" s="1">
        <v>45229</v>
      </c>
      <c r="C818" t="s">
        <v>23</v>
      </c>
      <c r="D818" t="s">
        <v>14</v>
      </c>
      <c r="E818">
        <v>1</v>
      </c>
      <c r="F818" t="s">
        <v>25</v>
      </c>
      <c r="G818">
        <v>2258.44</v>
      </c>
      <c r="H818">
        <v>2475.56</v>
      </c>
      <c r="I818" t="s">
        <v>29</v>
      </c>
      <c r="J818" s="2">
        <v>0.25</v>
      </c>
      <c r="K818" t="s">
        <v>17</v>
      </c>
      <c r="L818" t="s">
        <v>18</v>
      </c>
      <c r="M818" t="s">
        <v>44</v>
      </c>
      <c r="N818">
        <f>SalesData[[#This Row],[Quantity_Sold]]*SalesData[[#This Row],[Unit_Cost]]</f>
        <v>2258.44</v>
      </c>
      <c r="O818">
        <f>SalesData[[#This Row],[Quantity_Sold]]*SalesData[[#This Row],[Unit_Price]]</f>
        <v>2475.56</v>
      </c>
      <c r="P818">
        <f>SalesData[[#This Row],[Gross_sales]]*(1-SalesData[[#This Row],[Discount]])</f>
        <v>1856.67</v>
      </c>
      <c r="Q818" s="2">
        <f>SalesData[[#This Row],[Sales_amount]]-SalesData[[#This Row],[Total_Cost]]</f>
        <v>-401.77</v>
      </c>
      <c r="R818" s="2">
        <f>SalesData[[#This Row],[Profit]]/SalesData[[#This Row],[Sales_amount]]</f>
        <v>-0.21639278924095287</v>
      </c>
      <c r="S818" s="2">
        <f>SalesData[[#This Row],[Unit_Price]]-SalesData[[#This Row],[Unit_Cost]]</f>
        <v>217.11999999999989</v>
      </c>
      <c r="T818" s="10">
        <f>SalesData[[#This Row],[Unit_Margin]]/SalesData[[#This Row],[Unit_Price]]</f>
        <v>8.7705408069285284E-2</v>
      </c>
      <c r="U818" s="2" t="str">
        <f>IF(SalesData[[#This Row],[Unit_Margin]]&lt;0, "Negative margin", "Positive margin")</f>
        <v>Positive margin</v>
      </c>
      <c r="V818" s="2" t="str">
        <f>IF(SalesData[[#This Row],[Profit]]&lt;0, "Loss", "Profit")</f>
        <v>Loss</v>
      </c>
      <c r="W818" s="2">
        <f>SalesData[[#This Row],[Unit_Price]]*(1-SalesData[[#This Row],[Discount]])</f>
        <v>1856.67</v>
      </c>
      <c r="X818" s="2">
        <f>SalesData[[#This Row],[Effective_Unit_Price]]-SalesData[[#This Row],[Unit_Cost]]</f>
        <v>-401.77</v>
      </c>
      <c r="Y818" s="2" t="str">
        <f>IF(SalesData[[#This Row],[Effective_Unit_Margin]]&lt;0,"Loss per Unit","Positive per Unit")</f>
        <v>Loss per Unit</v>
      </c>
    </row>
    <row r="819" spans="1:25" x14ac:dyDescent="0.3">
      <c r="A819">
        <v>1023</v>
      </c>
      <c r="B819" s="1">
        <v>45283</v>
      </c>
      <c r="C819" t="s">
        <v>13</v>
      </c>
      <c r="D819" t="s">
        <v>33</v>
      </c>
      <c r="E819">
        <v>47</v>
      </c>
      <c r="F819" t="s">
        <v>34</v>
      </c>
      <c r="G819">
        <v>3374.72</v>
      </c>
      <c r="H819">
        <v>3483.1499999999901</v>
      </c>
      <c r="I819" t="s">
        <v>16</v>
      </c>
      <c r="J819" s="2">
        <v>0.18</v>
      </c>
      <c r="K819" t="s">
        <v>17</v>
      </c>
      <c r="L819" t="s">
        <v>18</v>
      </c>
      <c r="M819" t="s">
        <v>45</v>
      </c>
      <c r="N819">
        <f>SalesData[[#This Row],[Quantity_Sold]]*SalesData[[#This Row],[Unit_Cost]]</f>
        <v>158611.84</v>
      </c>
      <c r="O819">
        <f>SalesData[[#This Row],[Quantity_Sold]]*SalesData[[#This Row],[Unit_Price]]</f>
        <v>163708.04999999952</v>
      </c>
      <c r="P819">
        <f>SalesData[[#This Row],[Gross_sales]]*(1-SalesData[[#This Row],[Discount]])</f>
        <v>134240.60099999962</v>
      </c>
      <c r="Q819" s="2">
        <f>SalesData[[#This Row],[Sales_amount]]-SalesData[[#This Row],[Total_Cost]]</f>
        <v>-24371.23900000038</v>
      </c>
      <c r="R819" s="2">
        <f>SalesData[[#This Row],[Profit]]/SalesData[[#This Row],[Sales_amount]]</f>
        <v>-0.18154894136685554</v>
      </c>
      <c r="S819" s="2">
        <f>SalesData[[#This Row],[Unit_Price]]-SalesData[[#This Row],[Unit_Cost]]</f>
        <v>108.42999999999029</v>
      </c>
      <c r="T819" s="10">
        <f>SalesData[[#This Row],[Unit_Margin]]/SalesData[[#This Row],[Unit_Price]]</f>
        <v>3.1129868079178502E-2</v>
      </c>
      <c r="U819" s="2" t="str">
        <f>IF(SalesData[[#This Row],[Unit_Margin]]&lt;0, "Negative margin", "Positive margin")</f>
        <v>Positive margin</v>
      </c>
      <c r="V819" s="2" t="str">
        <f>IF(SalesData[[#This Row],[Profit]]&lt;0, "Loss", "Profit")</f>
        <v>Loss</v>
      </c>
      <c r="W819" s="2">
        <f>SalesData[[#This Row],[Unit_Price]]*(1-SalesData[[#This Row],[Discount]])</f>
        <v>2856.1829999999923</v>
      </c>
      <c r="X819" s="2">
        <f>SalesData[[#This Row],[Effective_Unit_Price]]-SalesData[[#This Row],[Unit_Cost]]</f>
        <v>-518.53700000000754</v>
      </c>
      <c r="Y819" s="2" t="str">
        <f>IF(SalesData[[#This Row],[Effective_Unit_Margin]]&lt;0,"Loss per Unit","Positive per Unit")</f>
        <v>Loss per Unit</v>
      </c>
    </row>
    <row r="820" spans="1:25" x14ac:dyDescent="0.3">
      <c r="A820">
        <v>1053</v>
      </c>
      <c r="B820" s="1">
        <v>45010</v>
      </c>
      <c r="C820" t="s">
        <v>13</v>
      </c>
      <c r="D820" t="s">
        <v>33</v>
      </c>
      <c r="E820">
        <v>1</v>
      </c>
      <c r="F820" t="s">
        <v>28</v>
      </c>
      <c r="G820">
        <v>1702.82</v>
      </c>
      <c r="H820">
        <v>1862.61</v>
      </c>
      <c r="I820" t="s">
        <v>16</v>
      </c>
      <c r="J820" s="2">
        <v>0.24</v>
      </c>
      <c r="K820" t="s">
        <v>17</v>
      </c>
      <c r="L820" t="s">
        <v>21</v>
      </c>
      <c r="M820" t="s">
        <v>45</v>
      </c>
      <c r="N820">
        <f>SalesData[[#This Row],[Quantity_Sold]]*SalesData[[#This Row],[Unit_Cost]]</f>
        <v>1702.82</v>
      </c>
      <c r="O820">
        <f>SalesData[[#This Row],[Quantity_Sold]]*SalesData[[#This Row],[Unit_Price]]</f>
        <v>1862.61</v>
      </c>
      <c r="P820">
        <f>SalesData[[#This Row],[Gross_sales]]*(1-SalesData[[#This Row],[Discount]])</f>
        <v>1415.5835999999999</v>
      </c>
      <c r="Q820" s="2">
        <f>SalesData[[#This Row],[Sales_amount]]-SalesData[[#This Row],[Total_Cost]]</f>
        <v>-287.2364</v>
      </c>
      <c r="R820" s="2">
        <f>SalesData[[#This Row],[Profit]]/SalesData[[#This Row],[Sales_amount]]</f>
        <v>-0.20291023433727265</v>
      </c>
      <c r="S820" s="2">
        <f>SalesData[[#This Row],[Unit_Price]]-SalesData[[#This Row],[Unit_Cost]]</f>
        <v>159.78999999999996</v>
      </c>
      <c r="T820" s="10">
        <f>SalesData[[#This Row],[Unit_Margin]]/SalesData[[#This Row],[Unit_Price]]</f>
        <v>8.5788221903672787E-2</v>
      </c>
      <c r="U820" s="2" t="str">
        <f>IF(SalesData[[#This Row],[Unit_Margin]]&lt;0, "Negative margin", "Positive margin")</f>
        <v>Positive margin</v>
      </c>
      <c r="V820" s="2" t="str">
        <f>IF(SalesData[[#This Row],[Profit]]&lt;0, "Loss", "Profit")</f>
        <v>Loss</v>
      </c>
      <c r="W820" s="2">
        <f>SalesData[[#This Row],[Unit_Price]]*(1-SalesData[[#This Row],[Discount]])</f>
        <v>1415.5835999999999</v>
      </c>
      <c r="X820" s="2">
        <f>SalesData[[#This Row],[Effective_Unit_Price]]-SalesData[[#This Row],[Unit_Cost]]</f>
        <v>-287.2364</v>
      </c>
      <c r="Y820" s="2" t="str">
        <f>IF(SalesData[[#This Row],[Effective_Unit_Margin]]&lt;0,"Loss per Unit","Positive per Unit")</f>
        <v>Loss per Unit</v>
      </c>
    </row>
    <row r="821" spans="1:25" x14ac:dyDescent="0.3">
      <c r="A821">
        <v>1037</v>
      </c>
      <c r="B821" s="1">
        <v>45188</v>
      </c>
      <c r="C821" t="s">
        <v>41</v>
      </c>
      <c r="D821" t="s">
        <v>24</v>
      </c>
      <c r="E821">
        <v>17</v>
      </c>
      <c r="F821" t="s">
        <v>34</v>
      </c>
      <c r="G821">
        <v>1308.58</v>
      </c>
      <c r="H821">
        <v>1575.59</v>
      </c>
      <c r="I821" t="s">
        <v>29</v>
      </c>
      <c r="J821" s="2">
        <v>0.3</v>
      </c>
      <c r="K821" t="s">
        <v>17</v>
      </c>
      <c r="L821" t="s">
        <v>18</v>
      </c>
      <c r="M821" t="s">
        <v>42</v>
      </c>
      <c r="N821">
        <f>SalesData[[#This Row],[Quantity_Sold]]*SalesData[[#This Row],[Unit_Cost]]</f>
        <v>22245.86</v>
      </c>
      <c r="O821">
        <f>SalesData[[#This Row],[Quantity_Sold]]*SalesData[[#This Row],[Unit_Price]]</f>
        <v>26785.03</v>
      </c>
      <c r="P821">
        <f>SalesData[[#This Row],[Gross_sales]]*(1-SalesData[[#This Row],[Discount]])</f>
        <v>18749.520999999997</v>
      </c>
      <c r="Q821" s="2">
        <f>SalesData[[#This Row],[Sales_amount]]-SalesData[[#This Row],[Total_Cost]]</f>
        <v>-3496.3390000000036</v>
      </c>
      <c r="R821" s="2">
        <f>SalesData[[#This Row],[Profit]]/SalesData[[#This Row],[Sales_amount]]</f>
        <v>-0.18647617717807319</v>
      </c>
      <c r="S821" s="2">
        <f>SalesData[[#This Row],[Unit_Price]]-SalesData[[#This Row],[Unit_Cost]]</f>
        <v>267.01</v>
      </c>
      <c r="T821" s="10">
        <f>SalesData[[#This Row],[Unit_Margin]]/SalesData[[#This Row],[Unit_Price]]</f>
        <v>0.16946667597534892</v>
      </c>
      <c r="U821" s="2" t="str">
        <f>IF(SalesData[[#This Row],[Unit_Margin]]&lt;0, "Negative margin", "Positive margin")</f>
        <v>Positive margin</v>
      </c>
      <c r="V821" s="2" t="str">
        <f>IF(SalesData[[#This Row],[Profit]]&lt;0, "Loss", "Profit")</f>
        <v>Loss</v>
      </c>
      <c r="W821" s="2">
        <f>SalesData[[#This Row],[Unit_Price]]*(1-SalesData[[#This Row],[Discount]])</f>
        <v>1102.9129999999998</v>
      </c>
      <c r="X821" s="2">
        <f>SalesData[[#This Row],[Effective_Unit_Price]]-SalesData[[#This Row],[Unit_Cost]]</f>
        <v>-205.66700000000014</v>
      </c>
      <c r="Y821" s="2" t="str">
        <f>IF(SalesData[[#This Row],[Effective_Unit_Margin]]&lt;0,"Loss per Unit","Positive per Unit")</f>
        <v>Loss per Unit</v>
      </c>
    </row>
    <row r="822" spans="1:25" x14ac:dyDescent="0.3">
      <c r="A822">
        <v>1074</v>
      </c>
      <c r="B822" s="1">
        <v>45073</v>
      </c>
      <c r="C822" t="s">
        <v>37</v>
      </c>
      <c r="D822" t="s">
        <v>20</v>
      </c>
      <c r="E822">
        <v>2</v>
      </c>
      <c r="F822" t="s">
        <v>25</v>
      </c>
      <c r="G822">
        <v>3173.69</v>
      </c>
      <c r="H822">
        <v>3503.11</v>
      </c>
      <c r="I822" t="s">
        <v>29</v>
      </c>
      <c r="J822" s="2">
        <v>0.2</v>
      </c>
      <c r="K822" t="s">
        <v>26</v>
      </c>
      <c r="L822" t="s">
        <v>21</v>
      </c>
      <c r="M822" t="s">
        <v>40</v>
      </c>
      <c r="N822">
        <f>SalesData[[#This Row],[Quantity_Sold]]*SalesData[[#This Row],[Unit_Cost]]</f>
        <v>6347.38</v>
      </c>
      <c r="O822">
        <f>SalesData[[#This Row],[Quantity_Sold]]*SalesData[[#This Row],[Unit_Price]]</f>
        <v>7006.22</v>
      </c>
      <c r="P822">
        <f>SalesData[[#This Row],[Gross_sales]]*(1-SalesData[[#This Row],[Discount]])</f>
        <v>5604.9760000000006</v>
      </c>
      <c r="Q822" s="2">
        <f>SalesData[[#This Row],[Sales_amount]]-SalesData[[#This Row],[Total_Cost]]</f>
        <v>-742.40399999999954</v>
      </c>
      <c r="R822" s="2">
        <f>SalesData[[#This Row],[Profit]]/SalesData[[#This Row],[Sales_amount]]</f>
        <v>-0.13245444761940095</v>
      </c>
      <c r="S822" s="2">
        <f>SalesData[[#This Row],[Unit_Price]]-SalesData[[#This Row],[Unit_Cost]]</f>
        <v>329.42000000000007</v>
      </c>
      <c r="T822" s="10">
        <f>SalesData[[#This Row],[Unit_Margin]]/SalesData[[#This Row],[Unit_Price]]</f>
        <v>9.4036441904479184E-2</v>
      </c>
      <c r="U822" s="2" t="str">
        <f>IF(SalesData[[#This Row],[Unit_Margin]]&lt;0, "Negative margin", "Positive margin")</f>
        <v>Positive margin</v>
      </c>
      <c r="V822" s="2" t="str">
        <f>IF(SalesData[[#This Row],[Profit]]&lt;0, "Loss", "Profit")</f>
        <v>Loss</v>
      </c>
      <c r="W822" s="2">
        <f>SalesData[[#This Row],[Unit_Price]]*(1-SalesData[[#This Row],[Discount]])</f>
        <v>2802.4880000000003</v>
      </c>
      <c r="X822" s="2">
        <f>SalesData[[#This Row],[Effective_Unit_Price]]-SalesData[[#This Row],[Unit_Cost]]</f>
        <v>-371.20199999999977</v>
      </c>
      <c r="Y822" s="2" t="str">
        <f>IF(SalesData[[#This Row],[Effective_Unit_Margin]]&lt;0,"Loss per Unit","Positive per Unit")</f>
        <v>Loss per Unit</v>
      </c>
    </row>
    <row r="823" spans="1:25" x14ac:dyDescent="0.3">
      <c r="A823">
        <v>1074</v>
      </c>
      <c r="B823" s="1">
        <v>45183</v>
      </c>
      <c r="C823" t="s">
        <v>23</v>
      </c>
      <c r="D823" t="s">
        <v>24</v>
      </c>
      <c r="E823">
        <v>29</v>
      </c>
      <c r="F823" t="s">
        <v>15</v>
      </c>
      <c r="G823">
        <v>173.67</v>
      </c>
      <c r="H823">
        <v>565.62</v>
      </c>
      <c r="I823" t="s">
        <v>16</v>
      </c>
      <c r="J823" s="2">
        <v>0.3</v>
      </c>
      <c r="K823" t="s">
        <v>17</v>
      </c>
      <c r="L823" t="s">
        <v>18</v>
      </c>
      <c r="M823" t="s">
        <v>27</v>
      </c>
      <c r="N823">
        <f>SalesData[[#This Row],[Quantity_Sold]]*SalesData[[#This Row],[Unit_Cost]]</f>
        <v>5036.4299999999994</v>
      </c>
      <c r="O823">
        <f>SalesData[[#This Row],[Quantity_Sold]]*SalesData[[#This Row],[Unit_Price]]</f>
        <v>16402.98</v>
      </c>
      <c r="P823">
        <f>SalesData[[#This Row],[Gross_sales]]*(1-SalesData[[#This Row],[Discount]])</f>
        <v>11482.085999999999</v>
      </c>
      <c r="Q823" s="2">
        <f>SalesData[[#This Row],[Sales_amount]]-SalesData[[#This Row],[Total_Cost]]</f>
        <v>6445.6559999999999</v>
      </c>
      <c r="R823" s="2">
        <f>SalesData[[#This Row],[Profit]]/SalesData[[#This Row],[Sales_amount]]</f>
        <v>0.56136628832078073</v>
      </c>
      <c r="S823" s="2">
        <f>SalesData[[#This Row],[Unit_Price]]-SalesData[[#This Row],[Unit_Cost]]</f>
        <v>391.95000000000005</v>
      </c>
      <c r="T823" s="10">
        <f>SalesData[[#This Row],[Unit_Margin]]/SalesData[[#This Row],[Unit_Price]]</f>
        <v>0.69295640182454654</v>
      </c>
      <c r="U823" s="2" t="str">
        <f>IF(SalesData[[#This Row],[Unit_Margin]]&lt;0, "Negative margin", "Positive margin")</f>
        <v>Positive margin</v>
      </c>
      <c r="V823" s="2" t="str">
        <f>IF(SalesData[[#This Row],[Profit]]&lt;0, "Loss", "Profit")</f>
        <v>Profit</v>
      </c>
      <c r="W823" s="2">
        <f>SalesData[[#This Row],[Unit_Price]]*(1-SalesData[[#This Row],[Discount]])</f>
        <v>395.93399999999997</v>
      </c>
      <c r="X823" s="2">
        <f>SalesData[[#This Row],[Effective_Unit_Price]]-SalesData[[#This Row],[Unit_Cost]]</f>
        <v>222.26399999999998</v>
      </c>
      <c r="Y823" s="2" t="str">
        <f>IF(SalesData[[#This Row],[Effective_Unit_Margin]]&lt;0,"Loss per Unit","Positive per Unit")</f>
        <v>Positive per Unit</v>
      </c>
    </row>
    <row r="824" spans="1:25" x14ac:dyDescent="0.3">
      <c r="A824">
        <v>1083</v>
      </c>
      <c r="B824" s="1">
        <v>44984</v>
      </c>
      <c r="C824" t="s">
        <v>41</v>
      </c>
      <c r="D824" t="s">
        <v>20</v>
      </c>
      <c r="E824">
        <v>20</v>
      </c>
      <c r="F824" t="s">
        <v>28</v>
      </c>
      <c r="G824">
        <v>3617.59</v>
      </c>
      <c r="H824">
        <v>4003.5</v>
      </c>
      <c r="I824" t="s">
        <v>29</v>
      </c>
      <c r="J824" s="2">
        <v>0.01</v>
      </c>
      <c r="K824" t="s">
        <v>30</v>
      </c>
      <c r="L824" t="s">
        <v>21</v>
      </c>
      <c r="M824" t="s">
        <v>50</v>
      </c>
      <c r="N824">
        <f>SalesData[[#This Row],[Quantity_Sold]]*SalesData[[#This Row],[Unit_Cost]]</f>
        <v>72351.8</v>
      </c>
      <c r="O824">
        <f>SalesData[[#This Row],[Quantity_Sold]]*SalesData[[#This Row],[Unit_Price]]</f>
        <v>80070</v>
      </c>
      <c r="P824">
        <f>SalesData[[#This Row],[Gross_sales]]*(1-SalesData[[#This Row],[Discount]])</f>
        <v>79269.3</v>
      </c>
      <c r="Q824" s="2">
        <f>SalesData[[#This Row],[Sales_amount]]-SalesData[[#This Row],[Total_Cost]]</f>
        <v>6917.5</v>
      </c>
      <c r="R824" s="2">
        <f>SalesData[[#This Row],[Profit]]/SalesData[[#This Row],[Sales_amount]]</f>
        <v>8.7265814129808134E-2</v>
      </c>
      <c r="S824" s="2">
        <f>SalesData[[#This Row],[Unit_Price]]-SalesData[[#This Row],[Unit_Cost]]</f>
        <v>385.90999999999985</v>
      </c>
      <c r="T824" s="10">
        <f>SalesData[[#This Row],[Unit_Margin]]/SalesData[[#This Row],[Unit_Price]]</f>
        <v>9.6393155988510018E-2</v>
      </c>
      <c r="U824" s="2" t="str">
        <f>IF(SalesData[[#This Row],[Unit_Margin]]&lt;0, "Negative margin", "Positive margin")</f>
        <v>Positive margin</v>
      </c>
      <c r="V824" s="2" t="str">
        <f>IF(SalesData[[#This Row],[Profit]]&lt;0, "Loss", "Profit")</f>
        <v>Profit</v>
      </c>
      <c r="W824" s="2">
        <f>SalesData[[#This Row],[Unit_Price]]*(1-SalesData[[#This Row],[Discount]])</f>
        <v>3963.4650000000001</v>
      </c>
      <c r="X824" s="2">
        <f>SalesData[[#This Row],[Effective_Unit_Price]]-SalesData[[#This Row],[Unit_Cost]]</f>
        <v>345.875</v>
      </c>
      <c r="Y824" s="2" t="str">
        <f>IF(SalesData[[#This Row],[Effective_Unit_Margin]]&lt;0,"Loss per Unit","Positive per Unit")</f>
        <v>Positive per Unit</v>
      </c>
    </row>
    <row r="825" spans="1:25" x14ac:dyDescent="0.3">
      <c r="A825">
        <v>1017</v>
      </c>
      <c r="B825" s="1">
        <v>44941</v>
      </c>
      <c r="C825" t="s">
        <v>37</v>
      </c>
      <c r="D825" t="s">
        <v>14</v>
      </c>
      <c r="E825">
        <v>6</v>
      </c>
      <c r="F825" t="s">
        <v>15</v>
      </c>
      <c r="G825">
        <v>2594.42</v>
      </c>
      <c r="H825">
        <v>3081.04</v>
      </c>
      <c r="I825" t="s">
        <v>16</v>
      </c>
      <c r="J825" s="2">
        <v>0.1</v>
      </c>
      <c r="K825" t="s">
        <v>26</v>
      </c>
      <c r="L825" t="s">
        <v>21</v>
      </c>
      <c r="M825" t="s">
        <v>39</v>
      </c>
      <c r="N825">
        <f>SalesData[[#This Row],[Quantity_Sold]]*SalesData[[#This Row],[Unit_Cost]]</f>
        <v>15566.52</v>
      </c>
      <c r="O825">
        <f>SalesData[[#This Row],[Quantity_Sold]]*SalesData[[#This Row],[Unit_Price]]</f>
        <v>18486.239999999998</v>
      </c>
      <c r="P825">
        <f>SalesData[[#This Row],[Gross_sales]]*(1-SalesData[[#This Row],[Discount]])</f>
        <v>16637.615999999998</v>
      </c>
      <c r="Q825" s="2">
        <f>SalesData[[#This Row],[Sales_amount]]-SalesData[[#This Row],[Total_Cost]]</f>
        <v>1071.0959999999977</v>
      </c>
      <c r="R825" s="2">
        <f>SalesData[[#This Row],[Profit]]/SalesData[[#This Row],[Sales_amount]]</f>
        <v>6.4377973382724898E-2</v>
      </c>
      <c r="S825" s="2">
        <f>SalesData[[#This Row],[Unit_Price]]-SalesData[[#This Row],[Unit_Cost]]</f>
        <v>486.61999999999989</v>
      </c>
      <c r="T825" s="10">
        <f>SalesData[[#This Row],[Unit_Margin]]/SalesData[[#This Row],[Unit_Price]]</f>
        <v>0.15794017604445248</v>
      </c>
      <c r="U825" s="2" t="str">
        <f>IF(SalesData[[#This Row],[Unit_Margin]]&lt;0, "Negative margin", "Positive margin")</f>
        <v>Positive margin</v>
      </c>
      <c r="V825" s="2" t="str">
        <f>IF(SalesData[[#This Row],[Profit]]&lt;0, "Loss", "Profit")</f>
        <v>Profit</v>
      </c>
      <c r="W825" s="2">
        <f>SalesData[[#This Row],[Unit_Price]]*(1-SalesData[[#This Row],[Discount]])</f>
        <v>2772.9360000000001</v>
      </c>
      <c r="X825" s="2">
        <f>SalesData[[#This Row],[Effective_Unit_Price]]-SalesData[[#This Row],[Unit_Cost]]</f>
        <v>178.51600000000008</v>
      </c>
      <c r="Y825" s="2" t="str">
        <f>IF(SalesData[[#This Row],[Effective_Unit_Margin]]&lt;0,"Loss per Unit","Positive per Unit")</f>
        <v>Positive per Unit</v>
      </c>
    </row>
    <row r="826" spans="1:25" x14ac:dyDescent="0.3">
      <c r="A826">
        <v>1085</v>
      </c>
      <c r="B826" s="1">
        <v>45088</v>
      </c>
      <c r="C826" t="s">
        <v>23</v>
      </c>
      <c r="D826" t="s">
        <v>33</v>
      </c>
      <c r="E826">
        <v>8</v>
      </c>
      <c r="F826" t="s">
        <v>25</v>
      </c>
      <c r="G826">
        <v>3048.48</v>
      </c>
      <c r="H826">
        <v>3198.54</v>
      </c>
      <c r="I826" t="s">
        <v>16</v>
      </c>
      <c r="J826" s="2">
        <v>0.03</v>
      </c>
      <c r="K826" t="s">
        <v>26</v>
      </c>
      <c r="L826" t="s">
        <v>18</v>
      </c>
      <c r="M826" t="s">
        <v>49</v>
      </c>
      <c r="N826">
        <f>SalesData[[#This Row],[Quantity_Sold]]*SalesData[[#This Row],[Unit_Cost]]</f>
        <v>24387.84</v>
      </c>
      <c r="O826">
        <f>SalesData[[#This Row],[Quantity_Sold]]*SalesData[[#This Row],[Unit_Price]]</f>
        <v>25588.32</v>
      </c>
      <c r="P826">
        <f>SalesData[[#This Row],[Gross_sales]]*(1-SalesData[[#This Row],[Discount]])</f>
        <v>24820.670399999999</v>
      </c>
      <c r="Q826" s="2">
        <f>SalesData[[#This Row],[Sales_amount]]-SalesData[[#This Row],[Total_Cost]]</f>
        <v>432.83039999999892</v>
      </c>
      <c r="R826" s="2">
        <f>SalesData[[#This Row],[Profit]]/SalesData[[#This Row],[Sales_amount]]</f>
        <v>1.7438304164419303E-2</v>
      </c>
      <c r="S826" s="2">
        <f>SalesData[[#This Row],[Unit_Price]]-SalesData[[#This Row],[Unit_Cost]]</f>
        <v>150.05999999999995</v>
      </c>
      <c r="T826" s="10">
        <f>SalesData[[#This Row],[Unit_Margin]]/SalesData[[#This Row],[Unit_Price]]</f>
        <v>4.6915155039486747E-2</v>
      </c>
      <c r="U826" s="2" t="str">
        <f>IF(SalesData[[#This Row],[Unit_Margin]]&lt;0, "Negative margin", "Positive margin")</f>
        <v>Positive margin</v>
      </c>
      <c r="V826" s="2" t="str">
        <f>IF(SalesData[[#This Row],[Profit]]&lt;0, "Loss", "Profit")</f>
        <v>Profit</v>
      </c>
      <c r="W826" s="2">
        <f>SalesData[[#This Row],[Unit_Price]]*(1-SalesData[[#This Row],[Discount]])</f>
        <v>3102.5837999999999</v>
      </c>
      <c r="X826" s="2">
        <f>SalesData[[#This Row],[Effective_Unit_Price]]-SalesData[[#This Row],[Unit_Cost]]</f>
        <v>54.103799999999865</v>
      </c>
      <c r="Y826" s="2" t="str">
        <f>IF(SalesData[[#This Row],[Effective_Unit_Margin]]&lt;0,"Loss per Unit","Positive per Unit")</f>
        <v>Positive per Unit</v>
      </c>
    </row>
    <row r="827" spans="1:25" x14ac:dyDescent="0.3">
      <c r="A827">
        <v>1078</v>
      </c>
      <c r="B827" s="1">
        <v>45089</v>
      </c>
      <c r="C827" t="s">
        <v>32</v>
      </c>
      <c r="D827" t="s">
        <v>24</v>
      </c>
      <c r="E827">
        <v>29</v>
      </c>
      <c r="F827" t="s">
        <v>34</v>
      </c>
      <c r="G827">
        <v>3177.81</v>
      </c>
      <c r="H827">
        <v>3222.65</v>
      </c>
      <c r="I827" t="s">
        <v>16</v>
      </c>
      <c r="J827" s="2">
        <v>0.08</v>
      </c>
      <c r="K827" t="s">
        <v>30</v>
      </c>
      <c r="L827" t="s">
        <v>21</v>
      </c>
      <c r="M827" t="s">
        <v>43</v>
      </c>
      <c r="N827">
        <f>SalesData[[#This Row],[Quantity_Sold]]*SalesData[[#This Row],[Unit_Cost]]</f>
        <v>92156.49</v>
      </c>
      <c r="O827">
        <f>SalesData[[#This Row],[Quantity_Sold]]*SalesData[[#This Row],[Unit_Price]]</f>
        <v>93456.85</v>
      </c>
      <c r="P827">
        <f>SalesData[[#This Row],[Gross_sales]]*(1-SalesData[[#This Row],[Discount]])</f>
        <v>85980.302000000011</v>
      </c>
      <c r="Q827" s="2">
        <f>SalesData[[#This Row],[Sales_amount]]-SalesData[[#This Row],[Total_Cost]]</f>
        <v>-6176.1879999999946</v>
      </c>
      <c r="R827" s="2">
        <f>SalesData[[#This Row],[Profit]]/SalesData[[#This Row],[Sales_amount]]</f>
        <v>-7.1832592539626039E-2</v>
      </c>
      <c r="S827" s="2">
        <f>SalesData[[#This Row],[Unit_Price]]-SalesData[[#This Row],[Unit_Cost]]</f>
        <v>44.840000000000146</v>
      </c>
      <c r="T827" s="10">
        <f>SalesData[[#This Row],[Unit_Margin]]/SalesData[[#This Row],[Unit_Price]]</f>
        <v>1.3914014863544023E-2</v>
      </c>
      <c r="U827" s="2" t="str">
        <f>IF(SalesData[[#This Row],[Unit_Margin]]&lt;0, "Negative margin", "Positive margin")</f>
        <v>Positive margin</v>
      </c>
      <c r="V827" s="2" t="str">
        <f>IF(SalesData[[#This Row],[Profit]]&lt;0, "Loss", "Profit")</f>
        <v>Loss</v>
      </c>
      <c r="W827" s="2">
        <f>SalesData[[#This Row],[Unit_Price]]*(1-SalesData[[#This Row],[Discount]])</f>
        <v>2964.8380000000002</v>
      </c>
      <c r="X827" s="2">
        <f>SalesData[[#This Row],[Effective_Unit_Price]]-SalesData[[#This Row],[Unit_Cost]]</f>
        <v>-212.97199999999975</v>
      </c>
      <c r="Y827" s="2" t="str">
        <f>IF(SalesData[[#This Row],[Effective_Unit_Margin]]&lt;0,"Loss per Unit","Positive per Unit")</f>
        <v>Loss per Unit</v>
      </c>
    </row>
    <row r="828" spans="1:25" x14ac:dyDescent="0.3">
      <c r="A828">
        <v>1073</v>
      </c>
      <c r="B828" s="1">
        <v>45246</v>
      </c>
      <c r="C828" t="s">
        <v>23</v>
      </c>
      <c r="D828" t="s">
        <v>24</v>
      </c>
      <c r="E828">
        <v>48</v>
      </c>
      <c r="F828" t="s">
        <v>28</v>
      </c>
      <c r="G828">
        <v>2658.9</v>
      </c>
      <c r="H828">
        <v>2838.27</v>
      </c>
      <c r="I828" t="s">
        <v>29</v>
      </c>
      <c r="J828" s="2">
        <v>0.25</v>
      </c>
      <c r="K828" t="s">
        <v>30</v>
      </c>
      <c r="L828" t="s">
        <v>18</v>
      </c>
      <c r="M828" t="s">
        <v>27</v>
      </c>
      <c r="N828">
        <f>SalesData[[#This Row],[Quantity_Sold]]*SalesData[[#This Row],[Unit_Cost]]</f>
        <v>127627.20000000001</v>
      </c>
      <c r="O828">
        <f>SalesData[[#This Row],[Quantity_Sold]]*SalesData[[#This Row],[Unit_Price]]</f>
        <v>136236.96</v>
      </c>
      <c r="P828">
        <f>SalesData[[#This Row],[Gross_sales]]*(1-SalesData[[#This Row],[Discount]])</f>
        <v>102177.72</v>
      </c>
      <c r="Q828" s="2">
        <f>SalesData[[#This Row],[Sales_amount]]-SalesData[[#This Row],[Total_Cost]]</f>
        <v>-25449.48000000001</v>
      </c>
      <c r="R828" s="2">
        <f>SalesData[[#This Row],[Profit]]/SalesData[[#This Row],[Sales_amount]]</f>
        <v>-0.24907073675161287</v>
      </c>
      <c r="S828" s="2">
        <f>SalesData[[#This Row],[Unit_Price]]-SalesData[[#This Row],[Unit_Cost]]</f>
        <v>179.36999999999989</v>
      </c>
      <c r="T828" s="10">
        <f>SalesData[[#This Row],[Unit_Margin]]/SalesData[[#This Row],[Unit_Price]]</f>
        <v>6.3196947436290382E-2</v>
      </c>
      <c r="U828" s="2" t="str">
        <f>IF(SalesData[[#This Row],[Unit_Margin]]&lt;0, "Negative margin", "Positive margin")</f>
        <v>Positive margin</v>
      </c>
      <c r="V828" s="2" t="str">
        <f>IF(SalesData[[#This Row],[Profit]]&lt;0, "Loss", "Profit")</f>
        <v>Loss</v>
      </c>
      <c r="W828" s="2">
        <f>SalesData[[#This Row],[Unit_Price]]*(1-SalesData[[#This Row],[Discount]])</f>
        <v>2128.7024999999999</v>
      </c>
      <c r="X828" s="2">
        <f>SalesData[[#This Row],[Effective_Unit_Price]]-SalesData[[#This Row],[Unit_Cost]]</f>
        <v>-530.19750000000022</v>
      </c>
      <c r="Y828" s="2" t="str">
        <f>IF(SalesData[[#This Row],[Effective_Unit_Margin]]&lt;0,"Loss per Unit","Positive per Unit")</f>
        <v>Loss per Unit</v>
      </c>
    </row>
    <row r="829" spans="1:25" x14ac:dyDescent="0.3">
      <c r="A829">
        <v>1001</v>
      </c>
      <c r="B829" s="1">
        <v>45207</v>
      </c>
      <c r="C829" t="s">
        <v>13</v>
      </c>
      <c r="D829" t="s">
        <v>20</v>
      </c>
      <c r="E829">
        <v>33</v>
      </c>
      <c r="F829" t="s">
        <v>15</v>
      </c>
      <c r="G829">
        <v>2933.54</v>
      </c>
      <c r="H829">
        <v>3307.75</v>
      </c>
      <c r="I829" t="s">
        <v>16</v>
      </c>
      <c r="J829" s="2">
        <v>0.01</v>
      </c>
      <c r="K829" t="s">
        <v>26</v>
      </c>
      <c r="L829" t="s">
        <v>21</v>
      </c>
      <c r="M829" t="s">
        <v>22</v>
      </c>
      <c r="N829">
        <f>SalesData[[#This Row],[Quantity_Sold]]*SalesData[[#This Row],[Unit_Cost]]</f>
        <v>96806.819999999992</v>
      </c>
      <c r="O829">
        <f>SalesData[[#This Row],[Quantity_Sold]]*SalesData[[#This Row],[Unit_Price]]</f>
        <v>109155.75</v>
      </c>
      <c r="P829">
        <f>SalesData[[#This Row],[Gross_sales]]*(1-SalesData[[#This Row],[Discount]])</f>
        <v>108064.1925</v>
      </c>
      <c r="Q829" s="2">
        <f>SalesData[[#This Row],[Sales_amount]]-SalesData[[#This Row],[Total_Cost]]</f>
        <v>11257.372500000012</v>
      </c>
      <c r="R829" s="2">
        <f>SalesData[[#This Row],[Profit]]/SalesData[[#This Row],[Sales_amount]]</f>
        <v>0.10417301272111955</v>
      </c>
      <c r="S829" s="2">
        <f>SalesData[[#This Row],[Unit_Price]]-SalesData[[#This Row],[Unit_Cost]]</f>
        <v>374.21000000000004</v>
      </c>
      <c r="T829" s="10">
        <f>SalesData[[#This Row],[Unit_Margin]]/SalesData[[#This Row],[Unit_Price]]</f>
        <v>0.11313128259390826</v>
      </c>
      <c r="U829" s="2" t="str">
        <f>IF(SalesData[[#This Row],[Unit_Margin]]&lt;0, "Negative margin", "Positive margin")</f>
        <v>Positive margin</v>
      </c>
      <c r="V829" s="2" t="str">
        <f>IF(SalesData[[#This Row],[Profit]]&lt;0, "Loss", "Profit")</f>
        <v>Profit</v>
      </c>
      <c r="W829" s="2">
        <f>SalesData[[#This Row],[Unit_Price]]*(1-SalesData[[#This Row],[Discount]])</f>
        <v>3274.6725000000001</v>
      </c>
      <c r="X829" s="2">
        <f>SalesData[[#This Row],[Effective_Unit_Price]]-SalesData[[#This Row],[Unit_Cost]]</f>
        <v>341.13250000000016</v>
      </c>
      <c r="Y829" s="2" t="str">
        <f>IF(SalesData[[#This Row],[Effective_Unit_Margin]]&lt;0,"Loss per Unit","Positive per Unit")</f>
        <v>Positive per Unit</v>
      </c>
    </row>
    <row r="830" spans="1:25" x14ac:dyDescent="0.3">
      <c r="A830">
        <v>1051</v>
      </c>
      <c r="B830" s="1">
        <v>45206</v>
      </c>
      <c r="C830" t="s">
        <v>13</v>
      </c>
      <c r="D830" t="s">
        <v>20</v>
      </c>
      <c r="E830">
        <v>3</v>
      </c>
      <c r="F830" t="s">
        <v>15</v>
      </c>
      <c r="G830">
        <v>3434.75</v>
      </c>
      <c r="H830">
        <v>3659.42</v>
      </c>
      <c r="I830" t="s">
        <v>29</v>
      </c>
      <c r="J830" s="2">
        <v>0.16</v>
      </c>
      <c r="K830" t="s">
        <v>17</v>
      </c>
      <c r="L830" t="s">
        <v>18</v>
      </c>
      <c r="M830" t="s">
        <v>22</v>
      </c>
      <c r="N830">
        <f>SalesData[[#This Row],[Quantity_Sold]]*SalesData[[#This Row],[Unit_Cost]]</f>
        <v>10304.25</v>
      </c>
      <c r="O830">
        <f>SalesData[[#This Row],[Quantity_Sold]]*SalesData[[#This Row],[Unit_Price]]</f>
        <v>10978.26</v>
      </c>
      <c r="P830">
        <f>SalesData[[#This Row],[Gross_sales]]*(1-SalesData[[#This Row],[Discount]])</f>
        <v>9221.7384000000002</v>
      </c>
      <c r="Q830" s="2">
        <f>SalesData[[#This Row],[Sales_amount]]-SalesData[[#This Row],[Total_Cost]]</f>
        <v>-1082.5115999999998</v>
      </c>
      <c r="R830" s="2">
        <f>SalesData[[#This Row],[Profit]]/SalesData[[#This Row],[Sales_amount]]</f>
        <v>-0.11738693433333565</v>
      </c>
      <c r="S830" s="2">
        <f>SalesData[[#This Row],[Unit_Price]]-SalesData[[#This Row],[Unit_Cost]]</f>
        <v>224.67000000000007</v>
      </c>
      <c r="T830" s="10">
        <f>SalesData[[#This Row],[Unit_Margin]]/SalesData[[#This Row],[Unit_Price]]</f>
        <v>6.1394975159998054E-2</v>
      </c>
      <c r="U830" s="2" t="str">
        <f>IF(SalesData[[#This Row],[Unit_Margin]]&lt;0, "Negative margin", "Positive margin")</f>
        <v>Positive margin</v>
      </c>
      <c r="V830" s="2" t="str">
        <f>IF(SalesData[[#This Row],[Profit]]&lt;0, "Loss", "Profit")</f>
        <v>Loss</v>
      </c>
      <c r="W830" s="2">
        <f>SalesData[[#This Row],[Unit_Price]]*(1-SalesData[[#This Row],[Discount]])</f>
        <v>3073.9128000000001</v>
      </c>
      <c r="X830" s="2">
        <f>SalesData[[#This Row],[Effective_Unit_Price]]-SalesData[[#This Row],[Unit_Cost]]</f>
        <v>-360.83719999999994</v>
      </c>
      <c r="Y830" s="2" t="str">
        <f>IF(SalesData[[#This Row],[Effective_Unit_Margin]]&lt;0,"Loss per Unit","Positive per Unit")</f>
        <v>Loss per Unit</v>
      </c>
    </row>
    <row r="831" spans="1:25" x14ac:dyDescent="0.3">
      <c r="A831">
        <v>1045</v>
      </c>
      <c r="B831" s="1">
        <v>44938</v>
      </c>
      <c r="C831" t="s">
        <v>32</v>
      </c>
      <c r="D831" t="s">
        <v>24</v>
      </c>
      <c r="E831">
        <v>35</v>
      </c>
      <c r="F831" t="s">
        <v>15</v>
      </c>
      <c r="G831">
        <v>3777.94</v>
      </c>
      <c r="H831">
        <v>4188.66</v>
      </c>
      <c r="I831" t="s">
        <v>29</v>
      </c>
      <c r="J831" s="2">
        <v>0.17</v>
      </c>
      <c r="K831" t="s">
        <v>26</v>
      </c>
      <c r="L831" t="s">
        <v>18</v>
      </c>
      <c r="M831" t="s">
        <v>43</v>
      </c>
      <c r="N831">
        <f>SalesData[[#This Row],[Quantity_Sold]]*SalesData[[#This Row],[Unit_Cost]]</f>
        <v>132227.9</v>
      </c>
      <c r="O831">
        <f>SalesData[[#This Row],[Quantity_Sold]]*SalesData[[#This Row],[Unit_Price]]</f>
        <v>146603.1</v>
      </c>
      <c r="P831">
        <f>SalesData[[#This Row],[Gross_sales]]*(1-SalesData[[#This Row],[Discount]])</f>
        <v>121680.573</v>
      </c>
      <c r="Q831" s="2">
        <f>SalesData[[#This Row],[Sales_amount]]-SalesData[[#This Row],[Total_Cost]]</f>
        <v>-10547.32699999999</v>
      </c>
      <c r="R831" s="2">
        <f>SalesData[[#This Row],[Profit]]/SalesData[[#This Row],[Sales_amount]]</f>
        <v>-8.6680451447249424E-2</v>
      </c>
      <c r="S831" s="2">
        <f>SalesData[[#This Row],[Unit_Price]]-SalesData[[#This Row],[Unit_Cost]]</f>
        <v>410.7199999999998</v>
      </c>
      <c r="T831" s="10">
        <f>SalesData[[#This Row],[Unit_Margin]]/SalesData[[#This Row],[Unit_Price]]</f>
        <v>9.8055225298782855E-2</v>
      </c>
      <c r="U831" s="2" t="str">
        <f>IF(SalesData[[#This Row],[Unit_Margin]]&lt;0, "Negative margin", "Positive margin")</f>
        <v>Positive margin</v>
      </c>
      <c r="V831" s="2" t="str">
        <f>IF(SalesData[[#This Row],[Profit]]&lt;0, "Loss", "Profit")</f>
        <v>Loss</v>
      </c>
      <c r="W831" s="2">
        <f>SalesData[[#This Row],[Unit_Price]]*(1-SalesData[[#This Row],[Discount]])</f>
        <v>3476.5877999999998</v>
      </c>
      <c r="X831" s="2">
        <f>SalesData[[#This Row],[Effective_Unit_Price]]-SalesData[[#This Row],[Unit_Cost]]</f>
        <v>-301.35220000000027</v>
      </c>
      <c r="Y831" s="2" t="str">
        <f>IF(SalesData[[#This Row],[Effective_Unit_Margin]]&lt;0,"Loss per Unit","Positive per Unit")</f>
        <v>Loss per Unit</v>
      </c>
    </row>
    <row r="832" spans="1:25" x14ac:dyDescent="0.3">
      <c r="A832">
        <v>1077</v>
      </c>
      <c r="B832" s="1">
        <v>45200</v>
      </c>
      <c r="C832" t="s">
        <v>41</v>
      </c>
      <c r="D832" t="s">
        <v>20</v>
      </c>
      <c r="E832">
        <v>5</v>
      </c>
      <c r="F832" t="s">
        <v>34</v>
      </c>
      <c r="G832">
        <v>3650.89</v>
      </c>
      <c r="H832">
        <v>3930.06</v>
      </c>
      <c r="I832" t="s">
        <v>29</v>
      </c>
      <c r="J832" s="2">
        <v>0.17</v>
      </c>
      <c r="K832" t="s">
        <v>26</v>
      </c>
      <c r="L832" t="s">
        <v>18</v>
      </c>
      <c r="M832" t="s">
        <v>50</v>
      </c>
      <c r="N832">
        <f>SalesData[[#This Row],[Quantity_Sold]]*SalesData[[#This Row],[Unit_Cost]]</f>
        <v>18254.45</v>
      </c>
      <c r="O832">
        <f>SalesData[[#This Row],[Quantity_Sold]]*SalesData[[#This Row],[Unit_Price]]</f>
        <v>19650.3</v>
      </c>
      <c r="P832">
        <f>SalesData[[#This Row],[Gross_sales]]*(1-SalesData[[#This Row],[Discount]])</f>
        <v>16309.748999999998</v>
      </c>
      <c r="Q832" s="2">
        <f>SalesData[[#This Row],[Sales_amount]]-SalesData[[#This Row],[Total_Cost]]</f>
        <v>-1944.7010000000028</v>
      </c>
      <c r="R832" s="2">
        <f>SalesData[[#This Row],[Profit]]/SalesData[[#This Row],[Sales_amount]]</f>
        <v>-0.11923549528567258</v>
      </c>
      <c r="S832" s="2">
        <f>SalesData[[#This Row],[Unit_Price]]-SalesData[[#This Row],[Unit_Cost]]</f>
        <v>279.17000000000007</v>
      </c>
      <c r="T832" s="10">
        <f>SalesData[[#This Row],[Unit_Margin]]/SalesData[[#This Row],[Unit_Price]]</f>
        <v>7.1034538912891937E-2</v>
      </c>
      <c r="U832" s="2" t="str">
        <f>IF(SalesData[[#This Row],[Unit_Margin]]&lt;0, "Negative margin", "Positive margin")</f>
        <v>Positive margin</v>
      </c>
      <c r="V832" s="2" t="str">
        <f>IF(SalesData[[#This Row],[Profit]]&lt;0, "Loss", "Profit")</f>
        <v>Loss</v>
      </c>
      <c r="W832" s="2">
        <f>SalesData[[#This Row],[Unit_Price]]*(1-SalesData[[#This Row],[Discount]])</f>
        <v>3261.9497999999999</v>
      </c>
      <c r="X832" s="2">
        <f>SalesData[[#This Row],[Effective_Unit_Price]]-SalesData[[#This Row],[Unit_Cost]]</f>
        <v>-388.9402</v>
      </c>
      <c r="Y832" s="2" t="str">
        <f>IF(SalesData[[#This Row],[Effective_Unit_Margin]]&lt;0,"Loss per Unit","Positive per Unit")</f>
        <v>Loss per Unit</v>
      </c>
    </row>
    <row r="833" spans="1:25" x14ac:dyDescent="0.3">
      <c r="A833">
        <v>1004</v>
      </c>
      <c r="B833" s="1">
        <v>45197</v>
      </c>
      <c r="C833" t="s">
        <v>37</v>
      </c>
      <c r="D833" t="s">
        <v>24</v>
      </c>
      <c r="E833">
        <v>27</v>
      </c>
      <c r="F833" t="s">
        <v>28</v>
      </c>
      <c r="G833">
        <v>4354.6000000000004</v>
      </c>
      <c r="H833">
        <v>4820.2</v>
      </c>
      <c r="I833" t="s">
        <v>29</v>
      </c>
      <c r="J833" s="2">
        <v>0.14000000000000001</v>
      </c>
      <c r="K833" t="s">
        <v>30</v>
      </c>
      <c r="L833" t="s">
        <v>21</v>
      </c>
      <c r="M833" t="s">
        <v>38</v>
      </c>
      <c r="N833">
        <f>SalesData[[#This Row],[Quantity_Sold]]*SalesData[[#This Row],[Unit_Cost]]</f>
        <v>117574.20000000001</v>
      </c>
      <c r="O833">
        <f>SalesData[[#This Row],[Quantity_Sold]]*SalesData[[#This Row],[Unit_Price]]</f>
        <v>130145.4</v>
      </c>
      <c r="P833">
        <f>SalesData[[#This Row],[Gross_sales]]*(1-SalesData[[#This Row],[Discount]])</f>
        <v>111925.04399999999</v>
      </c>
      <c r="Q833" s="2">
        <f>SalesData[[#This Row],[Sales_amount]]-SalesData[[#This Row],[Total_Cost]]</f>
        <v>-5649.1560000000172</v>
      </c>
      <c r="R833" s="2">
        <f>SalesData[[#This Row],[Profit]]/SalesData[[#This Row],[Sales_amount]]</f>
        <v>-5.0472671692673332E-2</v>
      </c>
      <c r="S833" s="2">
        <f>SalesData[[#This Row],[Unit_Price]]-SalesData[[#This Row],[Unit_Cost]]</f>
        <v>465.59999999999945</v>
      </c>
      <c r="T833" s="10">
        <f>SalesData[[#This Row],[Unit_Margin]]/SalesData[[#This Row],[Unit_Price]]</f>
        <v>9.659350234430096E-2</v>
      </c>
      <c r="U833" s="2" t="str">
        <f>IF(SalesData[[#This Row],[Unit_Margin]]&lt;0, "Negative margin", "Positive margin")</f>
        <v>Positive margin</v>
      </c>
      <c r="V833" s="2" t="str">
        <f>IF(SalesData[[#This Row],[Profit]]&lt;0, "Loss", "Profit")</f>
        <v>Loss</v>
      </c>
      <c r="W833" s="2">
        <f>SalesData[[#This Row],[Unit_Price]]*(1-SalesData[[#This Row],[Discount]])</f>
        <v>4145.3719999999994</v>
      </c>
      <c r="X833" s="2">
        <f>SalesData[[#This Row],[Effective_Unit_Price]]-SalesData[[#This Row],[Unit_Cost]]</f>
        <v>-209.22800000000097</v>
      </c>
      <c r="Y833" s="2" t="str">
        <f>IF(SalesData[[#This Row],[Effective_Unit_Margin]]&lt;0,"Loss per Unit","Positive per Unit")</f>
        <v>Loss per Unit</v>
      </c>
    </row>
    <row r="834" spans="1:25" x14ac:dyDescent="0.3">
      <c r="A834">
        <v>1062</v>
      </c>
      <c r="B834" s="1">
        <v>45134</v>
      </c>
      <c r="C834" t="s">
        <v>23</v>
      </c>
      <c r="D834" t="s">
        <v>24</v>
      </c>
      <c r="E834">
        <v>44</v>
      </c>
      <c r="F834" t="s">
        <v>34</v>
      </c>
      <c r="G834">
        <v>987.74</v>
      </c>
      <c r="H834">
        <v>1462.19</v>
      </c>
      <c r="I834" t="s">
        <v>29</v>
      </c>
      <c r="J834" s="2">
        <v>0.24</v>
      </c>
      <c r="K834" t="s">
        <v>26</v>
      </c>
      <c r="L834" t="s">
        <v>18</v>
      </c>
      <c r="M834" t="s">
        <v>27</v>
      </c>
      <c r="N834">
        <f>SalesData[[#This Row],[Quantity_Sold]]*SalesData[[#This Row],[Unit_Cost]]</f>
        <v>43460.56</v>
      </c>
      <c r="O834">
        <f>SalesData[[#This Row],[Quantity_Sold]]*SalesData[[#This Row],[Unit_Price]]</f>
        <v>64336.36</v>
      </c>
      <c r="P834">
        <f>SalesData[[#This Row],[Gross_sales]]*(1-SalesData[[#This Row],[Discount]])</f>
        <v>48895.633600000001</v>
      </c>
      <c r="Q834" s="2">
        <f>SalesData[[#This Row],[Sales_amount]]-SalesData[[#This Row],[Total_Cost]]</f>
        <v>5435.0736000000034</v>
      </c>
      <c r="R834" s="2">
        <f>SalesData[[#This Row],[Profit]]/SalesData[[#This Row],[Sales_amount]]</f>
        <v>0.11115662483203824</v>
      </c>
      <c r="S834" s="2">
        <f>SalesData[[#This Row],[Unit_Price]]-SalesData[[#This Row],[Unit_Cost]]</f>
        <v>474.45000000000005</v>
      </c>
      <c r="T834" s="10">
        <f>SalesData[[#This Row],[Unit_Margin]]/SalesData[[#This Row],[Unit_Price]]</f>
        <v>0.32447903487234903</v>
      </c>
      <c r="U834" s="2" t="str">
        <f>IF(SalesData[[#This Row],[Unit_Margin]]&lt;0, "Negative margin", "Positive margin")</f>
        <v>Positive margin</v>
      </c>
      <c r="V834" s="2" t="str">
        <f>IF(SalesData[[#This Row],[Profit]]&lt;0, "Loss", "Profit")</f>
        <v>Profit</v>
      </c>
      <c r="W834" s="2">
        <f>SalesData[[#This Row],[Unit_Price]]*(1-SalesData[[#This Row],[Discount]])</f>
        <v>1111.2644</v>
      </c>
      <c r="X834" s="2">
        <f>SalesData[[#This Row],[Effective_Unit_Price]]-SalesData[[#This Row],[Unit_Cost]]</f>
        <v>123.52440000000001</v>
      </c>
      <c r="Y834" s="2" t="str">
        <f>IF(SalesData[[#This Row],[Effective_Unit_Margin]]&lt;0,"Loss per Unit","Positive per Unit")</f>
        <v>Positive per Unit</v>
      </c>
    </row>
    <row r="835" spans="1:25" x14ac:dyDescent="0.3">
      <c r="A835">
        <v>1065</v>
      </c>
      <c r="B835" s="1">
        <v>44953</v>
      </c>
      <c r="C835" t="s">
        <v>13</v>
      </c>
      <c r="D835" t="s">
        <v>24</v>
      </c>
      <c r="E835">
        <v>12</v>
      </c>
      <c r="F835" t="s">
        <v>34</v>
      </c>
      <c r="G835">
        <v>2035.68</v>
      </c>
      <c r="H835">
        <v>2079.64</v>
      </c>
      <c r="I835" t="s">
        <v>16</v>
      </c>
      <c r="J835" s="2">
        <v>0.04</v>
      </c>
      <c r="K835" t="s">
        <v>17</v>
      </c>
      <c r="L835" t="s">
        <v>18</v>
      </c>
      <c r="M835" t="s">
        <v>31</v>
      </c>
      <c r="N835">
        <f>SalesData[[#This Row],[Quantity_Sold]]*SalesData[[#This Row],[Unit_Cost]]</f>
        <v>24428.16</v>
      </c>
      <c r="O835">
        <f>SalesData[[#This Row],[Quantity_Sold]]*SalesData[[#This Row],[Unit_Price]]</f>
        <v>24955.68</v>
      </c>
      <c r="P835">
        <f>SalesData[[#This Row],[Gross_sales]]*(1-SalesData[[#This Row],[Discount]])</f>
        <v>23957.452799999999</v>
      </c>
      <c r="Q835" s="2">
        <f>SalesData[[#This Row],[Sales_amount]]-SalesData[[#This Row],[Total_Cost]]</f>
        <v>-470.70720000000074</v>
      </c>
      <c r="R835" s="2">
        <f>SalesData[[#This Row],[Profit]]/SalesData[[#This Row],[Sales_amount]]</f>
        <v>-1.9647631320805554E-2</v>
      </c>
      <c r="S835" s="2">
        <f>SalesData[[#This Row],[Unit_Price]]-SalesData[[#This Row],[Unit_Cost]]</f>
        <v>43.959999999999809</v>
      </c>
      <c r="T835" s="10">
        <f>SalesData[[#This Row],[Unit_Margin]]/SalesData[[#This Row],[Unit_Price]]</f>
        <v>2.1138273932026608E-2</v>
      </c>
      <c r="U835" s="2" t="str">
        <f>IF(SalesData[[#This Row],[Unit_Margin]]&lt;0, "Negative margin", "Positive margin")</f>
        <v>Positive margin</v>
      </c>
      <c r="V835" s="2" t="str">
        <f>IF(SalesData[[#This Row],[Profit]]&lt;0, "Loss", "Profit")</f>
        <v>Loss</v>
      </c>
      <c r="W835" s="2">
        <f>SalesData[[#This Row],[Unit_Price]]*(1-SalesData[[#This Row],[Discount]])</f>
        <v>1996.4543999999999</v>
      </c>
      <c r="X835" s="2">
        <f>SalesData[[#This Row],[Effective_Unit_Price]]-SalesData[[#This Row],[Unit_Cost]]</f>
        <v>-39.225600000000213</v>
      </c>
      <c r="Y835" s="2" t="str">
        <f>IF(SalesData[[#This Row],[Effective_Unit_Margin]]&lt;0,"Loss per Unit","Positive per Unit")</f>
        <v>Loss per Unit</v>
      </c>
    </row>
    <row r="836" spans="1:25" x14ac:dyDescent="0.3">
      <c r="A836">
        <v>1032</v>
      </c>
      <c r="B836" s="1">
        <v>44998</v>
      </c>
      <c r="C836" t="s">
        <v>41</v>
      </c>
      <c r="D836" t="s">
        <v>14</v>
      </c>
      <c r="E836">
        <v>20</v>
      </c>
      <c r="F836" t="s">
        <v>34</v>
      </c>
      <c r="G836">
        <v>4741.59</v>
      </c>
      <c r="H836">
        <v>4975.2299999999996</v>
      </c>
      <c r="I836" t="s">
        <v>29</v>
      </c>
      <c r="J836" s="2">
        <v>0.09</v>
      </c>
      <c r="K836" t="s">
        <v>30</v>
      </c>
      <c r="L836" t="s">
        <v>18</v>
      </c>
      <c r="M836" t="s">
        <v>48</v>
      </c>
      <c r="N836">
        <f>SalesData[[#This Row],[Quantity_Sold]]*SalesData[[#This Row],[Unit_Cost]]</f>
        <v>94831.8</v>
      </c>
      <c r="O836">
        <f>SalesData[[#This Row],[Quantity_Sold]]*SalesData[[#This Row],[Unit_Price]]</f>
        <v>99504.599999999991</v>
      </c>
      <c r="P836">
        <f>SalesData[[#This Row],[Gross_sales]]*(1-SalesData[[#This Row],[Discount]])</f>
        <v>90549.186000000002</v>
      </c>
      <c r="Q836" s="2">
        <f>SalesData[[#This Row],[Sales_amount]]-SalesData[[#This Row],[Total_Cost]]</f>
        <v>-4282.6140000000014</v>
      </c>
      <c r="R836" s="2">
        <f>SalesData[[#This Row],[Profit]]/SalesData[[#This Row],[Sales_amount]]</f>
        <v>-4.7295996675221372E-2</v>
      </c>
      <c r="S836" s="2">
        <f>SalesData[[#This Row],[Unit_Price]]-SalesData[[#This Row],[Unit_Cost]]</f>
        <v>233.63999999999942</v>
      </c>
      <c r="T836" s="10">
        <f>SalesData[[#This Row],[Unit_Margin]]/SalesData[[#This Row],[Unit_Price]]</f>
        <v>4.6960643025548456E-2</v>
      </c>
      <c r="U836" s="2" t="str">
        <f>IF(SalesData[[#This Row],[Unit_Margin]]&lt;0, "Negative margin", "Positive margin")</f>
        <v>Positive margin</v>
      </c>
      <c r="V836" s="2" t="str">
        <f>IF(SalesData[[#This Row],[Profit]]&lt;0, "Loss", "Profit")</f>
        <v>Loss</v>
      </c>
      <c r="W836" s="2">
        <f>SalesData[[#This Row],[Unit_Price]]*(1-SalesData[[#This Row],[Discount]])</f>
        <v>4527.4592999999995</v>
      </c>
      <c r="X836" s="2">
        <f>SalesData[[#This Row],[Effective_Unit_Price]]-SalesData[[#This Row],[Unit_Cost]]</f>
        <v>-214.13070000000062</v>
      </c>
      <c r="Y836" s="2" t="str">
        <f>IF(SalesData[[#This Row],[Effective_Unit_Margin]]&lt;0,"Loss per Unit","Positive per Unit")</f>
        <v>Loss per Unit</v>
      </c>
    </row>
    <row r="837" spans="1:25" x14ac:dyDescent="0.3">
      <c r="A837">
        <v>1034</v>
      </c>
      <c r="B837" s="1">
        <v>44986</v>
      </c>
      <c r="C837" t="s">
        <v>32</v>
      </c>
      <c r="D837" t="s">
        <v>20</v>
      </c>
      <c r="E837">
        <v>45</v>
      </c>
      <c r="F837" t="s">
        <v>25</v>
      </c>
      <c r="G837">
        <v>2013.12</v>
      </c>
      <c r="H837">
        <v>2321.87</v>
      </c>
      <c r="I837" t="s">
        <v>29</v>
      </c>
      <c r="J837" s="2">
        <v>0.18</v>
      </c>
      <c r="K837" t="s">
        <v>26</v>
      </c>
      <c r="L837" t="s">
        <v>21</v>
      </c>
      <c r="M837" t="s">
        <v>36</v>
      </c>
      <c r="N837">
        <f>SalesData[[#This Row],[Quantity_Sold]]*SalesData[[#This Row],[Unit_Cost]]</f>
        <v>90590.399999999994</v>
      </c>
      <c r="O837">
        <f>SalesData[[#This Row],[Quantity_Sold]]*SalesData[[#This Row],[Unit_Price]]</f>
        <v>104484.15</v>
      </c>
      <c r="P837">
        <f>SalesData[[#This Row],[Gross_sales]]*(1-SalesData[[#This Row],[Discount]])</f>
        <v>85677.002999999997</v>
      </c>
      <c r="Q837" s="2">
        <f>SalesData[[#This Row],[Sales_amount]]-SalesData[[#This Row],[Total_Cost]]</f>
        <v>-4913.3969999999972</v>
      </c>
      <c r="R837" s="2">
        <f>SalesData[[#This Row],[Profit]]/SalesData[[#This Row],[Sales_amount]]</f>
        <v>-5.7347909333383164E-2</v>
      </c>
      <c r="S837" s="2">
        <f>SalesData[[#This Row],[Unit_Price]]-SalesData[[#This Row],[Unit_Cost]]</f>
        <v>308.75</v>
      </c>
      <c r="T837" s="10">
        <f>SalesData[[#This Row],[Unit_Margin]]/SalesData[[#This Row],[Unit_Price]]</f>
        <v>0.13297471434662578</v>
      </c>
      <c r="U837" s="2" t="str">
        <f>IF(SalesData[[#This Row],[Unit_Margin]]&lt;0, "Negative margin", "Positive margin")</f>
        <v>Positive margin</v>
      </c>
      <c r="V837" s="2" t="str">
        <f>IF(SalesData[[#This Row],[Profit]]&lt;0, "Loss", "Profit")</f>
        <v>Loss</v>
      </c>
      <c r="W837" s="2">
        <f>SalesData[[#This Row],[Unit_Price]]*(1-SalesData[[#This Row],[Discount]])</f>
        <v>1903.9334000000001</v>
      </c>
      <c r="X837" s="2">
        <f>SalesData[[#This Row],[Effective_Unit_Price]]-SalesData[[#This Row],[Unit_Cost]]</f>
        <v>-109.18659999999977</v>
      </c>
      <c r="Y837" s="2" t="str">
        <f>IF(SalesData[[#This Row],[Effective_Unit_Margin]]&lt;0,"Loss per Unit","Positive per Unit")</f>
        <v>Loss per Unit</v>
      </c>
    </row>
    <row r="838" spans="1:25" x14ac:dyDescent="0.3">
      <c r="A838">
        <v>1092</v>
      </c>
      <c r="B838" s="1">
        <v>45071</v>
      </c>
      <c r="C838" t="s">
        <v>13</v>
      </c>
      <c r="D838" t="s">
        <v>33</v>
      </c>
      <c r="E838">
        <v>20</v>
      </c>
      <c r="F838" t="s">
        <v>25</v>
      </c>
      <c r="G838">
        <v>668.11</v>
      </c>
      <c r="H838">
        <v>803.49</v>
      </c>
      <c r="I838" t="s">
        <v>29</v>
      </c>
      <c r="J838" s="2">
        <v>0.21</v>
      </c>
      <c r="K838" t="s">
        <v>26</v>
      </c>
      <c r="L838" t="s">
        <v>18</v>
      </c>
      <c r="M838" t="s">
        <v>45</v>
      </c>
      <c r="N838">
        <f>SalesData[[#This Row],[Quantity_Sold]]*SalesData[[#This Row],[Unit_Cost]]</f>
        <v>13362.2</v>
      </c>
      <c r="O838">
        <f>SalesData[[#This Row],[Quantity_Sold]]*SalesData[[#This Row],[Unit_Price]]</f>
        <v>16069.8</v>
      </c>
      <c r="P838">
        <f>SalesData[[#This Row],[Gross_sales]]*(1-SalesData[[#This Row],[Discount]])</f>
        <v>12695.142</v>
      </c>
      <c r="Q838" s="2">
        <f>SalesData[[#This Row],[Sales_amount]]-SalesData[[#This Row],[Total_Cost]]</f>
        <v>-667.0580000000009</v>
      </c>
      <c r="R838" s="2">
        <f>SalesData[[#This Row],[Profit]]/SalesData[[#This Row],[Sales_amount]]</f>
        <v>-5.2544351217182206E-2</v>
      </c>
      <c r="S838" s="2">
        <f>SalesData[[#This Row],[Unit_Price]]-SalesData[[#This Row],[Unit_Cost]]</f>
        <v>135.38</v>
      </c>
      <c r="T838" s="10">
        <f>SalesData[[#This Row],[Unit_Margin]]/SalesData[[#This Row],[Unit_Price]]</f>
        <v>0.1684899625384261</v>
      </c>
      <c r="U838" s="2" t="str">
        <f>IF(SalesData[[#This Row],[Unit_Margin]]&lt;0, "Negative margin", "Positive margin")</f>
        <v>Positive margin</v>
      </c>
      <c r="V838" s="2" t="str">
        <f>IF(SalesData[[#This Row],[Profit]]&lt;0, "Loss", "Profit")</f>
        <v>Loss</v>
      </c>
      <c r="W838" s="2">
        <f>SalesData[[#This Row],[Unit_Price]]*(1-SalesData[[#This Row],[Discount]])</f>
        <v>634.75710000000004</v>
      </c>
      <c r="X838" s="2">
        <f>SalesData[[#This Row],[Effective_Unit_Price]]-SalesData[[#This Row],[Unit_Cost]]</f>
        <v>-33.352899999999977</v>
      </c>
      <c r="Y838" s="2" t="str">
        <f>IF(SalesData[[#This Row],[Effective_Unit_Margin]]&lt;0,"Loss per Unit","Positive per Unit")</f>
        <v>Loss per Unit</v>
      </c>
    </row>
    <row r="839" spans="1:25" x14ac:dyDescent="0.3">
      <c r="A839">
        <v>1095</v>
      </c>
      <c r="B839" s="1">
        <v>45019</v>
      </c>
      <c r="C839" t="s">
        <v>32</v>
      </c>
      <c r="D839" t="s">
        <v>33</v>
      </c>
      <c r="E839">
        <v>9</v>
      </c>
      <c r="F839" t="s">
        <v>25</v>
      </c>
      <c r="G839">
        <v>2650.95</v>
      </c>
      <c r="H839">
        <v>2860.4199999999901</v>
      </c>
      <c r="I839" t="s">
        <v>29</v>
      </c>
      <c r="J839" s="2">
        <v>0.12</v>
      </c>
      <c r="K839" t="s">
        <v>17</v>
      </c>
      <c r="L839" t="s">
        <v>21</v>
      </c>
      <c r="M839" t="s">
        <v>35</v>
      </c>
      <c r="N839">
        <f>SalesData[[#This Row],[Quantity_Sold]]*SalesData[[#This Row],[Unit_Cost]]</f>
        <v>23858.55</v>
      </c>
      <c r="O839">
        <f>SalesData[[#This Row],[Quantity_Sold]]*SalesData[[#This Row],[Unit_Price]]</f>
        <v>25743.779999999912</v>
      </c>
      <c r="P839">
        <f>SalesData[[#This Row],[Gross_sales]]*(1-SalesData[[#This Row],[Discount]])</f>
        <v>22654.526399999922</v>
      </c>
      <c r="Q839" s="2">
        <f>SalesData[[#This Row],[Sales_amount]]-SalesData[[#This Row],[Total_Cost]]</f>
        <v>-1204.0236000000768</v>
      </c>
      <c r="R839" s="2">
        <f>SalesData[[#This Row],[Profit]]/SalesData[[#This Row],[Sales_amount]]</f>
        <v>-5.3147153850900235E-2</v>
      </c>
      <c r="S839" s="2">
        <f>SalesData[[#This Row],[Unit_Price]]-SalesData[[#This Row],[Unit_Cost]]</f>
        <v>209.46999999999025</v>
      </c>
      <c r="T839" s="10">
        <f>SalesData[[#This Row],[Unit_Margin]]/SalesData[[#This Row],[Unit_Price]]</f>
        <v>7.3230504611207781E-2</v>
      </c>
      <c r="U839" s="2" t="str">
        <f>IF(SalesData[[#This Row],[Unit_Margin]]&lt;0, "Negative margin", "Positive margin")</f>
        <v>Positive margin</v>
      </c>
      <c r="V839" s="2" t="str">
        <f>IF(SalesData[[#This Row],[Profit]]&lt;0, "Loss", "Profit")</f>
        <v>Loss</v>
      </c>
      <c r="W839" s="2">
        <f>SalesData[[#This Row],[Unit_Price]]*(1-SalesData[[#This Row],[Discount]])</f>
        <v>2517.1695999999911</v>
      </c>
      <c r="X839" s="2">
        <f>SalesData[[#This Row],[Effective_Unit_Price]]-SalesData[[#This Row],[Unit_Cost]]</f>
        <v>-133.78040000000874</v>
      </c>
      <c r="Y839" s="2" t="str">
        <f>IF(SalesData[[#This Row],[Effective_Unit_Margin]]&lt;0,"Loss per Unit","Positive per Unit")</f>
        <v>Loss per Unit</v>
      </c>
    </row>
    <row r="840" spans="1:25" x14ac:dyDescent="0.3">
      <c r="A840">
        <v>1072</v>
      </c>
      <c r="B840" s="1">
        <v>45235</v>
      </c>
      <c r="C840" t="s">
        <v>23</v>
      </c>
      <c r="D840" t="s">
        <v>20</v>
      </c>
      <c r="E840">
        <v>39</v>
      </c>
      <c r="F840" t="s">
        <v>28</v>
      </c>
      <c r="G840">
        <v>591.98</v>
      </c>
      <c r="H840">
        <v>934.04</v>
      </c>
      <c r="I840" t="s">
        <v>29</v>
      </c>
      <c r="J840" s="2">
        <v>0.26</v>
      </c>
      <c r="K840" t="s">
        <v>26</v>
      </c>
      <c r="L840" t="s">
        <v>21</v>
      </c>
      <c r="M840" t="s">
        <v>46</v>
      </c>
      <c r="N840">
        <f>SalesData[[#This Row],[Quantity_Sold]]*SalesData[[#This Row],[Unit_Cost]]</f>
        <v>23087.22</v>
      </c>
      <c r="O840">
        <f>SalesData[[#This Row],[Quantity_Sold]]*SalesData[[#This Row],[Unit_Price]]</f>
        <v>36427.56</v>
      </c>
      <c r="P840">
        <f>SalesData[[#This Row],[Gross_sales]]*(1-SalesData[[#This Row],[Discount]])</f>
        <v>26956.394399999997</v>
      </c>
      <c r="Q840" s="2">
        <f>SalesData[[#This Row],[Sales_amount]]-SalesData[[#This Row],[Total_Cost]]</f>
        <v>3869.1743999999962</v>
      </c>
      <c r="R840" s="2">
        <f>SalesData[[#This Row],[Profit]]/SalesData[[#This Row],[Sales_amount]]</f>
        <v>0.14353456707103218</v>
      </c>
      <c r="S840" s="2">
        <f>SalesData[[#This Row],[Unit_Price]]-SalesData[[#This Row],[Unit_Cost]]</f>
        <v>342.05999999999995</v>
      </c>
      <c r="T840" s="10">
        <f>SalesData[[#This Row],[Unit_Margin]]/SalesData[[#This Row],[Unit_Price]]</f>
        <v>0.36621557963256385</v>
      </c>
      <c r="U840" s="2" t="str">
        <f>IF(SalesData[[#This Row],[Unit_Margin]]&lt;0, "Negative margin", "Positive margin")</f>
        <v>Positive margin</v>
      </c>
      <c r="V840" s="2" t="str">
        <f>IF(SalesData[[#This Row],[Profit]]&lt;0, "Loss", "Profit")</f>
        <v>Profit</v>
      </c>
      <c r="W840" s="2">
        <f>SalesData[[#This Row],[Unit_Price]]*(1-SalesData[[#This Row],[Discount]])</f>
        <v>691.18959999999993</v>
      </c>
      <c r="X840" s="2">
        <f>SalesData[[#This Row],[Effective_Unit_Price]]-SalesData[[#This Row],[Unit_Cost]]</f>
        <v>99.209599999999909</v>
      </c>
      <c r="Y840" s="2" t="str">
        <f>IF(SalesData[[#This Row],[Effective_Unit_Margin]]&lt;0,"Loss per Unit","Positive per Unit")</f>
        <v>Positive per Unit</v>
      </c>
    </row>
    <row r="841" spans="1:25" x14ac:dyDescent="0.3">
      <c r="A841">
        <v>1039</v>
      </c>
      <c r="B841" s="1">
        <v>44934</v>
      </c>
      <c r="C841" t="s">
        <v>37</v>
      </c>
      <c r="D841" t="s">
        <v>24</v>
      </c>
      <c r="E841">
        <v>4</v>
      </c>
      <c r="F841" t="s">
        <v>34</v>
      </c>
      <c r="G841">
        <v>1054.1199999999999</v>
      </c>
      <c r="H841">
        <v>1175.21999999999</v>
      </c>
      <c r="I841" t="s">
        <v>16</v>
      </c>
      <c r="J841" s="2">
        <v>0.12</v>
      </c>
      <c r="K841" t="s">
        <v>26</v>
      </c>
      <c r="L841" t="s">
        <v>21</v>
      </c>
      <c r="M841" t="s">
        <v>38</v>
      </c>
      <c r="N841">
        <f>SalesData[[#This Row],[Quantity_Sold]]*SalesData[[#This Row],[Unit_Cost]]</f>
        <v>4216.4799999999996</v>
      </c>
      <c r="O841">
        <f>SalesData[[#This Row],[Quantity_Sold]]*SalesData[[#This Row],[Unit_Price]]</f>
        <v>4700.8799999999601</v>
      </c>
      <c r="P841">
        <f>SalesData[[#This Row],[Gross_sales]]*(1-SalesData[[#This Row],[Discount]])</f>
        <v>4136.7743999999648</v>
      </c>
      <c r="Q841" s="2">
        <f>SalesData[[#This Row],[Sales_amount]]-SalesData[[#This Row],[Total_Cost]]</f>
        <v>-79.705600000034792</v>
      </c>
      <c r="R841" s="2">
        <f>SalesData[[#This Row],[Profit]]/SalesData[[#This Row],[Sales_amount]]</f>
        <v>-1.9267572338495294E-2</v>
      </c>
      <c r="S841" s="2">
        <f>SalesData[[#This Row],[Unit_Price]]-SalesData[[#This Row],[Unit_Cost]]</f>
        <v>121.09999999999013</v>
      </c>
      <c r="T841" s="10">
        <f>SalesData[[#This Row],[Unit_Margin]]/SalesData[[#This Row],[Unit_Price]]</f>
        <v>0.10304453634212417</v>
      </c>
      <c r="U841" s="2" t="str">
        <f>IF(SalesData[[#This Row],[Unit_Margin]]&lt;0, "Negative margin", "Positive margin")</f>
        <v>Positive margin</v>
      </c>
      <c r="V841" s="2" t="str">
        <f>IF(SalesData[[#This Row],[Profit]]&lt;0, "Loss", "Profit")</f>
        <v>Loss</v>
      </c>
      <c r="W841" s="2">
        <f>SalesData[[#This Row],[Unit_Price]]*(1-SalesData[[#This Row],[Discount]])</f>
        <v>1034.1935999999912</v>
      </c>
      <c r="X841" s="2">
        <f>SalesData[[#This Row],[Effective_Unit_Price]]-SalesData[[#This Row],[Unit_Cost]]</f>
        <v>-19.926400000008698</v>
      </c>
      <c r="Y841" s="2" t="str">
        <f>IF(SalesData[[#This Row],[Effective_Unit_Margin]]&lt;0,"Loss per Unit","Positive per Unit")</f>
        <v>Loss per Unit</v>
      </c>
    </row>
    <row r="842" spans="1:25" x14ac:dyDescent="0.3">
      <c r="A842">
        <v>1026</v>
      </c>
      <c r="B842" s="1">
        <v>45005</v>
      </c>
      <c r="C842" t="s">
        <v>13</v>
      </c>
      <c r="D842" t="s">
        <v>33</v>
      </c>
      <c r="E842">
        <v>19</v>
      </c>
      <c r="F842" t="s">
        <v>34</v>
      </c>
      <c r="G842">
        <v>4991.68</v>
      </c>
      <c r="H842">
        <v>5296.65</v>
      </c>
      <c r="I842" t="s">
        <v>29</v>
      </c>
      <c r="J842" s="2">
        <v>0.12</v>
      </c>
      <c r="K842" t="s">
        <v>26</v>
      </c>
      <c r="L842" t="s">
        <v>18</v>
      </c>
      <c r="M842" t="s">
        <v>45</v>
      </c>
      <c r="N842">
        <f>SalesData[[#This Row],[Quantity_Sold]]*SalesData[[#This Row],[Unit_Cost]]</f>
        <v>94841.920000000013</v>
      </c>
      <c r="O842">
        <f>SalesData[[#This Row],[Quantity_Sold]]*SalesData[[#This Row],[Unit_Price]]</f>
        <v>100636.34999999999</v>
      </c>
      <c r="P842">
        <f>SalesData[[#This Row],[Gross_sales]]*(1-SalesData[[#This Row],[Discount]])</f>
        <v>88559.987999999998</v>
      </c>
      <c r="Q842" s="2">
        <f>SalesData[[#This Row],[Sales_amount]]-SalesData[[#This Row],[Total_Cost]]</f>
        <v>-6281.9320000000153</v>
      </c>
      <c r="R842" s="2">
        <f>SalesData[[#This Row],[Profit]]/SalesData[[#This Row],[Sales_amount]]</f>
        <v>-7.0934201120262289E-2</v>
      </c>
      <c r="S842" s="2">
        <f>SalesData[[#This Row],[Unit_Price]]-SalesData[[#This Row],[Unit_Cost]]</f>
        <v>304.96999999999935</v>
      </c>
      <c r="T842" s="10">
        <f>SalesData[[#This Row],[Unit_Margin]]/SalesData[[#This Row],[Unit_Price]]</f>
        <v>5.7577903014169214E-2</v>
      </c>
      <c r="U842" s="2" t="str">
        <f>IF(SalesData[[#This Row],[Unit_Margin]]&lt;0, "Negative margin", "Positive margin")</f>
        <v>Positive margin</v>
      </c>
      <c r="V842" s="2" t="str">
        <f>IF(SalesData[[#This Row],[Profit]]&lt;0, "Loss", "Profit")</f>
        <v>Loss</v>
      </c>
      <c r="W842" s="2">
        <f>SalesData[[#This Row],[Unit_Price]]*(1-SalesData[[#This Row],[Discount]])</f>
        <v>4661.0519999999997</v>
      </c>
      <c r="X842" s="2">
        <f>SalesData[[#This Row],[Effective_Unit_Price]]-SalesData[[#This Row],[Unit_Cost]]</f>
        <v>-330.62800000000061</v>
      </c>
      <c r="Y842" s="2" t="str">
        <f>IF(SalesData[[#This Row],[Effective_Unit_Margin]]&lt;0,"Loss per Unit","Positive per Unit")</f>
        <v>Loss per Unit</v>
      </c>
    </row>
    <row r="843" spans="1:25" x14ac:dyDescent="0.3">
      <c r="A843">
        <v>1034</v>
      </c>
      <c r="B843" s="1">
        <v>44953</v>
      </c>
      <c r="C843" t="s">
        <v>13</v>
      </c>
      <c r="D843" t="s">
        <v>33</v>
      </c>
      <c r="E843">
        <v>38</v>
      </c>
      <c r="F843" t="s">
        <v>25</v>
      </c>
      <c r="G843">
        <v>2729.75</v>
      </c>
      <c r="H843">
        <v>3081.5</v>
      </c>
      <c r="I843" t="s">
        <v>29</v>
      </c>
      <c r="J843" s="2">
        <v>0.01</v>
      </c>
      <c r="K843" t="s">
        <v>26</v>
      </c>
      <c r="L843" t="s">
        <v>18</v>
      </c>
      <c r="M843" t="s">
        <v>45</v>
      </c>
      <c r="N843">
        <f>SalesData[[#This Row],[Quantity_Sold]]*SalesData[[#This Row],[Unit_Cost]]</f>
        <v>103730.5</v>
      </c>
      <c r="O843">
        <f>SalesData[[#This Row],[Quantity_Sold]]*SalesData[[#This Row],[Unit_Price]]</f>
        <v>117097</v>
      </c>
      <c r="P843">
        <f>SalesData[[#This Row],[Gross_sales]]*(1-SalesData[[#This Row],[Discount]])</f>
        <v>115926.03</v>
      </c>
      <c r="Q843" s="2">
        <f>SalesData[[#This Row],[Sales_amount]]-SalesData[[#This Row],[Total_Cost]]</f>
        <v>12195.529999999999</v>
      </c>
      <c r="R843" s="2">
        <f>SalesData[[#This Row],[Profit]]/SalesData[[#This Row],[Sales_amount]]</f>
        <v>0.10520096306239417</v>
      </c>
      <c r="S843" s="2">
        <f>SalesData[[#This Row],[Unit_Price]]-SalesData[[#This Row],[Unit_Cost]]</f>
        <v>351.75</v>
      </c>
      <c r="T843" s="10">
        <f>SalesData[[#This Row],[Unit_Margin]]/SalesData[[#This Row],[Unit_Price]]</f>
        <v>0.11414895343177024</v>
      </c>
      <c r="U843" s="2" t="str">
        <f>IF(SalesData[[#This Row],[Unit_Margin]]&lt;0, "Negative margin", "Positive margin")</f>
        <v>Positive margin</v>
      </c>
      <c r="V843" s="2" t="str">
        <f>IF(SalesData[[#This Row],[Profit]]&lt;0, "Loss", "Profit")</f>
        <v>Profit</v>
      </c>
      <c r="W843" s="2">
        <f>SalesData[[#This Row],[Unit_Price]]*(1-SalesData[[#This Row],[Discount]])</f>
        <v>3050.6849999999999</v>
      </c>
      <c r="X843" s="2">
        <f>SalesData[[#This Row],[Effective_Unit_Price]]-SalesData[[#This Row],[Unit_Cost]]</f>
        <v>320.93499999999995</v>
      </c>
      <c r="Y843" s="2" t="str">
        <f>IF(SalesData[[#This Row],[Effective_Unit_Margin]]&lt;0,"Loss per Unit","Positive per Unit")</f>
        <v>Positive per Unit</v>
      </c>
    </row>
    <row r="844" spans="1:25" x14ac:dyDescent="0.3">
      <c r="A844">
        <v>1054</v>
      </c>
      <c r="B844" s="1">
        <v>45100</v>
      </c>
      <c r="C844" t="s">
        <v>23</v>
      </c>
      <c r="D844" t="s">
        <v>20</v>
      </c>
      <c r="E844">
        <v>27</v>
      </c>
      <c r="F844" t="s">
        <v>34</v>
      </c>
      <c r="G844">
        <v>1456.09</v>
      </c>
      <c r="H844">
        <v>1510.4299999999901</v>
      </c>
      <c r="I844" t="s">
        <v>16</v>
      </c>
      <c r="J844" s="2">
        <v>0.17</v>
      </c>
      <c r="K844" t="s">
        <v>17</v>
      </c>
      <c r="L844" t="s">
        <v>21</v>
      </c>
      <c r="M844" t="s">
        <v>46</v>
      </c>
      <c r="N844">
        <f>SalesData[[#This Row],[Quantity_Sold]]*SalesData[[#This Row],[Unit_Cost]]</f>
        <v>39314.43</v>
      </c>
      <c r="O844">
        <f>SalesData[[#This Row],[Quantity_Sold]]*SalesData[[#This Row],[Unit_Price]]</f>
        <v>40781.609999999731</v>
      </c>
      <c r="P844">
        <f>SalesData[[#This Row],[Gross_sales]]*(1-SalesData[[#This Row],[Discount]])</f>
        <v>33848.736299999779</v>
      </c>
      <c r="Q844" s="2">
        <f>SalesData[[#This Row],[Sales_amount]]-SalesData[[#This Row],[Total_Cost]]</f>
        <v>-5465.6937000002217</v>
      </c>
      <c r="R844" s="2">
        <f>SalesData[[#This Row],[Profit]]/SalesData[[#This Row],[Sales_amount]]</f>
        <v>-0.16147408433679863</v>
      </c>
      <c r="S844" s="2">
        <f>SalesData[[#This Row],[Unit_Price]]-SalesData[[#This Row],[Unit_Cost]]</f>
        <v>54.339999999990141</v>
      </c>
      <c r="T844" s="10">
        <f>SalesData[[#This Row],[Unit_Margin]]/SalesData[[#This Row],[Unit_Price]]</f>
        <v>3.5976510000457151E-2</v>
      </c>
      <c r="U844" s="2" t="str">
        <f>IF(SalesData[[#This Row],[Unit_Margin]]&lt;0, "Negative margin", "Positive margin")</f>
        <v>Positive margin</v>
      </c>
      <c r="V844" s="2" t="str">
        <f>IF(SalesData[[#This Row],[Profit]]&lt;0, "Loss", "Profit")</f>
        <v>Loss</v>
      </c>
      <c r="W844" s="2">
        <f>SalesData[[#This Row],[Unit_Price]]*(1-SalesData[[#This Row],[Discount]])</f>
        <v>1253.6568999999918</v>
      </c>
      <c r="X844" s="2">
        <f>SalesData[[#This Row],[Effective_Unit_Price]]-SalesData[[#This Row],[Unit_Cost]]</f>
        <v>-202.43310000000815</v>
      </c>
      <c r="Y844" s="2" t="str">
        <f>IF(SalesData[[#This Row],[Effective_Unit_Margin]]&lt;0,"Loss per Unit","Positive per Unit")</f>
        <v>Loss per Unit</v>
      </c>
    </row>
    <row r="845" spans="1:25" x14ac:dyDescent="0.3">
      <c r="A845">
        <v>1003</v>
      </c>
      <c r="B845" s="1">
        <v>44976</v>
      </c>
      <c r="C845" t="s">
        <v>41</v>
      </c>
      <c r="D845" t="s">
        <v>33</v>
      </c>
      <c r="E845">
        <v>45</v>
      </c>
      <c r="F845" t="s">
        <v>34</v>
      </c>
      <c r="G845">
        <v>4974.1400000000003</v>
      </c>
      <c r="H845">
        <v>5227.93</v>
      </c>
      <c r="I845" t="s">
        <v>29</v>
      </c>
      <c r="J845" s="2">
        <v>0.21</v>
      </c>
      <c r="K845" t="s">
        <v>26</v>
      </c>
      <c r="L845" t="s">
        <v>18</v>
      </c>
      <c r="M845" t="s">
        <v>51</v>
      </c>
      <c r="N845">
        <f>SalesData[[#This Row],[Quantity_Sold]]*SalesData[[#This Row],[Unit_Cost]]</f>
        <v>223836.30000000002</v>
      </c>
      <c r="O845">
        <f>SalesData[[#This Row],[Quantity_Sold]]*SalesData[[#This Row],[Unit_Price]]</f>
        <v>235256.85</v>
      </c>
      <c r="P845">
        <f>SalesData[[#This Row],[Gross_sales]]*(1-SalesData[[#This Row],[Discount]])</f>
        <v>185852.91150000002</v>
      </c>
      <c r="Q845" s="2">
        <f>SalesData[[#This Row],[Sales_amount]]-SalesData[[#This Row],[Total_Cost]]</f>
        <v>-37983.388500000001</v>
      </c>
      <c r="R845" s="2">
        <f>SalesData[[#This Row],[Profit]]/SalesData[[#This Row],[Sales_amount]]</f>
        <v>-0.20437338427167981</v>
      </c>
      <c r="S845" s="2">
        <f>SalesData[[#This Row],[Unit_Price]]-SalesData[[#This Row],[Unit_Cost]]</f>
        <v>253.78999999999996</v>
      </c>
      <c r="T845" s="10">
        <f>SalesData[[#This Row],[Unit_Margin]]/SalesData[[#This Row],[Unit_Price]]</f>
        <v>4.8545026425372936E-2</v>
      </c>
      <c r="U845" s="2" t="str">
        <f>IF(SalesData[[#This Row],[Unit_Margin]]&lt;0, "Negative margin", "Positive margin")</f>
        <v>Positive margin</v>
      </c>
      <c r="V845" s="2" t="str">
        <f>IF(SalesData[[#This Row],[Profit]]&lt;0, "Loss", "Profit")</f>
        <v>Loss</v>
      </c>
      <c r="W845" s="2">
        <f>SalesData[[#This Row],[Unit_Price]]*(1-SalesData[[#This Row],[Discount]])</f>
        <v>4130.0647000000008</v>
      </c>
      <c r="X845" s="2">
        <f>SalesData[[#This Row],[Effective_Unit_Price]]-SalesData[[#This Row],[Unit_Cost]]</f>
        <v>-844.07529999999952</v>
      </c>
      <c r="Y845" s="2" t="str">
        <f>IF(SalesData[[#This Row],[Effective_Unit_Margin]]&lt;0,"Loss per Unit","Positive per Unit")</f>
        <v>Loss per Unit</v>
      </c>
    </row>
    <row r="846" spans="1:25" x14ac:dyDescent="0.3">
      <c r="A846">
        <v>1050</v>
      </c>
      <c r="B846" s="1">
        <v>45125</v>
      </c>
      <c r="C846" t="s">
        <v>37</v>
      </c>
      <c r="D846" t="s">
        <v>24</v>
      </c>
      <c r="E846">
        <v>43</v>
      </c>
      <c r="F846" t="s">
        <v>15</v>
      </c>
      <c r="G846">
        <v>4834.47</v>
      </c>
      <c r="H846">
        <v>4973.38</v>
      </c>
      <c r="I846" t="s">
        <v>16</v>
      </c>
      <c r="J846" s="2">
        <v>0.03</v>
      </c>
      <c r="K846" t="s">
        <v>26</v>
      </c>
      <c r="L846" t="s">
        <v>18</v>
      </c>
      <c r="M846" t="s">
        <v>38</v>
      </c>
      <c r="N846">
        <f>SalesData[[#This Row],[Quantity_Sold]]*SalesData[[#This Row],[Unit_Cost]]</f>
        <v>207882.21000000002</v>
      </c>
      <c r="O846">
        <f>SalesData[[#This Row],[Quantity_Sold]]*SalesData[[#This Row],[Unit_Price]]</f>
        <v>213855.34</v>
      </c>
      <c r="P846">
        <f>SalesData[[#This Row],[Gross_sales]]*(1-SalesData[[#This Row],[Discount]])</f>
        <v>207439.67979999998</v>
      </c>
      <c r="Q846" s="2">
        <f>SalesData[[#This Row],[Sales_amount]]-SalesData[[#This Row],[Total_Cost]]</f>
        <v>-442.53020000003744</v>
      </c>
      <c r="R846" s="2">
        <f>SalesData[[#This Row],[Profit]]/SalesData[[#This Row],[Sales_amount]]</f>
        <v>-2.13329581122906E-3</v>
      </c>
      <c r="S846" s="2">
        <f>SalesData[[#This Row],[Unit_Price]]-SalesData[[#This Row],[Unit_Cost]]</f>
        <v>138.90999999999985</v>
      </c>
      <c r="T846" s="10">
        <f>SalesData[[#This Row],[Unit_Margin]]/SalesData[[#This Row],[Unit_Price]]</f>
        <v>2.7930703063107958E-2</v>
      </c>
      <c r="U846" s="2" t="str">
        <f>IF(SalesData[[#This Row],[Unit_Margin]]&lt;0, "Negative margin", "Positive margin")</f>
        <v>Positive margin</v>
      </c>
      <c r="V846" s="2" t="str">
        <f>IF(SalesData[[#This Row],[Profit]]&lt;0, "Loss", "Profit")</f>
        <v>Loss</v>
      </c>
      <c r="W846" s="2">
        <f>SalesData[[#This Row],[Unit_Price]]*(1-SalesData[[#This Row],[Discount]])</f>
        <v>4824.1786000000002</v>
      </c>
      <c r="X846" s="2">
        <f>SalesData[[#This Row],[Effective_Unit_Price]]-SalesData[[#This Row],[Unit_Cost]]</f>
        <v>-10.291400000000067</v>
      </c>
      <c r="Y846" s="2" t="str">
        <f>IF(SalesData[[#This Row],[Effective_Unit_Margin]]&lt;0,"Loss per Unit","Positive per Unit")</f>
        <v>Loss per Unit</v>
      </c>
    </row>
    <row r="847" spans="1:25" x14ac:dyDescent="0.3">
      <c r="A847">
        <v>1012</v>
      </c>
      <c r="B847" s="1">
        <v>45275</v>
      </c>
      <c r="C847" t="s">
        <v>13</v>
      </c>
      <c r="D847" t="s">
        <v>20</v>
      </c>
      <c r="E847">
        <v>13</v>
      </c>
      <c r="F847" t="s">
        <v>34</v>
      </c>
      <c r="G847">
        <v>2231.66</v>
      </c>
      <c r="H847">
        <v>2596.6099999999901</v>
      </c>
      <c r="I847" t="s">
        <v>16</v>
      </c>
      <c r="J847" s="2">
        <v>0.09</v>
      </c>
      <c r="K847" t="s">
        <v>26</v>
      </c>
      <c r="L847" t="s">
        <v>21</v>
      </c>
      <c r="M847" t="s">
        <v>22</v>
      </c>
      <c r="N847">
        <f>SalesData[[#This Row],[Quantity_Sold]]*SalesData[[#This Row],[Unit_Cost]]</f>
        <v>29011.579999999998</v>
      </c>
      <c r="O847">
        <f>SalesData[[#This Row],[Quantity_Sold]]*SalesData[[#This Row],[Unit_Price]]</f>
        <v>33755.929999999869</v>
      </c>
      <c r="P847">
        <f>SalesData[[#This Row],[Gross_sales]]*(1-SalesData[[#This Row],[Discount]])</f>
        <v>30717.896299999884</v>
      </c>
      <c r="Q847" s="2">
        <f>SalesData[[#This Row],[Sales_amount]]-SalesData[[#This Row],[Total_Cost]]</f>
        <v>1706.3162999998858</v>
      </c>
      <c r="R847" s="2">
        <f>SalesData[[#This Row],[Profit]]/SalesData[[#This Row],[Sales_amount]]</f>
        <v>5.554795430440633E-2</v>
      </c>
      <c r="S847" s="2">
        <f>SalesData[[#This Row],[Unit_Price]]-SalesData[[#This Row],[Unit_Cost]]</f>
        <v>364.94999999999027</v>
      </c>
      <c r="T847" s="10">
        <f>SalesData[[#This Row],[Unit_Margin]]/SalesData[[#This Row],[Unit_Price]]</f>
        <v>0.14054863841700974</v>
      </c>
      <c r="U847" s="2" t="str">
        <f>IF(SalesData[[#This Row],[Unit_Margin]]&lt;0, "Negative margin", "Positive margin")</f>
        <v>Positive margin</v>
      </c>
      <c r="V847" s="2" t="str">
        <f>IF(SalesData[[#This Row],[Profit]]&lt;0, "Loss", "Profit")</f>
        <v>Profit</v>
      </c>
      <c r="W847" s="2">
        <f>SalesData[[#This Row],[Unit_Price]]*(1-SalesData[[#This Row],[Discount]])</f>
        <v>2362.9150999999911</v>
      </c>
      <c r="X847" s="2">
        <f>SalesData[[#This Row],[Effective_Unit_Price]]-SalesData[[#This Row],[Unit_Cost]]</f>
        <v>131.25509999999122</v>
      </c>
      <c r="Y847" s="2" t="str">
        <f>IF(SalesData[[#This Row],[Effective_Unit_Margin]]&lt;0,"Loss per Unit","Positive per Unit")</f>
        <v>Positive per Unit</v>
      </c>
    </row>
    <row r="848" spans="1:25" x14ac:dyDescent="0.3">
      <c r="A848">
        <v>1065</v>
      </c>
      <c r="B848" s="1">
        <v>45107</v>
      </c>
      <c r="C848" t="s">
        <v>37</v>
      </c>
      <c r="D848" t="s">
        <v>24</v>
      </c>
      <c r="E848">
        <v>13</v>
      </c>
      <c r="F848" t="s">
        <v>15</v>
      </c>
      <c r="G848">
        <v>1339</v>
      </c>
      <c r="H848">
        <v>1441.88</v>
      </c>
      <c r="I848" t="s">
        <v>16</v>
      </c>
      <c r="J848" s="2">
        <v>0.23</v>
      </c>
      <c r="K848" t="s">
        <v>30</v>
      </c>
      <c r="L848" t="s">
        <v>21</v>
      </c>
      <c r="M848" t="s">
        <v>38</v>
      </c>
      <c r="N848">
        <f>SalesData[[#This Row],[Quantity_Sold]]*SalesData[[#This Row],[Unit_Cost]]</f>
        <v>17407</v>
      </c>
      <c r="O848">
        <f>SalesData[[#This Row],[Quantity_Sold]]*SalesData[[#This Row],[Unit_Price]]</f>
        <v>18744.440000000002</v>
      </c>
      <c r="P848">
        <f>SalesData[[#This Row],[Gross_sales]]*(1-SalesData[[#This Row],[Discount]])</f>
        <v>14433.218800000002</v>
      </c>
      <c r="Q848" s="2">
        <f>SalesData[[#This Row],[Sales_amount]]-SalesData[[#This Row],[Total_Cost]]</f>
        <v>-2973.7811999999976</v>
      </c>
      <c r="R848" s="2">
        <f>SalesData[[#This Row],[Profit]]/SalesData[[#This Row],[Sales_amount]]</f>
        <v>-0.20603728393558318</v>
      </c>
      <c r="S848" s="2">
        <f>SalesData[[#This Row],[Unit_Price]]-SalesData[[#This Row],[Unit_Cost]]</f>
        <v>102.88000000000011</v>
      </c>
      <c r="T848" s="10">
        <f>SalesData[[#This Row],[Unit_Margin]]/SalesData[[#This Row],[Unit_Price]]</f>
        <v>7.1351291369600875E-2</v>
      </c>
      <c r="U848" s="2" t="str">
        <f>IF(SalesData[[#This Row],[Unit_Margin]]&lt;0, "Negative margin", "Positive margin")</f>
        <v>Positive margin</v>
      </c>
      <c r="V848" s="2" t="str">
        <f>IF(SalesData[[#This Row],[Profit]]&lt;0, "Loss", "Profit")</f>
        <v>Loss</v>
      </c>
      <c r="W848" s="2">
        <f>SalesData[[#This Row],[Unit_Price]]*(1-SalesData[[#This Row],[Discount]])</f>
        <v>1110.2476000000001</v>
      </c>
      <c r="X848" s="2">
        <f>SalesData[[#This Row],[Effective_Unit_Price]]-SalesData[[#This Row],[Unit_Cost]]</f>
        <v>-228.75239999999985</v>
      </c>
      <c r="Y848" s="2" t="str">
        <f>IF(SalesData[[#This Row],[Effective_Unit_Margin]]&lt;0,"Loss per Unit","Positive per Unit")</f>
        <v>Loss per Unit</v>
      </c>
    </row>
    <row r="849" spans="1:25" x14ac:dyDescent="0.3">
      <c r="A849">
        <v>1054</v>
      </c>
      <c r="B849" s="1">
        <v>44950</v>
      </c>
      <c r="C849" t="s">
        <v>13</v>
      </c>
      <c r="D849" t="s">
        <v>33</v>
      </c>
      <c r="E849">
        <v>22</v>
      </c>
      <c r="F849" t="s">
        <v>34</v>
      </c>
      <c r="G849">
        <v>4200.08</v>
      </c>
      <c r="H849">
        <v>4647.28</v>
      </c>
      <c r="I849" t="s">
        <v>16</v>
      </c>
      <c r="J849" s="2">
        <v>0.11</v>
      </c>
      <c r="K849" t="s">
        <v>17</v>
      </c>
      <c r="L849" t="s">
        <v>18</v>
      </c>
      <c r="M849" t="s">
        <v>45</v>
      </c>
      <c r="N849">
        <f>SalesData[[#This Row],[Quantity_Sold]]*SalesData[[#This Row],[Unit_Cost]]</f>
        <v>92401.76</v>
      </c>
      <c r="O849">
        <f>SalesData[[#This Row],[Quantity_Sold]]*SalesData[[#This Row],[Unit_Price]]</f>
        <v>102240.15999999999</v>
      </c>
      <c r="P849">
        <f>SalesData[[#This Row],[Gross_sales]]*(1-SalesData[[#This Row],[Discount]])</f>
        <v>90993.742399999988</v>
      </c>
      <c r="Q849" s="2">
        <f>SalesData[[#This Row],[Sales_amount]]-SalesData[[#This Row],[Total_Cost]]</f>
        <v>-1408.0176000000065</v>
      </c>
      <c r="R849" s="2">
        <f>SalesData[[#This Row],[Profit]]/SalesData[[#This Row],[Sales_amount]]</f>
        <v>-1.5473784931391135E-2</v>
      </c>
      <c r="S849" s="2">
        <f>SalesData[[#This Row],[Unit_Price]]-SalesData[[#This Row],[Unit_Cost]]</f>
        <v>447.19999999999982</v>
      </c>
      <c r="T849" s="10">
        <f>SalesData[[#This Row],[Unit_Margin]]/SalesData[[#This Row],[Unit_Price]]</f>
        <v>9.6228331411061921E-2</v>
      </c>
      <c r="U849" s="2" t="str">
        <f>IF(SalesData[[#This Row],[Unit_Margin]]&lt;0, "Negative margin", "Positive margin")</f>
        <v>Positive margin</v>
      </c>
      <c r="V849" s="2" t="str">
        <f>IF(SalesData[[#This Row],[Profit]]&lt;0, "Loss", "Profit")</f>
        <v>Loss</v>
      </c>
      <c r="W849" s="2">
        <f>SalesData[[#This Row],[Unit_Price]]*(1-SalesData[[#This Row],[Discount]])</f>
        <v>4136.0792000000001</v>
      </c>
      <c r="X849" s="2">
        <f>SalesData[[#This Row],[Effective_Unit_Price]]-SalesData[[#This Row],[Unit_Cost]]</f>
        <v>-64.000799999999799</v>
      </c>
      <c r="Y849" s="2" t="str">
        <f>IF(SalesData[[#This Row],[Effective_Unit_Margin]]&lt;0,"Loss per Unit","Positive per Unit")</f>
        <v>Loss per Unit</v>
      </c>
    </row>
    <row r="850" spans="1:25" x14ac:dyDescent="0.3">
      <c r="A850">
        <v>1005</v>
      </c>
      <c r="B850" s="1">
        <v>45242</v>
      </c>
      <c r="C850" t="s">
        <v>37</v>
      </c>
      <c r="D850" t="s">
        <v>33</v>
      </c>
      <c r="E850">
        <v>28</v>
      </c>
      <c r="F850" t="s">
        <v>28</v>
      </c>
      <c r="G850">
        <v>3592.32</v>
      </c>
      <c r="H850">
        <v>3813.48</v>
      </c>
      <c r="I850" t="s">
        <v>29</v>
      </c>
      <c r="J850" s="2">
        <v>7.0000000000000007E-2</v>
      </c>
      <c r="K850" t="s">
        <v>30</v>
      </c>
      <c r="L850" t="s">
        <v>21</v>
      </c>
      <c r="M850" t="s">
        <v>47</v>
      </c>
      <c r="N850">
        <f>SalesData[[#This Row],[Quantity_Sold]]*SalesData[[#This Row],[Unit_Cost]]</f>
        <v>100584.96000000001</v>
      </c>
      <c r="O850">
        <f>SalesData[[#This Row],[Quantity_Sold]]*SalesData[[#This Row],[Unit_Price]]</f>
        <v>106777.44</v>
      </c>
      <c r="P850">
        <f>SalesData[[#This Row],[Gross_sales]]*(1-SalesData[[#This Row],[Discount]])</f>
        <v>99303.019199999995</v>
      </c>
      <c r="Q850" s="2">
        <f>SalesData[[#This Row],[Sales_amount]]-SalesData[[#This Row],[Total_Cost]]</f>
        <v>-1281.9408000000112</v>
      </c>
      <c r="R850" s="2">
        <f>SalesData[[#This Row],[Profit]]/SalesData[[#This Row],[Sales_amount]]</f>
        <v>-1.2909383927372182E-2</v>
      </c>
      <c r="S850" s="2">
        <f>SalesData[[#This Row],[Unit_Price]]-SalesData[[#This Row],[Unit_Cost]]</f>
        <v>221.15999999999985</v>
      </c>
      <c r="T850" s="10">
        <f>SalesData[[#This Row],[Unit_Margin]]/SalesData[[#This Row],[Unit_Price]]</f>
        <v>5.7994272947543939E-2</v>
      </c>
      <c r="U850" s="2" t="str">
        <f>IF(SalesData[[#This Row],[Unit_Margin]]&lt;0, "Negative margin", "Positive margin")</f>
        <v>Positive margin</v>
      </c>
      <c r="V850" s="2" t="str">
        <f>IF(SalesData[[#This Row],[Profit]]&lt;0, "Loss", "Profit")</f>
        <v>Loss</v>
      </c>
      <c r="W850" s="2">
        <f>SalesData[[#This Row],[Unit_Price]]*(1-SalesData[[#This Row],[Discount]])</f>
        <v>3546.5364</v>
      </c>
      <c r="X850" s="2">
        <f>SalesData[[#This Row],[Effective_Unit_Price]]-SalesData[[#This Row],[Unit_Cost]]</f>
        <v>-45.783600000000206</v>
      </c>
      <c r="Y850" s="2" t="str">
        <f>IF(SalesData[[#This Row],[Effective_Unit_Margin]]&lt;0,"Loss per Unit","Positive per Unit")</f>
        <v>Loss per Unit</v>
      </c>
    </row>
    <row r="851" spans="1:25" x14ac:dyDescent="0.3">
      <c r="A851">
        <v>1094</v>
      </c>
      <c r="B851" s="1">
        <v>44972</v>
      </c>
      <c r="C851" t="s">
        <v>32</v>
      </c>
      <c r="D851" t="s">
        <v>24</v>
      </c>
      <c r="E851">
        <v>47</v>
      </c>
      <c r="F851" t="s">
        <v>25</v>
      </c>
      <c r="G851">
        <v>3450.36</v>
      </c>
      <c r="H851">
        <v>3557.38</v>
      </c>
      <c r="I851" t="s">
        <v>29</v>
      </c>
      <c r="J851" s="2">
        <v>0.2</v>
      </c>
      <c r="K851" t="s">
        <v>30</v>
      </c>
      <c r="L851" t="s">
        <v>18</v>
      </c>
      <c r="M851" t="s">
        <v>43</v>
      </c>
      <c r="N851">
        <f>SalesData[[#This Row],[Quantity_Sold]]*SalesData[[#This Row],[Unit_Cost]]</f>
        <v>162166.92000000001</v>
      </c>
      <c r="O851">
        <f>SalesData[[#This Row],[Quantity_Sold]]*SalesData[[#This Row],[Unit_Price]]</f>
        <v>167196.86000000002</v>
      </c>
      <c r="P851">
        <f>SalesData[[#This Row],[Gross_sales]]*(1-SalesData[[#This Row],[Discount]])</f>
        <v>133757.48800000001</v>
      </c>
      <c r="Q851" s="2">
        <f>SalesData[[#This Row],[Sales_amount]]-SalesData[[#This Row],[Total_Cost]]</f>
        <v>-28409.432000000001</v>
      </c>
      <c r="R851" s="2">
        <f>SalesData[[#This Row],[Profit]]/SalesData[[#This Row],[Sales_amount]]</f>
        <v>-0.21239507727597276</v>
      </c>
      <c r="S851" s="2">
        <f>SalesData[[#This Row],[Unit_Price]]-SalesData[[#This Row],[Unit_Cost]]</f>
        <v>107.01999999999998</v>
      </c>
      <c r="T851" s="10">
        <f>SalesData[[#This Row],[Unit_Margin]]/SalesData[[#This Row],[Unit_Price]]</f>
        <v>3.0083938179221781E-2</v>
      </c>
      <c r="U851" s="2" t="str">
        <f>IF(SalesData[[#This Row],[Unit_Margin]]&lt;0, "Negative margin", "Positive margin")</f>
        <v>Positive margin</v>
      </c>
      <c r="V851" s="2" t="str">
        <f>IF(SalesData[[#This Row],[Profit]]&lt;0, "Loss", "Profit")</f>
        <v>Loss</v>
      </c>
      <c r="W851" s="2">
        <f>SalesData[[#This Row],[Unit_Price]]*(1-SalesData[[#This Row],[Discount]])</f>
        <v>2845.9040000000005</v>
      </c>
      <c r="X851" s="2">
        <f>SalesData[[#This Row],[Effective_Unit_Price]]-SalesData[[#This Row],[Unit_Cost]]</f>
        <v>-604.45599999999968</v>
      </c>
      <c r="Y851" s="2" t="str">
        <f>IF(SalesData[[#This Row],[Effective_Unit_Margin]]&lt;0,"Loss per Unit","Positive per Unit")</f>
        <v>Loss per Unit</v>
      </c>
    </row>
    <row r="852" spans="1:25" x14ac:dyDescent="0.3">
      <c r="A852">
        <v>1094</v>
      </c>
      <c r="B852" s="1">
        <v>44941</v>
      </c>
      <c r="C852" t="s">
        <v>13</v>
      </c>
      <c r="D852" t="s">
        <v>14</v>
      </c>
      <c r="E852">
        <v>45</v>
      </c>
      <c r="F852" t="s">
        <v>15</v>
      </c>
      <c r="G852">
        <v>4470.91</v>
      </c>
      <c r="H852">
        <v>4695.54</v>
      </c>
      <c r="I852" t="s">
        <v>16</v>
      </c>
      <c r="J852" s="2">
        <v>0.06</v>
      </c>
      <c r="K852" t="s">
        <v>17</v>
      </c>
      <c r="L852" t="s">
        <v>21</v>
      </c>
      <c r="M852" t="s">
        <v>19</v>
      </c>
      <c r="N852">
        <f>SalesData[[#This Row],[Quantity_Sold]]*SalesData[[#This Row],[Unit_Cost]]</f>
        <v>201190.94999999998</v>
      </c>
      <c r="O852">
        <f>SalesData[[#This Row],[Quantity_Sold]]*SalesData[[#This Row],[Unit_Price]]</f>
        <v>211299.3</v>
      </c>
      <c r="P852">
        <f>SalesData[[#This Row],[Gross_sales]]*(1-SalesData[[#This Row],[Discount]])</f>
        <v>198621.34199999998</v>
      </c>
      <c r="Q852" s="2">
        <f>SalesData[[#This Row],[Sales_amount]]-SalesData[[#This Row],[Total_Cost]]</f>
        <v>-2569.6080000000075</v>
      </c>
      <c r="R852" s="2">
        <f>SalesData[[#This Row],[Profit]]/SalesData[[#This Row],[Sales_amount]]</f>
        <v>-1.2937220009318072E-2</v>
      </c>
      <c r="S852" s="2">
        <f>SalesData[[#This Row],[Unit_Price]]-SalesData[[#This Row],[Unit_Cost]]</f>
        <v>224.63000000000011</v>
      </c>
      <c r="T852" s="10">
        <f>SalesData[[#This Row],[Unit_Margin]]/SalesData[[#This Row],[Unit_Price]]</f>
        <v>4.7839013191241071E-2</v>
      </c>
      <c r="U852" s="2" t="str">
        <f>IF(SalesData[[#This Row],[Unit_Margin]]&lt;0, "Negative margin", "Positive margin")</f>
        <v>Positive margin</v>
      </c>
      <c r="V852" s="2" t="str">
        <f>IF(SalesData[[#This Row],[Profit]]&lt;0, "Loss", "Profit")</f>
        <v>Loss</v>
      </c>
      <c r="W852" s="2">
        <f>SalesData[[#This Row],[Unit_Price]]*(1-SalesData[[#This Row],[Discount]])</f>
        <v>4413.8076000000001</v>
      </c>
      <c r="X852" s="2">
        <f>SalesData[[#This Row],[Effective_Unit_Price]]-SalesData[[#This Row],[Unit_Cost]]</f>
        <v>-57.102399999999761</v>
      </c>
      <c r="Y852" s="2" t="str">
        <f>IF(SalesData[[#This Row],[Effective_Unit_Margin]]&lt;0,"Loss per Unit","Positive per Unit")</f>
        <v>Loss per Unit</v>
      </c>
    </row>
    <row r="853" spans="1:25" x14ac:dyDescent="0.3">
      <c r="A853">
        <v>1057</v>
      </c>
      <c r="B853" s="1">
        <v>45079</v>
      </c>
      <c r="C853" t="s">
        <v>37</v>
      </c>
      <c r="D853" t="s">
        <v>33</v>
      </c>
      <c r="E853">
        <v>22</v>
      </c>
      <c r="F853" t="s">
        <v>25</v>
      </c>
      <c r="G853">
        <v>3462.61</v>
      </c>
      <c r="H853">
        <v>3672.89</v>
      </c>
      <c r="I853" t="s">
        <v>16</v>
      </c>
      <c r="J853" s="2">
        <v>0.27</v>
      </c>
      <c r="K853" t="s">
        <v>30</v>
      </c>
      <c r="L853" t="s">
        <v>18</v>
      </c>
      <c r="M853" t="s">
        <v>47</v>
      </c>
      <c r="N853">
        <f>SalesData[[#This Row],[Quantity_Sold]]*SalesData[[#This Row],[Unit_Cost]]</f>
        <v>76177.42</v>
      </c>
      <c r="O853">
        <f>SalesData[[#This Row],[Quantity_Sold]]*SalesData[[#This Row],[Unit_Price]]</f>
        <v>80803.58</v>
      </c>
      <c r="P853">
        <f>SalesData[[#This Row],[Gross_sales]]*(1-SalesData[[#This Row],[Discount]])</f>
        <v>58986.613400000002</v>
      </c>
      <c r="Q853" s="2">
        <f>SalesData[[#This Row],[Sales_amount]]-SalesData[[#This Row],[Total_Cost]]</f>
        <v>-17190.806599999996</v>
      </c>
      <c r="R853" s="2">
        <f>SalesData[[#This Row],[Profit]]/SalesData[[#This Row],[Sales_amount]]</f>
        <v>-0.29143572768664822</v>
      </c>
      <c r="S853" s="2">
        <f>SalesData[[#This Row],[Unit_Price]]-SalesData[[#This Row],[Unit_Cost]]</f>
        <v>210.27999999999975</v>
      </c>
      <c r="T853" s="10">
        <f>SalesData[[#This Row],[Unit_Margin]]/SalesData[[#This Row],[Unit_Price]]</f>
        <v>5.7251918788746671E-2</v>
      </c>
      <c r="U853" s="2" t="str">
        <f>IF(SalesData[[#This Row],[Unit_Margin]]&lt;0, "Negative margin", "Positive margin")</f>
        <v>Positive margin</v>
      </c>
      <c r="V853" s="2" t="str">
        <f>IF(SalesData[[#This Row],[Profit]]&lt;0, "Loss", "Profit")</f>
        <v>Loss</v>
      </c>
      <c r="W853" s="2">
        <f>SalesData[[#This Row],[Unit_Price]]*(1-SalesData[[#This Row],[Discount]])</f>
        <v>2681.2096999999999</v>
      </c>
      <c r="X853" s="2">
        <f>SalesData[[#This Row],[Effective_Unit_Price]]-SalesData[[#This Row],[Unit_Cost]]</f>
        <v>-781.40030000000024</v>
      </c>
      <c r="Y853" s="2" t="str">
        <f>IF(SalesData[[#This Row],[Effective_Unit_Margin]]&lt;0,"Loss per Unit","Positive per Unit")</f>
        <v>Loss per Unit</v>
      </c>
    </row>
    <row r="854" spans="1:25" x14ac:dyDescent="0.3">
      <c r="A854">
        <v>1017</v>
      </c>
      <c r="B854" s="1">
        <v>45148</v>
      </c>
      <c r="C854" t="s">
        <v>41</v>
      </c>
      <c r="D854" t="s">
        <v>14</v>
      </c>
      <c r="E854">
        <v>43</v>
      </c>
      <c r="F854" t="s">
        <v>15</v>
      </c>
      <c r="G854">
        <v>1454.8</v>
      </c>
      <c r="H854">
        <v>1674.97</v>
      </c>
      <c r="I854" t="s">
        <v>29</v>
      </c>
      <c r="J854" s="2">
        <v>0.03</v>
      </c>
      <c r="K854" t="s">
        <v>30</v>
      </c>
      <c r="L854" t="s">
        <v>18</v>
      </c>
      <c r="M854" t="s">
        <v>48</v>
      </c>
      <c r="N854">
        <f>SalesData[[#This Row],[Quantity_Sold]]*SalesData[[#This Row],[Unit_Cost]]</f>
        <v>62556.4</v>
      </c>
      <c r="O854">
        <f>SalesData[[#This Row],[Quantity_Sold]]*SalesData[[#This Row],[Unit_Price]]</f>
        <v>72023.710000000006</v>
      </c>
      <c r="P854">
        <f>SalesData[[#This Row],[Gross_sales]]*(1-SalesData[[#This Row],[Discount]])</f>
        <v>69862.998700000011</v>
      </c>
      <c r="Q854" s="2">
        <f>SalesData[[#This Row],[Sales_amount]]-SalesData[[#This Row],[Total_Cost]]</f>
        <v>7306.5987000000096</v>
      </c>
      <c r="R854" s="2">
        <f>SalesData[[#This Row],[Profit]]/SalesData[[#This Row],[Sales_amount]]</f>
        <v>0.10458467051171694</v>
      </c>
      <c r="S854" s="2">
        <f>SalesData[[#This Row],[Unit_Price]]-SalesData[[#This Row],[Unit_Cost]]</f>
        <v>220.17000000000007</v>
      </c>
      <c r="T854" s="10">
        <f>SalesData[[#This Row],[Unit_Margin]]/SalesData[[#This Row],[Unit_Price]]</f>
        <v>0.13144713039636535</v>
      </c>
      <c r="U854" s="2" t="str">
        <f>IF(SalesData[[#This Row],[Unit_Margin]]&lt;0, "Negative margin", "Positive margin")</f>
        <v>Positive margin</v>
      </c>
      <c r="V854" s="2" t="str">
        <f>IF(SalesData[[#This Row],[Profit]]&lt;0, "Loss", "Profit")</f>
        <v>Profit</v>
      </c>
      <c r="W854" s="2">
        <f>SalesData[[#This Row],[Unit_Price]]*(1-SalesData[[#This Row],[Discount]])</f>
        <v>1624.7209</v>
      </c>
      <c r="X854" s="2">
        <f>SalesData[[#This Row],[Effective_Unit_Price]]-SalesData[[#This Row],[Unit_Cost]]</f>
        <v>169.92090000000007</v>
      </c>
      <c r="Y854" s="2" t="str">
        <f>IF(SalesData[[#This Row],[Effective_Unit_Margin]]&lt;0,"Loss per Unit","Positive per Unit")</f>
        <v>Positive per Unit</v>
      </c>
    </row>
    <row r="855" spans="1:25" x14ac:dyDescent="0.3">
      <c r="A855">
        <v>1047</v>
      </c>
      <c r="B855" s="1">
        <v>45132</v>
      </c>
      <c r="C855" t="s">
        <v>32</v>
      </c>
      <c r="D855" t="s">
        <v>33</v>
      </c>
      <c r="E855">
        <v>19</v>
      </c>
      <c r="F855" t="s">
        <v>15</v>
      </c>
      <c r="G855">
        <v>3484.62</v>
      </c>
      <c r="H855">
        <v>3781.5499999999902</v>
      </c>
      <c r="I855" t="s">
        <v>16</v>
      </c>
      <c r="J855" s="2">
        <v>0.21</v>
      </c>
      <c r="K855" t="s">
        <v>30</v>
      </c>
      <c r="L855" t="s">
        <v>21</v>
      </c>
      <c r="M855" t="s">
        <v>35</v>
      </c>
      <c r="N855">
        <f>SalesData[[#This Row],[Quantity_Sold]]*SalesData[[#This Row],[Unit_Cost]]</f>
        <v>66207.78</v>
      </c>
      <c r="O855">
        <f>SalesData[[#This Row],[Quantity_Sold]]*SalesData[[#This Row],[Unit_Price]]</f>
        <v>71849.449999999808</v>
      </c>
      <c r="P855">
        <f>SalesData[[#This Row],[Gross_sales]]*(1-SalesData[[#This Row],[Discount]])</f>
        <v>56761.065499999851</v>
      </c>
      <c r="Q855" s="2">
        <f>SalesData[[#This Row],[Sales_amount]]-SalesData[[#This Row],[Total_Cost]]</f>
        <v>-9446.7145000001474</v>
      </c>
      <c r="R855" s="2">
        <f>SalesData[[#This Row],[Profit]]/SalesData[[#This Row],[Sales_amount]]</f>
        <v>-0.16642947796672655</v>
      </c>
      <c r="S855" s="2">
        <f>SalesData[[#This Row],[Unit_Price]]-SalesData[[#This Row],[Unit_Cost]]</f>
        <v>296.92999999999029</v>
      </c>
      <c r="T855" s="10">
        <f>SalesData[[#This Row],[Unit_Margin]]/SalesData[[#This Row],[Unit_Price]]</f>
        <v>7.8520712406286067E-2</v>
      </c>
      <c r="U855" s="2" t="str">
        <f>IF(SalesData[[#This Row],[Unit_Margin]]&lt;0, "Negative margin", "Positive margin")</f>
        <v>Positive margin</v>
      </c>
      <c r="V855" s="2" t="str">
        <f>IF(SalesData[[#This Row],[Profit]]&lt;0, "Loss", "Profit")</f>
        <v>Loss</v>
      </c>
      <c r="W855" s="2">
        <f>SalesData[[#This Row],[Unit_Price]]*(1-SalesData[[#This Row],[Discount]])</f>
        <v>2987.4244999999923</v>
      </c>
      <c r="X855" s="2">
        <f>SalesData[[#This Row],[Effective_Unit_Price]]-SalesData[[#This Row],[Unit_Cost]]</f>
        <v>-497.19550000000754</v>
      </c>
      <c r="Y855" s="2" t="str">
        <f>IF(SalesData[[#This Row],[Effective_Unit_Margin]]&lt;0,"Loss per Unit","Positive per Unit")</f>
        <v>Loss per Unit</v>
      </c>
    </row>
    <row r="856" spans="1:25" x14ac:dyDescent="0.3">
      <c r="A856">
        <v>1023</v>
      </c>
      <c r="B856" s="1">
        <v>45199</v>
      </c>
      <c r="C856" t="s">
        <v>32</v>
      </c>
      <c r="D856" t="s">
        <v>14</v>
      </c>
      <c r="E856">
        <v>8</v>
      </c>
      <c r="F856" t="s">
        <v>15</v>
      </c>
      <c r="G856">
        <v>1563.78</v>
      </c>
      <c r="H856">
        <v>1829.1599999999901</v>
      </c>
      <c r="I856" t="s">
        <v>16</v>
      </c>
      <c r="J856" s="2">
        <v>0.15</v>
      </c>
      <c r="K856" t="s">
        <v>17</v>
      </c>
      <c r="L856" t="s">
        <v>18</v>
      </c>
      <c r="M856" t="s">
        <v>52</v>
      </c>
      <c r="N856">
        <f>SalesData[[#This Row],[Quantity_Sold]]*SalesData[[#This Row],[Unit_Cost]]</f>
        <v>12510.24</v>
      </c>
      <c r="O856">
        <f>SalesData[[#This Row],[Quantity_Sold]]*SalesData[[#This Row],[Unit_Price]]</f>
        <v>14633.279999999921</v>
      </c>
      <c r="P856">
        <f>SalesData[[#This Row],[Gross_sales]]*(1-SalesData[[#This Row],[Discount]])</f>
        <v>12438.287999999931</v>
      </c>
      <c r="Q856" s="2">
        <f>SalesData[[#This Row],[Sales_amount]]-SalesData[[#This Row],[Total_Cost]]</f>
        <v>-71.952000000068438</v>
      </c>
      <c r="R856" s="2">
        <f>SalesData[[#This Row],[Profit]]/SalesData[[#This Row],[Sales_amount]]</f>
        <v>-5.7847189259541852E-3</v>
      </c>
      <c r="S856" s="2">
        <f>SalesData[[#This Row],[Unit_Price]]-SalesData[[#This Row],[Unit_Cost]]</f>
        <v>265.3799999999901</v>
      </c>
      <c r="T856" s="10">
        <f>SalesData[[#This Row],[Unit_Margin]]/SalesData[[#This Row],[Unit_Price]]</f>
        <v>0.14508298891293903</v>
      </c>
      <c r="U856" s="2" t="str">
        <f>IF(SalesData[[#This Row],[Unit_Margin]]&lt;0, "Negative margin", "Positive margin")</f>
        <v>Positive margin</v>
      </c>
      <c r="V856" s="2" t="str">
        <f>IF(SalesData[[#This Row],[Profit]]&lt;0, "Loss", "Profit")</f>
        <v>Loss</v>
      </c>
      <c r="W856" s="2">
        <f>SalesData[[#This Row],[Unit_Price]]*(1-SalesData[[#This Row],[Discount]])</f>
        <v>1554.7859999999914</v>
      </c>
      <c r="X856" s="2">
        <f>SalesData[[#This Row],[Effective_Unit_Price]]-SalesData[[#This Row],[Unit_Cost]]</f>
        <v>-8.9940000000085547</v>
      </c>
      <c r="Y856" s="2" t="str">
        <f>IF(SalesData[[#This Row],[Effective_Unit_Margin]]&lt;0,"Loss per Unit","Positive per Unit")</f>
        <v>Loss per Unit</v>
      </c>
    </row>
    <row r="857" spans="1:25" x14ac:dyDescent="0.3">
      <c r="A857">
        <v>1079</v>
      </c>
      <c r="B857" s="1">
        <v>45162</v>
      </c>
      <c r="C857" t="s">
        <v>41</v>
      </c>
      <c r="D857" t="s">
        <v>14</v>
      </c>
      <c r="E857">
        <v>8</v>
      </c>
      <c r="F857" t="s">
        <v>28</v>
      </c>
      <c r="G857">
        <v>3808.23</v>
      </c>
      <c r="H857">
        <v>3891.62</v>
      </c>
      <c r="I857" t="s">
        <v>16</v>
      </c>
      <c r="J857" s="2">
        <v>0.26</v>
      </c>
      <c r="K857" t="s">
        <v>26</v>
      </c>
      <c r="L857" t="s">
        <v>18</v>
      </c>
      <c r="M857" t="s">
        <v>48</v>
      </c>
      <c r="N857">
        <f>SalesData[[#This Row],[Quantity_Sold]]*SalesData[[#This Row],[Unit_Cost]]</f>
        <v>30465.84</v>
      </c>
      <c r="O857">
        <f>SalesData[[#This Row],[Quantity_Sold]]*SalesData[[#This Row],[Unit_Price]]</f>
        <v>31132.959999999999</v>
      </c>
      <c r="P857">
        <f>SalesData[[#This Row],[Gross_sales]]*(1-SalesData[[#This Row],[Discount]])</f>
        <v>23038.3904</v>
      </c>
      <c r="Q857" s="2">
        <f>SalesData[[#This Row],[Sales_amount]]-SalesData[[#This Row],[Total_Cost]]</f>
        <v>-7427.4495999999999</v>
      </c>
      <c r="R857" s="2">
        <f>SalesData[[#This Row],[Profit]]/SalesData[[#This Row],[Sales_amount]]</f>
        <v>-0.3223944672801447</v>
      </c>
      <c r="S857" s="2">
        <f>SalesData[[#This Row],[Unit_Price]]-SalesData[[#This Row],[Unit_Cost]]</f>
        <v>83.389999999999873</v>
      </c>
      <c r="T857" s="10">
        <f>SalesData[[#This Row],[Unit_Margin]]/SalesData[[#This Row],[Unit_Price]]</f>
        <v>2.1428094212692882E-2</v>
      </c>
      <c r="U857" s="2" t="str">
        <f>IF(SalesData[[#This Row],[Unit_Margin]]&lt;0, "Negative margin", "Positive margin")</f>
        <v>Positive margin</v>
      </c>
      <c r="V857" s="2" t="str">
        <f>IF(SalesData[[#This Row],[Profit]]&lt;0, "Loss", "Profit")</f>
        <v>Loss</v>
      </c>
      <c r="W857" s="2">
        <f>SalesData[[#This Row],[Unit_Price]]*(1-SalesData[[#This Row],[Discount]])</f>
        <v>2879.7988</v>
      </c>
      <c r="X857" s="2">
        <f>SalesData[[#This Row],[Effective_Unit_Price]]-SalesData[[#This Row],[Unit_Cost]]</f>
        <v>-928.43119999999999</v>
      </c>
      <c r="Y857" s="2" t="str">
        <f>IF(SalesData[[#This Row],[Effective_Unit_Margin]]&lt;0,"Loss per Unit","Positive per Unit")</f>
        <v>Loss per Unit</v>
      </c>
    </row>
    <row r="858" spans="1:25" x14ac:dyDescent="0.3">
      <c r="A858">
        <v>1085</v>
      </c>
      <c r="B858" s="1">
        <v>45266</v>
      </c>
      <c r="C858" t="s">
        <v>37</v>
      </c>
      <c r="D858" t="s">
        <v>14</v>
      </c>
      <c r="E858">
        <v>42</v>
      </c>
      <c r="F858" t="s">
        <v>34</v>
      </c>
      <c r="G858">
        <v>3117.75</v>
      </c>
      <c r="H858">
        <v>3159.88</v>
      </c>
      <c r="I858" t="s">
        <v>29</v>
      </c>
      <c r="J858" s="2">
        <v>0.04</v>
      </c>
      <c r="K858" t="s">
        <v>17</v>
      </c>
      <c r="L858" t="s">
        <v>21</v>
      </c>
      <c r="M858" t="s">
        <v>39</v>
      </c>
      <c r="N858">
        <f>SalesData[[#This Row],[Quantity_Sold]]*SalesData[[#This Row],[Unit_Cost]]</f>
        <v>130945.5</v>
      </c>
      <c r="O858">
        <f>SalesData[[#This Row],[Quantity_Sold]]*SalesData[[#This Row],[Unit_Price]]</f>
        <v>132714.96</v>
      </c>
      <c r="P858">
        <f>SalesData[[#This Row],[Gross_sales]]*(1-SalesData[[#This Row],[Discount]])</f>
        <v>127406.36159999999</v>
      </c>
      <c r="Q858" s="2">
        <f>SalesData[[#This Row],[Sales_amount]]-SalesData[[#This Row],[Total_Cost]]</f>
        <v>-3539.1384000000107</v>
      </c>
      <c r="R858" s="2">
        <f>SalesData[[#This Row],[Profit]]/SalesData[[#This Row],[Sales_amount]]</f>
        <v>-2.7778349177816967E-2</v>
      </c>
      <c r="S858" s="2">
        <f>SalesData[[#This Row],[Unit_Price]]-SalesData[[#This Row],[Unit_Cost]]</f>
        <v>42.130000000000109</v>
      </c>
      <c r="T858" s="10">
        <f>SalesData[[#This Row],[Unit_Margin]]/SalesData[[#This Row],[Unit_Price]]</f>
        <v>1.333278478929583E-2</v>
      </c>
      <c r="U858" s="2" t="str">
        <f>IF(SalesData[[#This Row],[Unit_Margin]]&lt;0, "Negative margin", "Positive margin")</f>
        <v>Positive margin</v>
      </c>
      <c r="V858" s="2" t="str">
        <f>IF(SalesData[[#This Row],[Profit]]&lt;0, "Loss", "Profit")</f>
        <v>Loss</v>
      </c>
      <c r="W858" s="2">
        <f>SalesData[[#This Row],[Unit_Price]]*(1-SalesData[[#This Row],[Discount]])</f>
        <v>3033.4848000000002</v>
      </c>
      <c r="X858" s="2">
        <f>SalesData[[#This Row],[Effective_Unit_Price]]-SalesData[[#This Row],[Unit_Cost]]</f>
        <v>-84.265199999999822</v>
      </c>
      <c r="Y858" s="2" t="str">
        <f>IF(SalesData[[#This Row],[Effective_Unit_Margin]]&lt;0,"Loss per Unit","Positive per Unit")</f>
        <v>Loss per Unit</v>
      </c>
    </row>
    <row r="859" spans="1:25" x14ac:dyDescent="0.3">
      <c r="A859">
        <v>1014</v>
      </c>
      <c r="B859" s="1">
        <v>45154</v>
      </c>
      <c r="C859" t="s">
        <v>23</v>
      </c>
      <c r="D859" t="s">
        <v>24</v>
      </c>
      <c r="E859">
        <v>26</v>
      </c>
      <c r="F859" t="s">
        <v>15</v>
      </c>
      <c r="G859">
        <v>433.19</v>
      </c>
      <c r="H859">
        <v>800.6</v>
      </c>
      <c r="I859" t="s">
        <v>16</v>
      </c>
      <c r="J859" s="2">
        <v>0.2</v>
      </c>
      <c r="K859" t="s">
        <v>17</v>
      </c>
      <c r="L859" t="s">
        <v>18</v>
      </c>
      <c r="M859" t="s">
        <v>27</v>
      </c>
      <c r="N859">
        <f>SalesData[[#This Row],[Quantity_Sold]]*SalesData[[#This Row],[Unit_Cost]]</f>
        <v>11262.94</v>
      </c>
      <c r="O859">
        <f>SalesData[[#This Row],[Quantity_Sold]]*SalesData[[#This Row],[Unit_Price]]</f>
        <v>20815.600000000002</v>
      </c>
      <c r="P859">
        <f>SalesData[[#This Row],[Gross_sales]]*(1-SalesData[[#This Row],[Discount]])</f>
        <v>16652.480000000003</v>
      </c>
      <c r="Q859" s="2">
        <f>SalesData[[#This Row],[Sales_amount]]-SalesData[[#This Row],[Total_Cost]]</f>
        <v>5389.5400000000027</v>
      </c>
      <c r="R859" s="2">
        <f>SalesData[[#This Row],[Profit]]/SalesData[[#This Row],[Sales_amount]]</f>
        <v>0.3236478890831877</v>
      </c>
      <c r="S859" s="2">
        <f>SalesData[[#This Row],[Unit_Price]]-SalesData[[#This Row],[Unit_Cost]]</f>
        <v>367.41</v>
      </c>
      <c r="T859" s="10">
        <f>SalesData[[#This Row],[Unit_Margin]]/SalesData[[#This Row],[Unit_Price]]</f>
        <v>0.45891831126655008</v>
      </c>
      <c r="U859" s="2" t="str">
        <f>IF(SalesData[[#This Row],[Unit_Margin]]&lt;0, "Negative margin", "Positive margin")</f>
        <v>Positive margin</v>
      </c>
      <c r="V859" s="2" t="str">
        <f>IF(SalesData[[#This Row],[Profit]]&lt;0, "Loss", "Profit")</f>
        <v>Profit</v>
      </c>
      <c r="W859" s="2">
        <f>SalesData[[#This Row],[Unit_Price]]*(1-SalesData[[#This Row],[Discount]])</f>
        <v>640.48</v>
      </c>
      <c r="X859" s="2">
        <f>SalesData[[#This Row],[Effective_Unit_Price]]-SalesData[[#This Row],[Unit_Cost]]</f>
        <v>207.29000000000002</v>
      </c>
      <c r="Y859" s="2" t="str">
        <f>IF(SalesData[[#This Row],[Effective_Unit_Margin]]&lt;0,"Loss per Unit","Positive per Unit")</f>
        <v>Positive per Unit</v>
      </c>
    </row>
    <row r="860" spans="1:25" x14ac:dyDescent="0.3">
      <c r="A860">
        <v>1066</v>
      </c>
      <c r="B860" s="1">
        <v>44935</v>
      </c>
      <c r="C860" t="s">
        <v>41</v>
      </c>
      <c r="D860" t="s">
        <v>14</v>
      </c>
      <c r="E860">
        <v>48</v>
      </c>
      <c r="F860" t="s">
        <v>28</v>
      </c>
      <c r="G860">
        <v>2588.54</v>
      </c>
      <c r="H860">
        <v>2872.8</v>
      </c>
      <c r="I860" t="s">
        <v>29</v>
      </c>
      <c r="J860" s="2">
        <v>0.17</v>
      </c>
      <c r="K860" t="s">
        <v>17</v>
      </c>
      <c r="L860" t="s">
        <v>18</v>
      </c>
      <c r="M860" t="s">
        <v>48</v>
      </c>
      <c r="N860">
        <f>SalesData[[#This Row],[Quantity_Sold]]*SalesData[[#This Row],[Unit_Cost]]</f>
        <v>124249.92</v>
      </c>
      <c r="O860">
        <f>SalesData[[#This Row],[Quantity_Sold]]*SalesData[[#This Row],[Unit_Price]]</f>
        <v>137894.40000000002</v>
      </c>
      <c r="P860">
        <f>SalesData[[#This Row],[Gross_sales]]*(1-SalesData[[#This Row],[Discount]])</f>
        <v>114452.35200000001</v>
      </c>
      <c r="Q860" s="2">
        <f>SalesData[[#This Row],[Sales_amount]]-SalesData[[#This Row],[Total_Cost]]</f>
        <v>-9797.5679999999847</v>
      </c>
      <c r="R860" s="2">
        <f>SalesData[[#This Row],[Profit]]/SalesData[[#This Row],[Sales_amount]]</f>
        <v>-8.5603902661607015E-2</v>
      </c>
      <c r="S860" s="2">
        <f>SalesData[[#This Row],[Unit_Price]]-SalesData[[#This Row],[Unit_Cost]]</f>
        <v>284.26000000000022</v>
      </c>
      <c r="T860" s="10">
        <f>SalesData[[#This Row],[Unit_Margin]]/SalesData[[#This Row],[Unit_Price]]</f>
        <v>9.8948760790866119E-2</v>
      </c>
      <c r="U860" s="2" t="str">
        <f>IF(SalesData[[#This Row],[Unit_Margin]]&lt;0, "Negative margin", "Positive margin")</f>
        <v>Positive margin</v>
      </c>
      <c r="V860" s="2" t="str">
        <f>IF(SalesData[[#This Row],[Profit]]&lt;0, "Loss", "Profit")</f>
        <v>Loss</v>
      </c>
      <c r="W860" s="2">
        <f>SalesData[[#This Row],[Unit_Price]]*(1-SalesData[[#This Row],[Discount]])</f>
        <v>2384.424</v>
      </c>
      <c r="X860" s="2">
        <f>SalesData[[#This Row],[Effective_Unit_Price]]-SalesData[[#This Row],[Unit_Cost]]</f>
        <v>-204.11599999999999</v>
      </c>
      <c r="Y860" s="2" t="str">
        <f>IF(SalesData[[#This Row],[Effective_Unit_Margin]]&lt;0,"Loss per Unit","Positive per Unit")</f>
        <v>Loss per Unit</v>
      </c>
    </row>
    <row r="861" spans="1:25" x14ac:dyDescent="0.3">
      <c r="A861">
        <v>1075</v>
      </c>
      <c r="B861" s="1">
        <v>45092</v>
      </c>
      <c r="C861" t="s">
        <v>37</v>
      </c>
      <c r="D861" t="s">
        <v>14</v>
      </c>
      <c r="E861">
        <v>26</v>
      </c>
      <c r="F861" t="s">
        <v>15</v>
      </c>
      <c r="G861">
        <v>1749.34</v>
      </c>
      <c r="H861">
        <v>1935.25</v>
      </c>
      <c r="I861" t="s">
        <v>29</v>
      </c>
      <c r="J861" s="2">
        <v>0.14000000000000001</v>
      </c>
      <c r="K861" t="s">
        <v>30</v>
      </c>
      <c r="L861" t="s">
        <v>18</v>
      </c>
      <c r="M861" t="s">
        <v>39</v>
      </c>
      <c r="N861">
        <f>SalesData[[#This Row],[Quantity_Sold]]*SalesData[[#This Row],[Unit_Cost]]</f>
        <v>45482.84</v>
      </c>
      <c r="O861">
        <f>SalesData[[#This Row],[Quantity_Sold]]*SalesData[[#This Row],[Unit_Price]]</f>
        <v>50316.5</v>
      </c>
      <c r="P861">
        <f>SalesData[[#This Row],[Gross_sales]]*(1-SalesData[[#This Row],[Discount]])</f>
        <v>43272.19</v>
      </c>
      <c r="Q861" s="2">
        <f>SalesData[[#This Row],[Sales_amount]]-SalesData[[#This Row],[Total_Cost]]</f>
        <v>-2210.6499999999942</v>
      </c>
      <c r="R861" s="2">
        <f>SalesData[[#This Row],[Profit]]/SalesData[[#This Row],[Sales_amount]]</f>
        <v>-5.108708387534798E-2</v>
      </c>
      <c r="S861" s="2">
        <f>SalesData[[#This Row],[Unit_Price]]-SalesData[[#This Row],[Unit_Cost]]</f>
        <v>185.91000000000008</v>
      </c>
      <c r="T861" s="10">
        <f>SalesData[[#This Row],[Unit_Margin]]/SalesData[[#This Row],[Unit_Price]]</f>
        <v>9.6065107867200669E-2</v>
      </c>
      <c r="U861" s="2" t="str">
        <f>IF(SalesData[[#This Row],[Unit_Margin]]&lt;0, "Negative margin", "Positive margin")</f>
        <v>Positive margin</v>
      </c>
      <c r="V861" s="2" t="str">
        <f>IF(SalesData[[#This Row],[Profit]]&lt;0, "Loss", "Profit")</f>
        <v>Loss</v>
      </c>
      <c r="W861" s="2">
        <f>SalesData[[#This Row],[Unit_Price]]*(1-SalesData[[#This Row],[Discount]])</f>
        <v>1664.3150000000001</v>
      </c>
      <c r="X861" s="2">
        <f>SalesData[[#This Row],[Effective_Unit_Price]]-SalesData[[#This Row],[Unit_Cost]]</f>
        <v>-85.024999999999864</v>
      </c>
      <c r="Y861" s="2" t="str">
        <f>IF(SalesData[[#This Row],[Effective_Unit_Margin]]&lt;0,"Loss per Unit","Positive per Unit")</f>
        <v>Loss per Unit</v>
      </c>
    </row>
    <row r="862" spans="1:25" x14ac:dyDescent="0.3">
      <c r="A862">
        <v>1051</v>
      </c>
      <c r="B862" s="1">
        <v>45245</v>
      </c>
      <c r="C862" t="s">
        <v>41</v>
      </c>
      <c r="D862" t="s">
        <v>14</v>
      </c>
      <c r="E862">
        <v>23</v>
      </c>
      <c r="F862" t="s">
        <v>34</v>
      </c>
      <c r="G862">
        <v>1676.42</v>
      </c>
      <c r="H862">
        <v>2082.52</v>
      </c>
      <c r="I862" t="s">
        <v>29</v>
      </c>
      <c r="J862" s="2">
        <v>0.15</v>
      </c>
      <c r="K862" t="s">
        <v>26</v>
      </c>
      <c r="L862" t="s">
        <v>21</v>
      </c>
      <c r="M862" t="s">
        <v>48</v>
      </c>
      <c r="N862">
        <f>SalesData[[#This Row],[Quantity_Sold]]*SalesData[[#This Row],[Unit_Cost]]</f>
        <v>38557.660000000003</v>
      </c>
      <c r="O862">
        <f>SalesData[[#This Row],[Quantity_Sold]]*SalesData[[#This Row],[Unit_Price]]</f>
        <v>47897.96</v>
      </c>
      <c r="P862">
        <f>SalesData[[#This Row],[Gross_sales]]*(1-SalesData[[#This Row],[Discount]])</f>
        <v>40713.265999999996</v>
      </c>
      <c r="Q862" s="2">
        <f>SalesData[[#This Row],[Sales_amount]]-SalesData[[#This Row],[Total_Cost]]</f>
        <v>2155.6059999999925</v>
      </c>
      <c r="R862" s="2">
        <f>SalesData[[#This Row],[Profit]]/SalesData[[#This Row],[Sales_amount]]</f>
        <v>5.2946034837882884E-2</v>
      </c>
      <c r="S862" s="2">
        <f>SalesData[[#This Row],[Unit_Price]]-SalesData[[#This Row],[Unit_Cost]]</f>
        <v>406.09999999999991</v>
      </c>
      <c r="T862" s="10">
        <f>SalesData[[#This Row],[Unit_Margin]]/SalesData[[#This Row],[Unit_Price]]</f>
        <v>0.19500412961220057</v>
      </c>
      <c r="U862" s="2" t="str">
        <f>IF(SalesData[[#This Row],[Unit_Margin]]&lt;0, "Negative margin", "Positive margin")</f>
        <v>Positive margin</v>
      </c>
      <c r="V862" s="2" t="str">
        <f>IF(SalesData[[#This Row],[Profit]]&lt;0, "Loss", "Profit")</f>
        <v>Profit</v>
      </c>
      <c r="W862" s="2">
        <f>SalesData[[#This Row],[Unit_Price]]*(1-SalesData[[#This Row],[Discount]])</f>
        <v>1770.1419999999998</v>
      </c>
      <c r="X862" s="2">
        <f>SalesData[[#This Row],[Effective_Unit_Price]]-SalesData[[#This Row],[Unit_Cost]]</f>
        <v>93.721999999999753</v>
      </c>
      <c r="Y862" s="2" t="str">
        <f>IF(SalesData[[#This Row],[Effective_Unit_Margin]]&lt;0,"Loss per Unit","Positive per Unit")</f>
        <v>Positive per Unit</v>
      </c>
    </row>
    <row r="863" spans="1:25" x14ac:dyDescent="0.3">
      <c r="A863">
        <v>1038</v>
      </c>
      <c r="B863" s="1">
        <v>45140</v>
      </c>
      <c r="C863" t="s">
        <v>41</v>
      </c>
      <c r="D863" t="s">
        <v>33</v>
      </c>
      <c r="E863">
        <v>43</v>
      </c>
      <c r="F863" t="s">
        <v>15</v>
      </c>
      <c r="G863">
        <v>3031.17</v>
      </c>
      <c r="H863">
        <v>3231.32</v>
      </c>
      <c r="I863" t="s">
        <v>16</v>
      </c>
      <c r="J863" s="2">
        <v>0.22</v>
      </c>
      <c r="K863" t="s">
        <v>17</v>
      </c>
      <c r="L863" t="s">
        <v>21</v>
      </c>
      <c r="M863" t="s">
        <v>51</v>
      </c>
      <c r="N863">
        <f>SalesData[[#This Row],[Quantity_Sold]]*SalesData[[#This Row],[Unit_Cost]]</f>
        <v>130340.31</v>
      </c>
      <c r="O863">
        <f>SalesData[[#This Row],[Quantity_Sold]]*SalesData[[#This Row],[Unit_Price]]</f>
        <v>138946.76</v>
      </c>
      <c r="P863">
        <f>SalesData[[#This Row],[Gross_sales]]*(1-SalesData[[#This Row],[Discount]])</f>
        <v>108378.47280000002</v>
      </c>
      <c r="Q863" s="2">
        <f>SalesData[[#This Row],[Sales_amount]]-SalesData[[#This Row],[Total_Cost]]</f>
        <v>-21961.83719999998</v>
      </c>
      <c r="R863" s="2">
        <f>SalesData[[#This Row],[Profit]]/SalesData[[#This Row],[Sales_amount]]</f>
        <v>-0.20264021657260312</v>
      </c>
      <c r="S863" s="2">
        <f>SalesData[[#This Row],[Unit_Price]]-SalesData[[#This Row],[Unit_Cost]]</f>
        <v>200.15000000000009</v>
      </c>
      <c r="T863" s="10">
        <f>SalesData[[#This Row],[Unit_Margin]]/SalesData[[#This Row],[Unit_Price]]</f>
        <v>6.1940631073369425E-2</v>
      </c>
      <c r="U863" s="2" t="str">
        <f>IF(SalesData[[#This Row],[Unit_Margin]]&lt;0, "Negative margin", "Positive margin")</f>
        <v>Positive margin</v>
      </c>
      <c r="V863" s="2" t="str">
        <f>IF(SalesData[[#This Row],[Profit]]&lt;0, "Loss", "Profit")</f>
        <v>Loss</v>
      </c>
      <c r="W863" s="2">
        <f>SalesData[[#This Row],[Unit_Price]]*(1-SalesData[[#This Row],[Discount]])</f>
        <v>2520.4296000000004</v>
      </c>
      <c r="X863" s="2">
        <f>SalesData[[#This Row],[Effective_Unit_Price]]-SalesData[[#This Row],[Unit_Cost]]</f>
        <v>-510.74039999999968</v>
      </c>
      <c r="Y863" s="2" t="str">
        <f>IF(SalesData[[#This Row],[Effective_Unit_Margin]]&lt;0,"Loss per Unit","Positive per Unit")</f>
        <v>Loss per Unit</v>
      </c>
    </row>
    <row r="864" spans="1:25" x14ac:dyDescent="0.3">
      <c r="A864">
        <v>1064</v>
      </c>
      <c r="B864" s="1">
        <v>45043</v>
      </c>
      <c r="C864" t="s">
        <v>13</v>
      </c>
      <c r="D864" t="s">
        <v>14</v>
      </c>
      <c r="E864">
        <v>13</v>
      </c>
      <c r="F864" t="s">
        <v>28</v>
      </c>
      <c r="G864">
        <v>1645.51</v>
      </c>
      <c r="H864">
        <v>2045.53</v>
      </c>
      <c r="I864" t="s">
        <v>16</v>
      </c>
      <c r="J864" s="2">
        <v>0.28000000000000003</v>
      </c>
      <c r="K864" t="s">
        <v>17</v>
      </c>
      <c r="L864" t="s">
        <v>21</v>
      </c>
      <c r="M864" t="s">
        <v>19</v>
      </c>
      <c r="N864">
        <f>SalesData[[#This Row],[Quantity_Sold]]*SalesData[[#This Row],[Unit_Cost]]</f>
        <v>21391.63</v>
      </c>
      <c r="O864">
        <f>SalesData[[#This Row],[Quantity_Sold]]*SalesData[[#This Row],[Unit_Price]]</f>
        <v>26591.89</v>
      </c>
      <c r="P864">
        <f>SalesData[[#This Row],[Gross_sales]]*(1-SalesData[[#This Row],[Discount]])</f>
        <v>19146.160799999998</v>
      </c>
      <c r="Q864" s="2">
        <f>SalesData[[#This Row],[Sales_amount]]-SalesData[[#This Row],[Total_Cost]]</f>
        <v>-2245.4692000000032</v>
      </c>
      <c r="R864" s="2">
        <f>SalesData[[#This Row],[Profit]]/SalesData[[#This Row],[Sales_amount]]</f>
        <v>-0.11728038970611818</v>
      </c>
      <c r="S864" s="2">
        <f>SalesData[[#This Row],[Unit_Price]]-SalesData[[#This Row],[Unit_Cost]]</f>
        <v>400.02</v>
      </c>
      <c r="T864" s="10">
        <f>SalesData[[#This Row],[Unit_Margin]]/SalesData[[#This Row],[Unit_Price]]</f>
        <v>0.19555811941159504</v>
      </c>
      <c r="U864" s="2" t="str">
        <f>IF(SalesData[[#This Row],[Unit_Margin]]&lt;0, "Negative margin", "Positive margin")</f>
        <v>Positive margin</v>
      </c>
      <c r="V864" s="2" t="str">
        <f>IF(SalesData[[#This Row],[Profit]]&lt;0, "Loss", "Profit")</f>
        <v>Loss</v>
      </c>
      <c r="W864" s="2">
        <f>SalesData[[#This Row],[Unit_Price]]*(1-SalesData[[#This Row],[Discount]])</f>
        <v>1472.7816</v>
      </c>
      <c r="X864" s="2">
        <f>SalesData[[#This Row],[Effective_Unit_Price]]-SalesData[[#This Row],[Unit_Cost]]</f>
        <v>-172.72839999999997</v>
      </c>
      <c r="Y864" s="2" t="str">
        <f>IF(SalesData[[#This Row],[Effective_Unit_Margin]]&lt;0,"Loss per Unit","Positive per Unit")</f>
        <v>Loss per Unit</v>
      </c>
    </row>
    <row r="865" spans="1:25" x14ac:dyDescent="0.3">
      <c r="A865">
        <v>1098</v>
      </c>
      <c r="B865" s="1">
        <v>45270</v>
      </c>
      <c r="C865" t="s">
        <v>37</v>
      </c>
      <c r="D865" t="s">
        <v>33</v>
      </c>
      <c r="E865">
        <v>28</v>
      </c>
      <c r="F865" t="s">
        <v>34</v>
      </c>
      <c r="G865">
        <v>3895.62</v>
      </c>
      <c r="H865">
        <v>4055.44</v>
      </c>
      <c r="I865" t="s">
        <v>29</v>
      </c>
      <c r="J865" s="2">
        <v>0.03</v>
      </c>
      <c r="K865" t="s">
        <v>26</v>
      </c>
      <c r="L865" t="s">
        <v>21</v>
      </c>
      <c r="M865" t="s">
        <v>47</v>
      </c>
      <c r="N865">
        <f>SalesData[[#This Row],[Quantity_Sold]]*SalesData[[#This Row],[Unit_Cost]]</f>
        <v>109077.36</v>
      </c>
      <c r="O865">
        <f>SalesData[[#This Row],[Quantity_Sold]]*SalesData[[#This Row],[Unit_Price]]</f>
        <v>113552.32000000001</v>
      </c>
      <c r="P865">
        <f>SalesData[[#This Row],[Gross_sales]]*(1-SalesData[[#This Row],[Discount]])</f>
        <v>110145.7504</v>
      </c>
      <c r="Q865" s="2">
        <f>SalesData[[#This Row],[Sales_amount]]-SalesData[[#This Row],[Total_Cost]]</f>
        <v>1068.3904000000039</v>
      </c>
      <c r="R865" s="2">
        <f>SalesData[[#This Row],[Profit]]/SalesData[[#This Row],[Sales_amount]]</f>
        <v>9.6997877459646768E-3</v>
      </c>
      <c r="S865" s="2">
        <f>SalesData[[#This Row],[Unit_Price]]-SalesData[[#This Row],[Unit_Cost]]</f>
        <v>159.82000000000016</v>
      </c>
      <c r="T865" s="10">
        <f>SalesData[[#This Row],[Unit_Margin]]/SalesData[[#This Row],[Unit_Price]]</f>
        <v>3.9408794113585742E-2</v>
      </c>
      <c r="U865" s="2" t="str">
        <f>IF(SalesData[[#This Row],[Unit_Margin]]&lt;0, "Negative margin", "Positive margin")</f>
        <v>Positive margin</v>
      </c>
      <c r="V865" s="2" t="str">
        <f>IF(SalesData[[#This Row],[Profit]]&lt;0, "Loss", "Profit")</f>
        <v>Profit</v>
      </c>
      <c r="W865" s="2">
        <f>SalesData[[#This Row],[Unit_Price]]*(1-SalesData[[#This Row],[Discount]])</f>
        <v>3933.7768000000001</v>
      </c>
      <c r="X865" s="2">
        <f>SalesData[[#This Row],[Effective_Unit_Price]]-SalesData[[#This Row],[Unit_Cost]]</f>
        <v>38.156800000000203</v>
      </c>
      <c r="Y865" s="2" t="str">
        <f>IF(SalesData[[#This Row],[Effective_Unit_Margin]]&lt;0,"Loss per Unit","Positive per Unit")</f>
        <v>Positive per Unit</v>
      </c>
    </row>
    <row r="866" spans="1:25" x14ac:dyDescent="0.3">
      <c r="A866">
        <v>1038</v>
      </c>
      <c r="B866" s="1">
        <v>44998</v>
      </c>
      <c r="C866" t="s">
        <v>23</v>
      </c>
      <c r="D866" t="s">
        <v>14</v>
      </c>
      <c r="E866">
        <v>9</v>
      </c>
      <c r="F866" t="s">
        <v>28</v>
      </c>
      <c r="G866">
        <v>400.42</v>
      </c>
      <c r="H866">
        <v>446.11</v>
      </c>
      <c r="I866" t="s">
        <v>29</v>
      </c>
      <c r="J866" s="2">
        <v>0.01</v>
      </c>
      <c r="K866" t="s">
        <v>26</v>
      </c>
      <c r="L866" t="s">
        <v>21</v>
      </c>
      <c r="M866" t="s">
        <v>44</v>
      </c>
      <c r="N866">
        <f>SalesData[[#This Row],[Quantity_Sold]]*SalesData[[#This Row],[Unit_Cost]]</f>
        <v>3603.78</v>
      </c>
      <c r="O866">
        <f>SalesData[[#This Row],[Quantity_Sold]]*SalesData[[#This Row],[Unit_Price]]</f>
        <v>4014.9900000000002</v>
      </c>
      <c r="P866">
        <f>SalesData[[#This Row],[Gross_sales]]*(1-SalesData[[#This Row],[Discount]])</f>
        <v>3974.8401000000003</v>
      </c>
      <c r="Q866" s="2">
        <f>SalesData[[#This Row],[Sales_amount]]-SalesData[[#This Row],[Total_Cost]]</f>
        <v>371.06010000000015</v>
      </c>
      <c r="R866" s="2">
        <f>SalesData[[#This Row],[Profit]]/SalesData[[#This Row],[Sales_amount]]</f>
        <v>9.33522080548599E-2</v>
      </c>
      <c r="S866" s="2">
        <f>SalesData[[#This Row],[Unit_Price]]-SalesData[[#This Row],[Unit_Cost]]</f>
        <v>45.69</v>
      </c>
      <c r="T866" s="10">
        <f>SalesData[[#This Row],[Unit_Margin]]/SalesData[[#This Row],[Unit_Price]]</f>
        <v>0.10241868597431127</v>
      </c>
      <c r="U866" s="2" t="str">
        <f>IF(SalesData[[#This Row],[Unit_Margin]]&lt;0, "Negative margin", "Positive margin")</f>
        <v>Positive margin</v>
      </c>
      <c r="V866" s="2" t="str">
        <f>IF(SalesData[[#This Row],[Profit]]&lt;0, "Loss", "Profit")</f>
        <v>Profit</v>
      </c>
      <c r="W866" s="2">
        <f>SalesData[[#This Row],[Unit_Price]]*(1-SalesData[[#This Row],[Discount]])</f>
        <v>441.64890000000003</v>
      </c>
      <c r="X866" s="2">
        <f>SalesData[[#This Row],[Effective_Unit_Price]]-SalesData[[#This Row],[Unit_Cost]]</f>
        <v>41.22890000000001</v>
      </c>
      <c r="Y866" s="2" t="str">
        <f>IF(SalesData[[#This Row],[Effective_Unit_Margin]]&lt;0,"Loss per Unit","Positive per Unit")</f>
        <v>Positive per Unit</v>
      </c>
    </row>
    <row r="867" spans="1:25" x14ac:dyDescent="0.3">
      <c r="A867">
        <v>1050</v>
      </c>
      <c r="B867" s="1">
        <v>44990</v>
      </c>
      <c r="C867" t="s">
        <v>13</v>
      </c>
      <c r="D867" t="s">
        <v>14</v>
      </c>
      <c r="E867">
        <v>20</v>
      </c>
      <c r="F867" t="s">
        <v>34</v>
      </c>
      <c r="G867">
        <v>3318.92</v>
      </c>
      <c r="H867">
        <v>3785.91</v>
      </c>
      <c r="I867" t="s">
        <v>29</v>
      </c>
      <c r="J867" s="2">
        <v>0.24</v>
      </c>
      <c r="K867" t="s">
        <v>26</v>
      </c>
      <c r="L867" t="s">
        <v>18</v>
      </c>
      <c r="M867" t="s">
        <v>19</v>
      </c>
      <c r="N867">
        <f>SalesData[[#This Row],[Quantity_Sold]]*SalesData[[#This Row],[Unit_Cost]]</f>
        <v>66378.399999999994</v>
      </c>
      <c r="O867">
        <f>SalesData[[#This Row],[Quantity_Sold]]*SalesData[[#This Row],[Unit_Price]]</f>
        <v>75718.2</v>
      </c>
      <c r="P867">
        <f>SalesData[[#This Row],[Gross_sales]]*(1-SalesData[[#This Row],[Discount]])</f>
        <v>57545.831999999995</v>
      </c>
      <c r="Q867" s="2">
        <f>SalesData[[#This Row],[Sales_amount]]-SalesData[[#This Row],[Total_Cost]]</f>
        <v>-8832.5679999999993</v>
      </c>
      <c r="R867" s="2">
        <f>SalesData[[#This Row],[Profit]]/SalesData[[#This Row],[Sales_amount]]</f>
        <v>-0.15348753668206588</v>
      </c>
      <c r="S867" s="2">
        <f>SalesData[[#This Row],[Unit_Price]]-SalesData[[#This Row],[Unit_Cost]]</f>
        <v>466.98999999999978</v>
      </c>
      <c r="T867" s="10">
        <f>SalesData[[#This Row],[Unit_Margin]]/SalesData[[#This Row],[Unit_Price]]</f>
        <v>0.12334947212162989</v>
      </c>
      <c r="U867" s="2" t="str">
        <f>IF(SalesData[[#This Row],[Unit_Margin]]&lt;0, "Negative margin", "Positive margin")</f>
        <v>Positive margin</v>
      </c>
      <c r="V867" s="2" t="str">
        <f>IF(SalesData[[#This Row],[Profit]]&lt;0, "Loss", "Profit")</f>
        <v>Loss</v>
      </c>
      <c r="W867" s="2">
        <f>SalesData[[#This Row],[Unit_Price]]*(1-SalesData[[#This Row],[Discount]])</f>
        <v>2877.2916</v>
      </c>
      <c r="X867" s="2">
        <f>SalesData[[#This Row],[Effective_Unit_Price]]-SalesData[[#This Row],[Unit_Cost]]</f>
        <v>-441.62840000000006</v>
      </c>
      <c r="Y867" s="2" t="str">
        <f>IF(SalesData[[#This Row],[Effective_Unit_Margin]]&lt;0,"Loss per Unit","Positive per Unit")</f>
        <v>Loss per Unit</v>
      </c>
    </row>
    <row r="868" spans="1:25" x14ac:dyDescent="0.3">
      <c r="A868">
        <v>1098</v>
      </c>
      <c r="B868" s="1">
        <v>45131</v>
      </c>
      <c r="C868" t="s">
        <v>41</v>
      </c>
      <c r="D868" t="s">
        <v>24</v>
      </c>
      <c r="E868">
        <v>19</v>
      </c>
      <c r="F868" t="s">
        <v>34</v>
      </c>
      <c r="G868">
        <v>4055.51</v>
      </c>
      <c r="H868">
        <v>4258.84</v>
      </c>
      <c r="I868" t="s">
        <v>16</v>
      </c>
      <c r="J868" s="2">
        <v>0.03</v>
      </c>
      <c r="K868" t="s">
        <v>30</v>
      </c>
      <c r="L868" t="s">
        <v>18</v>
      </c>
      <c r="M868" t="s">
        <v>42</v>
      </c>
      <c r="N868">
        <f>SalesData[[#This Row],[Quantity_Sold]]*SalesData[[#This Row],[Unit_Cost]]</f>
        <v>77054.69</v>
      </c>
      <c r="O868">
        <f>SalesData[[#This Row],[Quantity_Sold]]*SalesData[[#This Row],[Unit_Price]]</f>
        <v>80917.960000000006</v>
      </c>
      <c r="P868">
        <f>SalesData[[#This Row],[Gross_sales]]*(1-SalesData[[#This Row],[Discount]])</f>
        <v>78490.421199999997</v>
      </c>
      <c r="Q868" s="2">
        <f>SalesData[[#This Row],[Sales_amount]]-SalesData[[#This Row],[Total_Cost]]</f>
        <v>1435.7311999999947</v>
      </c>
      <c r="R868" s="2">
        <f>SalesData[[#This Row],[Profit]]/SalesData[[#This Row],[Sales_amount]]</f>
        <v>1.8291801445957774E-2</v>
      </c>
      <c r="S868" s="2">
        <f>SalesData[[#This Row],[Unit_Price]]-SalesData[[#This Row],[Unit_Cost]]</f>
        <v>203.32999999999993</v>
      </c>
      <c r="T868" s="10">
        <f>SalesData[[#This Row],[Unit_Margin]]/SalesData[[#This Row],[Unit_Price]]</f>
        <v>4.7743047402579085E-2</v>
      </c>
      <c r="U868" s="2" t="str">
        <f>IF(SalesData[[#This Row],[Unit_Margin]]&lt;0, "Negative margin", "Positive margin")</f>
        <v>Positive margin</v>
      </c>
      <c r="V868" s="2" t="str">
        <f>IF(SalesData[[#This Row],[Profit]]&lt;0, "Loss", "Profit")</f>
        <v>Profit</v>
      </c>
      <c r="W868" s="2">
        <f>SalesData[[#This Row],[Unit_Price]]*(1-SalesData[[#This Row],[Discount]])</f>
        <v>4131.0748000000003</v>
      </c>
      <c r="X868" s="2">
        <f>SalesData[[#This Row],[Effective_Unit_Price]]-SalesData[[#This Row],[Unit_Cost]]</f>
        <v>75.564800000000105</v>
      </c>
      <c r="Y868" s="2" t="str">
        <f>IF(SalesData[[#This Row],[Effective_Unit_Margin]]&lt;0,"Loss per Unit","Positive per Unit")</f>
        <v>Positive per Unit</v>
      </c>
    </row>
    <row r="869" spans="1:25" x14ac:dyDescent="0.3">
      <c r="A869">
        <v>1082</v>
      </c>
      <c r="B869" s="1">
        <v>45135</v>
      </c>
      <c r="C869" t="s">
        <v>41</v>
      </c>
      <c r="D869" t="s">
        <v>33</v>
      </c>
      <c r="E869">
        <v>48</v>
      </c>
      <c r="F869" t="s">
        <v>25</v>
      </c>
      <c r="G869">
        <v>3380.52</v>
      </c>
      <c r="H869">
        <v>3778.94</v>
      </c>
      <c r="I869" t="s">
        <v>16</v>
      </c>
      <c r="J869" s="2">
        <v>0.3</v>
      </c>
      <c r="K869" t="s">
        <v>26</v>
      </c>
      <c r="L869" t="s">
        <v>18</v>
      </c>
      <c r="M869" t="s">
        <v>51</v>
      </c>
      <c r="N869">
        <f>SalesData[[#This Row],[Quantity_Sold]]*SalesData[[#This Row],[Unit_Cost]]</f>
        <v>162264.95999999999</v>
      </c>
      <c r="O869">
        <f>SalesData[[#This Row],[Quantity_Sold]]*SalesData[[#This Row],[Unit_Price]]</f>
        <v>181389.12</v>
      </c>
      <c r="P869">
        <f>SalesData[[#This Row],[Gross_sales]]*(1-SalesData[[#This Row],[Discount]])</f>
        <v>126972.38399999999</v>
      </c>
      <c r="Q869" s="2">
        <f>SalesData[[#This Row],[Sales_amount]]-SalesData[[#This Row],[Total_Cost]]</f>
        <v>-35292.576000000001</v>
      </c>
      <c r="R869" s="2">
        <f>SalesData[[#This Row],[Profit]]/SalesData[[#This Row],[Sales_amount]]</f>
        <v>-0.27795474014254945</v>
      </c>
      <c r="S869" s="2">
        <f>SalesData[[#This Row],[Unit_Price]]-SalesData[[#This Row],[Unit_Cost]]</f>
        <v>398.42000000000007</v>
      </c>
      <c r="T869" s="10">
        <f>SalesData[[#This Row],[Unit_Margin]]/SalesData[[#This Row],[Unit_Price]]</f>
        <v>0.10543168190021542</v>
      </c>
      <c r="U869" s="2" t="str">
        <f>IF(SalesData[[#This Row],[Unit_Margin]]&lt;0, "Negative margin", "Positive margin")</f>
        <v>Positive margin</v>
      </c>
      <c r="V869" s="2" t="str">
        <f>IF(SalesData[[#This Row],[Profit]]&lt;0, "Loss", "Profit")</f>
        <v>Loss</v>
      </c>
      <c r="W869" s="2">
        <f>SalesData[[#This Row],[Unit_Price]]*(1-SalesData[[#This Row],[Discount]])</f>
        <v>2645.2579999999998</v>
      </c>
      <c r="X869" s="2">
        <f>SalesData[[#This Row],[Effective_Unit_Price]]-SalesData[[#This Row],[Unit_Cost]]</f>
        <v>-735.26200000000017</v>
      </c>
      <c r="Y869" s="2" t="str">
        <f>IF(SalesData[[#This Row],[Effective_Unit_Margin]]&lt;0,"Loss per Unit","Positive per Unit")</f>
        <v>Loss per Unit</v>
      </c>
    </row>
    <row r="870" spans="1:25" x14ac:dyDescent="0.3">
      <c r="A870">
        <v>1030</v>
      </c>
      <c r="B870" s="1">
        <v>44998</v>
      </c>
      <c r="C870" t="s">
        <v>41</v>
      </c>
      <c r="D870" t="s">
        <v>14</v>
      </c>
      <c r="E870">
        <v>39</v>
      </c>
      <c r="F870" t="s">
        <v>25</v>
      </c>
      <c r="G870">
        <v>2511.2800000000002</v>
      </c>
      <c r="H870">
        <v>2658.06</v>
      </c>
      <c r="I870" t="s">
        <v>29</v>
      </c>
      <c r="J870" s="2">
        <v>0.19</v>
      </c>
      <c r="K870" t="s">
        <v>30</v>
      </c>
      <c r="L870" t="s">
        <v>21</v>
      </c>
      <c r="M870" t="s">
        <v>48</v>
      </c>
      <c r="N870">
        <f>SalesData[[#This Row],[Quantity_Sold]]*SalesData[[#This Row],[Unit_Cost]]</f>
        <v>97939.920000000013</v>
      </c>
      <c r="O870">
        <f>SalesData[[#This Row],[Quantity_Sold]]*SalesData[[#This Row],[Unit_Price]]</f>
        <v>103664.34</v>
      </c>
      <c r="P870">
        <f>SalesData[[#This Row],[Gross_sales]]*(1-SalesData[[#This Row],[Discount]])</f>
        <v>83968.11540000001</v>
      </c>
      <c r="Q870" s="2">
        <f>SalesData[[#This Row],[Sales_amount]]-SalesData[[#This Row],[Total_Cost]]</f>
        <v>-13971.804600000003</v>
      </c>
      <c r="R870" s="2">
        <f>SalesData[[#This Row],[Profit]]/SalesData[[#This Row],[Sales_amount]]</f>
        <v>-0.1663941668029863</v>
      </c>
      <c r="S870" s="2">
        <f>SalesData[[#This Row],[Unit_Price]]-SalesData[[#This Row],[Unit_Cost]]</f>
        <v>146.77999999999975</v>
      </c>
      <c r="T870" s="10">
        <f>SalesData[[#This Row],[Unit_Margin]]/SalesData[[#This Row],[Unit_Price]]</f>
        <v>5.5220724889581026E-2</v>
      </c>
      <c r="U870" s="2" t="str">
        <f>IF(SalesData[[#This Row],[Unit_Margin]]&lt;0, "Negative margin", "Positive margin")</f>
        <v>Positive margin</v>
      </c>
      <c r="V870" s="2" t="str">
        <f>IF(SalesData[[#This Row],[Profit]]&lt;0, "Loss", "Profit")</f>
        <v>Loss</v>
      </c>
      <c r="W870" s="2">
        <f>SalesData[[#This Row],[Unit_Price]]*(1-SalesData[[#This Row],[Discount]])</f>
        <v>2153.0286000000001</v>
      </c>
      <c r="X870" s="2">
        <f>SalesData[[#This Row],[Effective_Unit_Price]]-SalesData[[#This Row],[Unit_Cost]]</f>
        <v>-358.2514000000001</v>
      </c>
      <c r="Y870" s="2" t="str">
        <f>IF(SalesData[[#This Row],[Effective_Unit_Margin]]&lt;0,"Loss per Unit","Positive per Unit")</f>
        <v>Loss per Unit</v>
      </c>
    </row>
    <row r="871" spans="1:25" x14ac:dyDescent="0.3">
      <c r="A871">
        <v>1079</v>
      </c>
      <c r="B871" s="1">
        <v>45203</v>
      </c>
      <c r="C871" t="s">
        <v>37</v>
      </c>
      <c r="D871" t="s">
        <v>33</v>
      </c>
      <c r="E871">
        <v>12</v>
      </c>
      <c r="F871" t="s">
        <v>25</v>
      </c>
      <c r="G871">
        <v>4754.0200000000004</v>
      </c>
      <c r="H871">
        <v>5080.74</v>
      </c>
      <c r="I871" t="s">
        <v>29</v>
      </c>
      <c r="J871" s="2">
        <v>0.2</v>
      </c>
      <c r="K871" t="s">
        <v>17</v>
      </c>
      <c r="L871" t="s">
        <v>18</v>
      </c>
      <c r="M871" t="s">
        <v>47</v>
      </c>
      <c r="N871">
        <f>SalesData[[#This Row],[Quantity_Sold]]*SalesData[[#This Row],[Unit_Cost]]</f>
        <v>57048.240000000005</v>
      </c>
      <c r="O871">
        <f>SalesData[[#This Row],[Quantity_Sold]]*SalesData[[#This Row],[Unit_Price]]</f>
        <v>60968.88</v>
      </c>
      <c r="P871">
        <f>SalesData[[#This Row],[Gross_sales]]*(1-SalesData[[#This Row],[Discount]])</f>
        <v>48775.103999999999</v>
      </c>
      <c r="Q871" s="2">
        <f>SalesData[[#This Row],[Sales_amount]]-SalesData[[#This Row],[Total_Cost]]</f>
        <v>-8273.1360000000059</v>
      </c>
      <c r="R871" s="2">
        <f>SalesData[[#This Row],[Profit]]/SalesData[[#This Row],[Sales_amount]]</f>
        <v>-0.16961800840035124</v>
      </c>
      <c r="S871" s="2">
        <f>SalesData[[#This Row],[Unit_Price]]-SalesData[[#This Row],[Unit_Cost]]</f>
        <v>326.71999999999935</v>
      </c>
      <c r="T871" s="10">
        <f>SalesData[[#This Row],[Unit_Margin]]/SalesData[[#This Row],[Unit_Price]]</f>
        <v>6.4305593279718964E-2</v>
      </c>
      <c r="U871" s="2" t="str">
        <f>IF(SalesData[[#This Row],[Unit_Margin]]&lt;0, "Negative margin", "Positive margin")</f>
        <v>Positive margin</v>
      </c>
      <c r="V871" s="2" t="str">
        <f>IF(SalesData[[#This Row],[Profit]]&lt;0, "Loss", "Profit")</f>
        <v>Loss</v>
      </c>
      <c r="W871" s="2">
        <f>SalesData[[#This Row],[Unit_Price]]*(1-SalesData[[#This Row],[Discount]])</f>
        <v>4064.5920000000001</v>
      </c>
      <c r="X871" s="2">
        <f>SalesData[[#This Row],[Effective_Unit_Price]]-SalesData[[#This Row],[Unit_Cost]]</f>
        <v>-689.42800000000034</v>
      </c>
      <c r="Y871" s="2" t="str">
        <f>IF(SalesData[[#This Row],[Effective_Unit_Margin]]&lt;0,"Loss per Unit","Positive per Unit")</f>
        <v>Loss per Unit</v>
      </c>
    </row>
    <row r="872" spans="1:25" x14ac:dyDescent="0.3">
      <c r="A872">
        <v>1091</v>
      </c>
      <c r="B872" s="1">
        <v>45200</v>
      </c>
      <c r="C872" t="s">
        <v>37</v>
      </c>
      <c r="D872" t="s">
        <v>33</v>
      </c>
      <c r="E872">
        <v>15</v>
      </c>
      <c r="F872" t="s">
        <v>34</v>
      </c>
      <c r="G872">
        <v>1534.7</v>
      </c>
      <c r="H872">
        <v>1972.62</v>
      </c>
      <c r="I872" t="s">
        <v>16</v>
      </c>
      <c r="J872" s="2">
        <v>0.06</v>
      </c>
      <c r="K872" t="s">
        <v>30</v>
      </c>
      <c r="L872" t="s">
        <v>21</v>
      </c>
      <c r="M872" t="s">
        <v>47</v>
      </c>
      <c r="N872">
        <f>SalesData[[#This Row],[Quantity_Sold]]*SalesData[[#This Row],[Unit_Cost]]</f>
        <v>23020.5</v>
      </c>
      <c r="O872">
        <f>SalesData[[#This Row],[Quantity_Sold]]*SalesData[[#This Row],[Unit_Price]]</f>
        <v>29589.3</v>
      </c>
      <c r="P872">
        <f>SalesData[[#This Row],[Gross_sales]]*(1-SalesData[[#This Row],[Discount]])</f>
        <v>27813.941999999999</v>
      </c>
      <c r="Q872" s="2">
        <f>SalesData[[#This Row],[Sales_amount]]-SalesData[[#This Row],[Total_Cost]]</f>
        <v>4793.4419999999991</v>
      </c>
      <c r="R872" s="2">
        <f>SalesData[[#This Row],[Profit]]/SalesData[[#This Row],[Sales_amount]]</f>
        <v>0.172339541083389</v>
      </c>
      <c r="S872" s="2">
        <f>SalesData[[#This Row],[Unit_Price]]-SalesData[[#This Row],[Unit_Cost]]</f>
        <v>437.91999999999985</v>
      </c>
      <c r="T872" s="10">
        <f>SalesData[[#This Row],[Unit_Margin]]/SalesData[[#This Row],[Unit_Price]]</f>
        <v>0.22199916861838564</v>
      </c>
      <c r="U872" s="2" t="str">
        <f>IF(SalesData[[#This Row],[Unit_Margin]]&lt;0, "Negative margin", "Positive margin")</f>
        <v>Positive margin</v>
      </c>
      <c r="V872" s="2" t="str">
        <f>IF(SalesData[[#This Row],[Profit]]&lt;0, "Loss", "Profit")</f>
        <v>Profit</v>
      </c>
      <c r="W872" s="2">
        <f>SalesData[[#This Row],[Unit_Price]]*(1-SalesData[[#This Row],[Discount]])</f>
        <v>1854.2627999999997</v>
      </c>
      <c r="X872" s="2">
        <f>SalesData[[#This Row],[Effective_Unit_Price]]-SalesData[[#This Row],[Unit_Cost]]</f>
        <v>319.5627999999997</v>
      </c>
      <c r="Y872" s="2" t="str">
        <f>IF(SalesData[[#This Row],[Effective_Unit_Margin]]&lt;0,"Loss per Unit","Positive per Unit")</f>
        <v>Positive per Unit</v>
      </c>
    </row>
    <row r="873" spans="1:25" x14ac:dyDescent="0.3">
      <c r="A873">
        <v>1051</v>
      </c>
      <c r="B873" s="1">
        <v>45246</v>
      </c>
      <c r="C873" t="s">
        <v>13</v>
      </c>
      <c r="D873" t="s">
        <v>20</v>
      </c>
      <c r="E873">
        <v>31</v>
      </c>
      <c r="F873" t="s">
        <v>15</v>
      </c>
      <c r="G873">
        <v>144.88</v>
      </c>
      <c r="H873">
        <v>175.29</v>
      </c>
      <c r="I873" t="s">
        <v>29</v>
      </c>
      <c r="J873" s="2">
        <v>7.0000000000000007E-2</v>
      </c>
      <c r="K873" t="s">
        <v>26</v>
      </c>
      <c r="L873" t="s">
        <v>18</v>
      </c>
      <c r="M873" t="s">
        <v>22</v>
      </c>
      <c r="N873">
        <f>SalesData[[#This Row],[Quantity_Sold]]*SalesData[[#This Row],[Unit_Cost]]</f>
        <v>4491.28</v>
      </c>
      <c r="O873">
        <f>SalesData[[#This Row],[Quantity_Sold]]*SalesData[[#This Row],[Unit_Price]]</f>
        <v>5433.99</v>
      </c>
      <c r="P873">
        <f>SalesData[[#This Row],[Gross_sales]]*(1-SalesData[[#This Row],[Discount]])</f>
        <v>5053.6106999999993</v>
      </c>
      <c r="Q873" s="2">
        <f>SalesData[[#This Row],[Sales_amount]]-SalesData[[#This Row],[Total_Cost]]</f>
        <v>562.33069999999952</v>
      </c>
      <c r="R873" s="2">
        <f>SalesData[[#This Row],[Profit]]/SalesData[[#This Row],[Sales_amount]]</f>
        <v>0.11127305472896826</v>
      </c>
      <c r="S873" s="2">
        <f>SalesData[[#This Row],[Unit_Price]]-SalesData[[#This Row],[Unit_Cost]]</f>
        <v>30.409999999999997</v>
      </c>
      <c r="T873" s="10">
        <f>SalesData[[#This Row],[Unit_Margin]]/SalesData[[#This Row],[Unit_Price]]</f>
        <v>0.17348394089794053</v>
      </c>
      <c r="U873" s="2" t="str">
        <f>IF(SalesData[[#This Row],[Unit_Margin]]&lt;0, "Negative margin", "Positive margin")</f>
        <v>Positive margin</v>
      </c>
      <c r="V873" s="2" t="str">
        <f>IF(SalesData[[#This Row],[Profit]]&lt;0, "Loss", "Profit")</f>
        <v>Profit</v>
      </c>
      <c r="W873" s="2">
        <f>SalesData[[#This Row],[Unit_Price]]*(1-SalesData[[#This Row],[Discount]])</f>
        <v>163.01969999999997</v>
      </c>
      <c r="X873" s="2">
        <f>SalesData[[#This Row],[Effective_Unit_Price]]-SalesData[[#This Row],[Unit_Cost]]</f>
        <v>18.139699999999976</v>
      </c>
      <c r="Y873" s="2" t="str">
        <f>IF(SalesData[[#This Row],[Effective_Unit_Margin]]&lt;0,"Loss per Unit","Positive per Unit")</f>
        <v>Positive per Unit</v>
      </c>
    </row>
    <row r="874" spans="1:25" x14ac:dyDescent="0.3">
      <c r="A874">
        <v>1063</v>
      </c>
      <c r="B874" s="1">
        <v>45264</v>
      </c>
      <c r="C874" t="s">
        <v>23</v>
      </c>
      <c r="D874" t="s">
        <v>24</v>
      </c>
      <c r="E874">
        <v>14</v>
      </c>
      <c r="F874" t="s">
        <v>28</v>
      </c>
      <c r="G874">
        <v>2188.35</v>
      </c>
      <c r="H874">
        <v>2605.3599999999901</v>
      </c>
      <c r="I874" t="s">
        <v>16</v>
      </c>
      <c r="J874" s="2">
        <v>0.2</v>
      </c>
      <c r="K874" t="s">
        <v>30</v>
      </c>
      <c r="L874" t="s">
        <v>21</v>
      </c>
      <c r="M874" t="s">
        <v>27</v>
      </c>
      <c r="N874">
        <f>SalesData[[#This Row],[Quantity_Sold]]*SalesData[[#This Row],[Unit_Cost]]</f>
        <v>30636.899999999998</v>
      </c>
      <c r="O874">
        <f>SalesData[[#This Row],[Quantity_Sold]]*SalesData[[#This Row],[Unit_Price]]</f>
        <v>36475.039999999863</v>
      </c>
      <c r="P874">
        <f>SalesData[[#This Row],[Gross_sales]]*(1-SalesData[[#This Row],[Discount]])</f>
        <v>29180.03199999989</v>
      </c>
      <c r="Q874" s="2">
        <f>SalesData[[#This Row],[Sales_amount]]-SalesData[[#This Row],[Total_Cost]]</f>
        <v>-1456.8680000001077</v>
      </c>
      <c r="R874" s="2">
        <f>SalesData[[#This Row],[Profit]]/SalesData[[#This Row],[Sales_amount]]</f>
        <v>-4.9926881505822654E-2</v>
      </c>
      <c r="S874" s="2">
        <f>SalesData[[#This Row],[Unit_Price]]-SalesData[[#This Row],[Unit_Cost]]</f>
        <v>417.00999999999021</v>
      </c>
      <c r="T874" s="10">
        <f>SalesData[[#This Row],[Unit_Margin]]/SalesData[[#This Row],[Unit_Price]]</f>
        <v>0.16005849479534184</v>
      </c>
      <c r="U874" s="2" t="str">
        <f>IF(SalesData[[#This Row],[Unit_Margin]]&lt;0, "Negative margin", "Positive margin")</f>
        <v>Positive margin</v>
      </c>
      <c r="V874" s="2" t="str">
        <f>IF(SalesData[[#This Row],[Profit]]&lt;0, "Loss", "Profit")</f>
        <v>Loss</v>
      </c>
      <c r="W874" s="2">
        <f>SalesData[[#This Row],[Unit_Price]]*(1-SalesData[[#This Row],[Discount]])</f>
        <v>2084.2879999999923</v>
      </c>
      <c r="X874" s="2">
        <f>SalesData[[#This Row],[Effective_Unit_Price]]-SalesData[[#This Row],[Unit_Cost]]</f>
        <v>-104.06200000000763</v>
      </c>
      <c r="Y874" s="2" t="str">
        <f>IF(SalesData[[#This Row],[Effective_Unit_Margin]]&lt;0,"Loss per Unit","Positive per Unit")</f>
        <v>Loss per Unit</v>
      </c>
    </row>
    <row r="875" spans="1:25" x14ac:dyDescent="0.3">
      <c r="A875">
        <v>1098</v>
      </c>
      <c r="B875" s="1">
        <v>45292</v>
      </c>
      <c r="C875" t="s">
        <v>13</v>
      </c>
      <c r="D875" t="s">
        <v>24</v>
      </c>
      <c r="E875">
        <v>11</v>
      </c>
      <c r="F875" t="s">
        <v>28</v>
      </c>
      <c r="G875">
        <v>213.41</v>
      </c>
      <c r="H875">
        <v>503.36</v>
      </c>
      <c r="I875" t="s">
        <v>16</v>
      </c>
      <c r="J875" s="2">
        <v>0.27</v>
      </c>
      <c r="K875" t="s">
        <v>26</v>
      </c>
      <c r="L875" t="s">
        <v>18</v>
      </c>
      <c r="M875" t="s">
        <v>31</v>
      </c>
      <c r="N875">
        <f>SalesData[[#This Row],[Quantity_Sold]]*SalesData[[#This Row],[Unit_Cost]]</f>
        <v>2347.5099999999998</v>
      </c>
      <c r="O875">
        <f>SalesData[[#This Row],[Quantity_Sold]]*SalesData[[#This Row],[Unit_Price]]</f>
        <v>5536.96</v>
      </c>
      <c r="P875">
        <f>SalesData[[#This Row],[Gross_sales]]*(1-SalesData[[#This Row],[Discount]])</f>
        <v>4041.9807999999998</v>
      </c>
      <c r="Q875" s="2">
        <f>SalesData[[#This Row],[Sales_amount]]-SalesData[[#This Row],[Total_Cost]]</f>
        <v>1694.4708000000001</v>
      </c>
      <c r="R875" s="2">
        <f>SalesData[[#This Row],[Profit]]/SalesData[[#This Row],[Sales_amount]]</f>
        <v>0.41921792404357788</v>
      </c>
      <c r="S875" s="2">
        <f>SalesData[[#This Row],[Unit_Price]]-SalesData[[#This Row],[Unit_Cost]]</f>
        <v>289.95000000000005</v>
      </c>
      <c r="T875" s="10">
        <f>SalesData[[#This Row],[Unit_Margin]]/SalesData[[#This Row],[Unit_Price]]</f>
        <v>0.5760290845518119</v>
      </c>
      <c r="U875" s="2" t="str">
        <f>IF(SalesData[[#This Row],[Unit_Margin]]&lt;0, "Negative margin", "Positive margin")</f>
        <v>Positive margin</v>
      </c>
      <c r="V875" s="2" t="str">
        <f>IF(SalesData[[#This Row],[Profit]]&lt;0, "Loss", "Profit")</f>
        <v>Profit</v>
      </c>
      <c r="W875" s="2">
        <f>SalesData[[#This Row],[Unit_Price]]*(1-SalesData[[#This Row],[Discount]])</f>
        <v>367.45280000000002</v>
      </c>
      <c r="X875" s="2">
        <f>SalesData[[#This Row],[Effective_Unit_Price]]-SalesData[[#This Row],[Unit_Cost]]</f>
        <v>154.04280000000003</v>
      </c>
      <c r="Y875" s="2" t="str">
        <f>IF(SalesData[[#This Row],[Effective_Unit_Margin]]&lt;0,"Loss per Unit","Positive per Unit")</f>
        <v>Positive per Unit</v>
      </c>
    </row>
    <row r="876" spans="1:25" x14ac:dyDescent="0.3">
      <c r="A876">
        <v>1052</v>
      </c>
      <c r="B876" s="1">
        <v>45021</v>
      </c>
      <c r="C876" t="s">
        <v>32</v>
      </c>
      <c r="D876" t="s">
        <v>24</v>
      </c>
      <c r="E876">
        <v>26</v>
      </c>
      <c r="F876" t="s">
        <v>28</v>
      </c>
      <c r="G876">
        <v>4771.99</v>
      </c>
      <c r="H876">
        <v>5079.6499999999996</v>
      </c>
      <c r="I876" t="s">
        <v>29</v>
      </c>
      <c r="J876" s="2">
        <v>0.28999999999999998</v>
      </c>
      <c r="K876" t="s">
        <v>30</v>
      </c>
      <c r="L876" t="s">
        <v>18</v>
      </c>
      <c r="M876" t="s">
        <v>43</v>
      </c>
      <c r="N876">
        <f>SalesData[[#This Row],[Quantity_Sold]]*SalesData[[#This Row],[Unit_Cost]]</f>
        <v>124071.73999999999</v>
      </c>
      <c r="O876">
        <f>SalesData[[#This Row],[Quantity_Sold]]*SalesData[[#This Row],[Unit_Price]]</f>
        <v>132070.9</v>
      </c>
      <c r="P876">
        <f>SalesData[[#This Row],[Gross_sales]]*(1-SalesData[[#This Row],[Discount]])</f>
        <v>93770.338999999993</v>
      </c>
      <c r="Q876" s="2">
        <f>SalesData[[#This Row],[Sales_amount]]-SalesData[[#This Row],[Total_Cost]]</f>
        <v>-30301.400999999998</v>
      </c>
      <c r="R876" s="2">
        <f>SalesData[[#This Row],[Profit]]/SalesData[[#This Row],[Sales_amount]]</f>
        <v>-0.32314483794283821</v>
      </c>
      <c r="S876" s="2">
        <f>SalesData[[#This Row],[Unit_Price]]-SalesData[[#This Row],[Unit_Cost]]</f>
        <v>307.65999999999985</v>
      </c>
      <c r="T876" s="10">
        <f>SalesData[[#This Row],[Unit_Margin]]/SalesData[[#This Row],[Unit_Price]]</f>
        <v>6.0567165060584856E-2</v>
      </c>
      <c r="U876" s="2" t="str">
        <f>IF(SalesData[[#This Row],[Unit_Margin]]&lt;0, "Negative margin", "Positive margin")</f>
        <v>Positive margin</v>
      </c>
      <c r="V876" s="2" t="str">
        <f>IF(SalesData[[#This Row],[Profit]]&lt;0, "Loss", "Profit")</f>
        <v>Loss</v>
      </c>
      <c r="W876" s="2">
        <f>SalesData[[#This Row],[Unit_Price]]*(1-SalesData[[#This Row],[Discount]])</f>
        <v>3606.5514999999996</v>
      </c>
      <c r="X876" s="2">
        <f>SalesData[[#This Row],[Effective_Unit_Price]]-SalesData[[#This Row],[Unit_Cost]]</f>
        <v>-1165.4385000000002</v>
      </c>
      <c r="Y876" s="2" t="str">
        <f>IF(SalesData[[#This Row],[Effective_Unit_Margin]]&lt;0,"Loss per Unit","Positive per Unit")</f>
        <v>Loss per Unit</v>
      </c>
    </row>
    <row r="877" spans="1:25" x14ac:dyDescent="0.3">
      <c r="A877">
        <v>1038</v>
      </c>
      <c r="B877" s="1">
        <v>45092</v>
      </c>
      <c r="C877" t="s">
        <v>41</v>
      </c>
      <c r="D877" t="s">
        <v>20</v>
      </c>
      <c r="E877">
        <v>42</v>
      </c>
      <c r="F877" t="s">
        <v>25</v>
      </c>
      <c r="G877">
        <v>1089.0899999999999</v>
      </c>
      <c r="H877">
        <v>1355.44</v>
      </c>
      <c r="I877" t="s">
        <v>29</v>
      </c>
      <c r="J877" s="2">
        <v>0.06</v>
      </c>
      <c r="K877" t="s">
        <v>17</v>
      </c>
      <c r="L877" t="s">
        <v>21</v>
      </c>
      <c r="M877" t="s">
        <v>50</v>
      </c>
      <c r="N877">
        <f>SalesData[[#This Row],[Quantity_Sold]]*SalesData[[#This Row],[Unit_Cost]]</f>
        <v>45741.78</v>
      </c>
      <c r="O877">
        <f>SalesData[[#This Row],[Quantity_Sold]]*SalesData[[#This Row],[Unit_Price]]</f>
        <v>56928.480000000003</v>
      </c>
      <c r="P877">
        <f>SalesData[[#This Row],[Gross_sales]]*(1-SalesData[[#This Row],[Discount]])</f>
        <v>53512.771200000003</v>
      </c>
      <c r="Q877" s="2">
        <f>SalesData[[#This Row],[Sales_amount]]-SalesData[[#This Row],[Total_Cost]]</f>
        <v>7770.991200000004</v>
      </c>
      <c r="R877" s="2">
        <f>SalesData[[#This Row],[Profit]]/SalesData[[#This Row],[Sales_amount]]</f>
        <v>0.14521750650805398</v>
      </c>
      <c r="S877" s="2">
        <f>SalesData[[#This Row],[Unit_Price]]-SalesData[[#This Row],[Unit_Cost]]</f>
        <v>266.35000000000014</v>
      </c>
      <c r="T877" s="10">
        <f>SalesData[[#This Row],[Unit_Margin]]/SalesData[[#This Row],[Unit_Price]]</f>
        <v>0.19650445611757078</v>
      </c>
      <c r="U877" s="2" t="str">
        <f>IF(SalesData[[#This Row],[Unit_Margin]]&lt;0, "Negative margin", "Positive margin")</f>
        <v>Positive margin</v>
      </c>
      <c r="V877" s="2" t="str">
        <f>IF(SalesData[[#This Row],[Profit]]&lt;0, "Loss", "Profit")</f>
        <v>Profit</v>
      </c>
      <c r="W877" s="2">
        <f>SalesData[[#This Row],[Unit_Price]]*(1-SalesData[[#This Row],[Discount]])</f>
        <v>1274.1135999999999</v>
      </c>
      <c r="X877" s="2">
        <f>SalesData[[#This Row],[Effective_Unit_Price]]-SalesData[[#This Row],[Unit_Cost]]</f>
        <v>185.02359999999999</v>
      </c>
      <c r="Y877" s="2" t="str">
        <f>IF(SalesData[[#This Row],[Effective_Unit_Margin]]&lt;0,"Loss per Unit","Positive per Unit")</f>
        <v>Positive per Unit</v>
      </c>
    </row>
    <row r="878" spans="1:25" x14ac:dyDescent="0.3">
      <c r="A878">
        <v>1097</v>
      </c>
      <c r="B878" s="1">
        <v>44958</v>
      </c>
      <c r="C878" t="s">
        <v>41</v>
      </c>
      <c r="D878" t="s">
        <v>20</v>
      </c>
      <c r="E878">
        <v>27</v>
      </c>
      <c r="F878" t="s">
        <v>34</v>
      </c>
      <c r="G878">
        <v>3955.19</v>
      </c>
      <c r="H878">
        <v>4393.68</v>
      </c>
      <c r="I878" t="s">
        <v>16</v>
      </c>
      <c r="J878" s="2">
        <v>0.04</v>
      </c>
      <c r="K878" t="s">
        <v>30</v>
      </c>
      <c r="L878" t="s">
        <v>18</v>
      </c>
      <c r="M878" t="s">
        <v>50</v>
      </c>
      <c r="N878">
        <f>SalesData[[#This Row],[Quantity_Sold]]*SalesData[[#This Row],[Unit_Cost]]</f>
        <v>106790.13</v>
      </c>
      <c r="O878">
        <f>SalesData[[#This Row],[Quantity_Sold]]*SalesData[[#This Row],[Unit_Price]]</f>
        <v>118629.36000000002</v>
      </c>
      <c r="P878">
        <f>SalesData[[#This Row],[Gross_sales]]*(1-SalesData[[#This Row],[Discount]])</f>
        <v>113884.18560000001</v>
      </c>
      <c r="Q878" s="2">
        <f>SalesData[[#This Row],[Sales_amount]]-SalesData[[#This Row],[Total_Cost]]</f>
        <v>7094.055600000007</v>
      </c>
      <c r="R878" s="2">
        <f>SalesData[[#This Row],[Profit]]/SalesData[[#This Row],[Sales_amount]]</f>
        <v>6.2291841159726448E-2</v>
      </c>
      <c r="S878" s="2">
        <f>SalesData[[#This Row],[Unit_Price]]-SalesData[[#This Row],[Unit_Cost]]</f>
        <v>438.49000000000024</v>
      </c>
      <c r="T878" s="10">
        <f>SalesData[[#This Row],[Unit_Margin]]/SalesData[[#This Row],[Unit_Price]]</f>
        <v>9.9800167513337382E-2</v>
      </c>
      <c r="U878" s="2" t="str">
        <f>IF(SalesData[[#This Row],[Unit_Margin]]&lt;0, "Negative margin", "Positive margin")</f>
        <v>Positive margin</v>
      </c>
      <c r="V878" s="2" t="str">
        <f>IF(SalesData[[#This Row],[Profit]]&lt;0, "Loss", "Profit")</f>
        <v>Profit</v>
      </c>
      <c r="W878" s="2">
        <f>SalesData[[#This Row],[Unit_Price]]*(1-SalesData[[#This Row],[Discount]])</f>
        <v>4217.9328000000005</v>
      </c>
      <c r="X878" s="2">
        <f>SalesData[[#This Row],[Effective_Unit_Price]]-SalesData[[#This Row],[Unit_Cost]]</f>
        <v>262.74280000000044</v>
      </c>
      <c r="Y878" s="2" t="str">
        <f>IF(SalesData[[#This Row],[Effective_Unit_Margin]]&lt;0,"Loss per Unit","Positive per Unit")</f>
        <v>Positive per Unit</v>
      </c>
    </row>
    <row r="879" spans="1:25" x14ac:dyDescent="0.3">
      <c r="A879">
        <v>1088</v>
      </c>
      <c r="B879" s="1">
        <v>44937</v>
      </c>
      <c r="C879" t="s">
        <v>41</v>
      </c>
      <c r="D879" t="s">
        <v>24</v>
      </c>
      <c r="E879">
        <v>11</v>
      </c>
      <c r="F879" t="s">
        <v>25</v>
      </c>
      <c r="G879">
        <v>3884.13</v>
      </c>
      <c r="H879">
        <v>3915.41</v>
      </c>
      <c r="I879" t="s">
        <v>16</v>
      </c>
      <c r="J879" s="2">
        <v>0.02</v>
      </c>
      <c r="K879" t="s">
        <v>17</v>
      </c>
      <c r="L879" t="s">
        <v>18</v>
      </c>
      <c r="M879" t="s">
        <v>42</v>
      </c>
      <c r="N879">
        <f>SalesData[[#This Row],[Quantity_Sold]]*SalesData[[#This Row],[Unit_Cost]]</f>
        <v>42725.43</v>
      </c>
      <c r="O879">
        <f>SalesData[[#This Row],[Quantity_Sold]]*SalesData[[#This Row],[Unit_Price]]</f>
        <v>43069.509999999995</v>
      </c>
      <c r="P879">
        <f>SalesData[[#This Row],[Gross_sales]]*(1-SalesData[[#This Row],[Discount]])</f>
        <v>42208.119799999993</v>
      </c>
      <c r="Q879" s="2">
        <f>SalesData[[#This Row],[Sales_amount]]-SalesData[[#This Row],[Total_Cost]]</f>
        <v>-517.31020000000717</v>
      </c>
      <c r="R879" s="2">
        <f>SalesData[[#This Row],[Profit]]/SalesData[[#This Row],[Sales_amount]]</f>
        <v>-1.2256177305486306E-2</v>
      </c>
      <c r="S879" s="2">
        <f>SalesData[[#This Row],[Unit_Price]]-SalesData[[#This Row],[Unit_Cost]]</f>
        <v>31.279999999999745</v>
      </c>
      <c r="T879" s="10">
        <f>SalesData[[#This Row],[Unit_Margin]]/SalesData[[#This Row],[Unit_Price]]</f>
        <v>7.9889462406235231E-3</v>
      </c>
      <c r="U879" s="2" t="str">
        <f>IF(SalesData[[#This Row],[Unit_Margin]]&lt;0, "Negative margin", "Positive margin")</f>
        <v>Positive margin</v>
      </c>
      <c r="V879" s="2" t="str">
        <f>IF(SalesData[[#This Row],[Profit]]&lt;0, "Loss", "Profit")</f>
        <v>Loss</v>
      </c>
      <c r="W879" s="2">
        <f>SalesData[[#This Row],[Unit_Price]]*(1-SalesData[[#This Row],[Discount]])</f>
        <v>3837.1017999999999</v>
      </c>
      <c r="X879" s="2">
        <f>SalesData[[#This Row],[Effective_Unit_Price]]-SalesData[[#This Row],[Unit_Cost]]</f>
        <v>-47.028200000000197</v>
      </c>
      <c r="Y879" s="2" t="str">
        <f>IF(SalesData[[#This Row],[Effective_Unit_Margin]]&lt;0,"Loss per Unit","Positive per Unit")</f>
        <v>Loss per Unit</v>
      </c>
    </row>
    <row r="880" spans="1:25" x14ac:dyDescent="0.3">
      <c r="A880">
        <v>1079</v>
      </c>
      <c r="B880" s="1">
        <v>45227</v>
      </c>
      <c r="C880" t="s">
        <v>13</v>
      </c>
      <c r="D880" t="s">
        <v>20</v>
      </c>
      <c r="E880">
        <v>38</v>
      </c>
      <c r="F880" t="s">
        <v>15</v>
      </c>
      <c r="G880">
        <v>1127.76</v>
      </c>
      <c r="H880">
        <v>1265.6600000000001</v>
      </c>
      <c r="I880" t="s">
        <v>16</v>
      </c>
      <c r="J880" s="2">
        <v>0.26</v>
      </c>
      <c r="K880" t="s">
        <v>26</v>
      </c>
      <c r="L880" t="s">
        <v>21</v>
      </c>
      <c r="M880" t="s">
        <v>22</v>
      </c>
      <c r="N880">
        <f>SalesData[[#This Row],[Quantity_Sold]]*SalesData[[#This Row],[Unit_Cost]]</f>
        <v>42854.879999999997</v>
      </c>
      <c r="O880">
        <f>SalesData[[#This Row],[Quantity_Sold]]*SalesData[[#This Row],[Unit_Price]]</f>
        <v>48095.08</v>
      </c>
      <c r="P880">
        <f>SalesData[[#This Row],[Gross_sales]]*(1-SalesData[[#This Row],[Discount]])</f>
        <v>35590.359199999999</v>
      </c>
      <c r="Q880" s="2">
        <f>SalesData[[#This Row],[Sales_amount]]-SalesData[[#This Row],[Total_Cost]]</f>
        <v>-7264.5207999999984</v>
      </c>
      <c r="R880" s="2">
        <f>SalesData[[#This Row],[Profit]]/SalesData[[#This Row],[Sales_amount]]</f>
        <v>-0.20411484916960318</v>
      </c>
      <c r="S880" s="2">
        <f>SalesData[[#This Row],[Unit_Price]]-SalesData[[#This Row],[Unit_Cost]]</f>
        <v>137.90000000000009</v>
      </c>
      <c r="T880" s="10">
        <f>SalesData[[#This Row],[Unit_Margin]]/SalesData[[#This Row],[Unit_Price]]</f>
        <v>0.10895501161449368</v>
      </c>
      <c r="U880" s="2" t="str">
        <f>IF(SalesData[[#This Row],[Unit_Margin]]&lt;0, "Negative margin", "Positive margin")</f>
        <v>Positive margin</v>
      </c>
      <c r="V880" s="2" t="str">
        <f>IF(SalesData[[#This Row],[Profit]]&lt;0, "Loss", "Profit")</f>
        <v>Loss</v>
      </c>
      <c r="W880" s="2">
        <f>SalesData[[#This Row],[Unit_Price]]*(1-SalesData[[#This Row],[Discount]])</f>
        <v>936.58840000000009</v>
      </c>
      <c r="X880" s="2">
        <f>SalesData[[#This Row],[Effective_Unit_Price]]-SalesData[[#This Row],[Unit_Cost]]</f>
        <v>-191.1715999999999</v>
      </c>
      <c r="Y880" s="2" t="str">
        <f>IF(SalesData[[#This Row],[Effective_Unit_Margin]]&lt;0,"Loss per Unit","Positive per Unit")</f>
        <v>Loss per Unit</v>
      </c>
    </row>
    <row r="881" spans="1:25" x14ac:dyDescent="0.3">
      <c r="A881">
        <v>1030</v>
      </c>
      <c r="B881" s="1">
        <v>45143</v>
      </c>
      <c r="C881" t="s">
        <v>13</v>
      </c>
      <c r="D881" t="s">
        <v>20</v>
      </c>
      <c r="E881">
        <v>34</v>
      </c>
      <c r="F881" t="s">
        <v>34</v>
      </c>
      <c r="G881">
        <v>3125.07</v>
      </c>
      <c r="H881">
        <v>3564.19</v>
      </c>
      <c r="I881" t="s">
        <v>16</v>
      </c>
      <c r="J881" s="2">
        <v>0.09</v>
      </c>
      <c r="K881" t="s">
        <v>17</v>
      </c>
      <c r="L881" t="s">
        <v>18</v>
      </c>
      <c r="M881" t="s">
        <v>22</v>
      </c>
      <c r="N881">
        <f>SalesData[[#This Row],[Quantity_Sold]]*SalesData[[#This Row],[Unit_Cost]]</f>
        <v>106252.38</v>
      </c>
      <c r="O881">
        <f>SalesData[[#This Row],[Quantity_Sold]]*SalesData[[#This Row],[Unit_Price]]</f>
        <v>121182.46</v>
      </c>
      <c r="P881">
        <f>SalesData[[#This Row],[Gross_sales]]*(1-SalesData[[#This Row],[Discount]])</f>
        <v>110276.03860000001</v>
      </c>
      <c r="Q881" s="2">
        <f>SalesData[[#This Row],[Sales_amount]]-SalesData[[#This Row],[Total_Cost]]</f>
        <v>4023.6586000000098</v>
      </c>
      <c r="R881" s="2">
        <f>SalesData[[#This Row],[Profit]]/SalesData[[#This Row],[Sales_amount]]</f>
        <v>3.6487152159997968E-2</v>
      </c>
      <c r="S881" s="2">
        <f>SalesData[[#This Row],[Unit_Price]]-SalesData[[#This Row],[Unit_Cost]]</f>
        <v>439.11999999999989</v>
      </c>
      <c r="T881" s="10">
        <f>SalesData[[#This Row],[Unit_Margin]]/SalesData[[#This Row],[Unit_Price]]</f>
        <v>0.12320330846559804</v>
      </c>
      <c r="U881" s="2" t="str">
        <f>IF(SalesData[[#This Row],[Unit_Margin]]&lt;0, "Negative margin", "Positive margin")</f>
        <v>Positive margin</v>
      </c>
      <c r="V881" s="2" t="str">
        <f>IF(SalesData[[#This Row],[Profit]]&lt;0, "Loss", "Profit")</f>
        <v>Profit</v>
      </c>
      <c r="W881" s="2">
        <f>SalesData[[#This Row],[Unit_Price]]*(1-SalesData[[#This Row],[Discount]])</f>
        <v>3243.4129000000003</v>
      </c>
      <c r="X881" s="2">
        <f>SalesData[[#This Row],[Effective_Unit_Price]]-SalesData[[#This Row],[Unit_Cost]]</f>
        <v>118.3429000000001</v>
      </c>
      <c r="Y881" s="2" t="str">
        <f>IF(SalesData[[#This Row],[Effective_Unit_Margin]]&lt;0,"Loss per Unit","Positive per Unit")</f>
        <v>Positive per Unit</v>
      </c>
    </row>
    <row r="882" spans="1:25" x14ac:dyDescent="0.3">
      <c r="A882">
        <v>1051</v>
      </c>
      <c r="B882" s="1">
        <v>45215</v>
      </c>
      <c r="C882" t="s">
        <v>41</v>
      </c>
      <c r="D882" t="s">
        <v>20</v>
      </c>
      <c r="E882">
        <v>43</v>
      </c>
      <c r="F882" t="s">
        <v>28</v>
      </c>
      <c r="G882">
        <v>287.99</v>
      </c>
      <c r="H882">
        <v>666.64</v>
      </c>
      <c r="I882" t="s">
        <v>16</v>
      </c>
      <c r="J882" s="2">
        <v>0</v>
      </c>
      <c r="K882" t="s">
        <v>26</v>
      </c>
      <c r="L882" t="s">
        <v>18</v>
      </c>
      <c r="M882" t="s">
        <v>50</v>
      </c>
      <c r="N882">
        <f>SalesData[[#This Row],[Quantity_Sold]]*SalesData[[#This Row],[Unit_Cost]]</f>
        <v>12383.57</v>
      </c>
      <c r="O882">
        <f>SalesData[[#This Row],[Quantity_Sold]]*SalesData[[#This Row],[Unit_Price]]</f>
        <v>28665.52</v>
      </c>
      <c r="P882">
        <f>SalesData[[#This Row],[Gross_sales]]*(1-SalesData[[#This Row],[Discount]])</f>
        <v>28665.52</v>
      </c>
      <c r="Q882" s="2">
        <f>SalesData[[#This Row],[Sales_amount]]-SalesData[[#This Row],[Total_Cost]]</f>
        <v>16281.95</v>
      </c>
      <c r="R882" s="2">
        <f>SalesData[[#This Row],[Profit]]/SalesData[[#This Row],[Sales_amount]]</f>
        <v>0.56799771990879633</v>
      </c>
      <c r="S882" s="2">
        <f>SalesData[[#This Row],[Unit_Price]]-SalesData[[#This Row],[Unit_Cost]]</f>
        <v>378.65</v>
      </c>
      <c r="T882" s="10">
        <f>SalesData[[#This Row],[Unit_Margin]]/SalesData[[#This Row],[Unit_Price]]</f>
        <v>0.56799771990879633</v>
      </c>
      <c r="U882" s="2" t="str">
        <f>IF(SalesData[[#This Row],[Unit_Margin]]&lt;0, "Negative margin", "Positive margin")</f>
        <v>Positive margin</v>
      </c>
      <c r="V882" s="2" t="str">
        <f>IF(SalesData[[#This Row],[Profit]]&lt;0, "Loss", "Profit")</f>
        <v>Profit</v>
      </c>
      <c r="W882" s="2">
        <f>SalesData[[#This Row],[Unit_Price]]*(1-SalesData[[#This Row],[Discount]])</f>
        <v>666.64</v>
      </c>
      <c r="X882" s="2">
        <f>SalesData[[#This Row],[Effective_Unit_Price]]-SalesData[[#This Row],[Unit_Cost]]</f>
        <v>378.65</v>
      </c>
      <c r="Y882" s="2" t="str">
        <f>IF(SalesData[[#This Row],[Effective_Unit_Margin]]&lt;0,"Loss per Unit","Positive per Unit")</f>
        <v>Positive per Unit</v>
      </c>
    </row>
    <row r="883" spans="1:25" x14ac:dyDescent="0.3">
      <c r="A883">
        <v>1081</v>
      </c>
      <c r="B883" s="1">
        <v>45028</v>
      </c>
      <c r="C883" t="s">
        <v>13</v>
      </c>
      <c r="D883" t="s">
        <v>24</v>
      </c>
      <c r="E883">
        <v>19</v>
      </c>
      <c r="F883" t="s">
        <v>25</v>
      </c>
      <c r="G883">
        <v>2443.69</v>
      </c>
      <c r="H883">
        <v>2462.34</v>
      </c>
      <c r="I883" t="s">
        <v>29</v>
      </c>
      <c r="J883" s="2">
        <v>7.0000000000000007E-2</v>
      </c>
      <c r="K883" t="s">
        <v>26</v>
      </c>
      <c r="L883" t="s">
        <v>21</v>
      </c>
      <c r="M883" t="s">
        <v>31</v>
      </c>
      <c r="N883">
        <f>SalesData[[#This Row],[Quantity_Sold]]*SalesData[[#This Row],[Unit_Cost]]</f>
        <v>46430.11</v>
      </c>
      <c r="O883">
        <f>SalesData[[#This Row],[Quantity_Sold]]*SalesData[[#This Row],[Unit_Price]]</f>
        <v>46784.460000000006</v>
      </c>
      <c r="P883">
        <f>SalesData[[#This Row],[Gross_sales]]*(1-SalesData[[#This Row],[Discount]])</f>
        <v>43509.5478</v>
      </c>
      <c r="Q883" s="2">
        <f>SalesData[[#This Row],[Sales_amount]]-SalesData[[#This Row],[Total_Cost]]</f>
        <v>-2920.5622000000003</v>
      </c>
      <c r="R883" s="2">
        <f>SalesData[[#This Row],[Profit]]/SalesData[[#This Row],[Sales_amount]]</f>
        <v>-6.7124627758140029E-2</v>
      </c>
      <c r="S883" s="2">
        <f>SalesData[[#This Row],[Unit_Price]]-SalesData[[#This Row],[Unit_Cost]]</f>
        <v>18.650000000000091</v>
      </c>
      <c r="T883" s="10">
        <f>SalesData[[#This Row],[Unit_Margin]]/SalesData[[#This Row],[Unit_Price]]</f>
        <v>7.5740961849298186E-3</v>
      </c>
      <c r="U883" s="2" t="str">
        <f>IF(SalesData[[#This Row],[Unit_Margin]]&lt;0, "Negative margin", "Positive margin")</f>
        <v>Positive margin</v>
      </c>
      <c r="V883" s="2" t="str">
        <f>IF(SalesData[[#This Row],[Profit]]&lt;0, "Loss", "Profit")</f>
        <v>Loss</v>
      </c>
      <c r="W883" s="2">
        <f>SalesData[[#This Row],[Unit_Price]]*(1-SalesData[[#This Row],[Discount]])</f>
        <v>2289.9762000000001</v>
      </c>
      <c r="X883" s="2">
        <f>SalesData[[#This Row],[Effective_Unit_Price]]-SalesData[[#This Row],[Unit_Cost]]</f>
        <v>-153.71379999999999</v>
      </c>
      <c r="Y883" s="2" t="str">
        <f>IF(SalesData[[#This Row],[Effective_Unit_Margin]]&lt;0,"Loss per Unit","Positive per Unit")</f>
        <v>Loss per Unit</v>
      </c>
    </row>
    <row r="884" spans="1:25" x14ac:dyDescent="0.3">
      <c r="A884">
        <v>1005</v>
      </c>
      <c r="B884" s="1">
        <v>45193</v>
      </c>
      <c r="C884" t="s">
        <v>37</v>
      </c>
      <c r="D884" t="s">
        <v>24</v>
      </c>
      <c r="E884">
        <v>6</v>
      </c>
      <c r="F884" t="s">
        <v>25</v>
      </c>
      <c r="G884">
        <v>122.5</v>
      </c>
      <c r="H884">
        <v>385.83</v>
      </c>
      <c r="I884" t="s">
        <v>16</v>
      </c>
      <c r="J884" s="2">
        <v>0.1</v>
      </c>
      <c r="K884" t="s">
        <v>17</v>
      </c>
      <c r="L884" t="s">
        <v>21</v>
      </c>
      <c r="M884" t="s">
        <v>38</v>
      </c>
      <c r="N884">
        <f>SalesData[[#This Row],[Quantity_Sold]]*SalesData[[#This Row],[Unit_Cost]]</f>
        <v>735</v>
      </c>
      <c r="O884">
        <f>SalesData[[#This Row],[Quantity_Sold]]*SalesData[[#This Row],[Unit_Price]]</f>
        <v>2314.98</v>
      </c>
      <c r="P884">
        <f>SalesData[[#This Row],[Gross_sales]]*(1-SalesData[[#This Row],[Discount]])</f>
        <v>2083.482</v>
      </c>
      <c r="Q884" s="2">
        <f>SalesData[[#This Row],[Sales_amount]]-SalesData[[#This Row],[Total_Cost]]</f>
        <v>1348.482</v>
      </c>
      <c r="R884" s="2">
        <f>SalesData[[#This Row],[Profit]]/SalesData[[#This Row],[Sales_amount]]</f>
        <v>0.64722517401158253</v>
      </c>
      <c r="S884" s="2">
        <f>SalesData[[#This Row],[Unit_Price]]-SalesData[[#This Row],[Unit_Cost]]</f>
        <v>263.33</v>
      </c>
      <c r="T884" s="10">
        <f>SalesData[[#This Row],[Unit_Margin]]/SalesData[[#This Row],[Unit_Price]]</f>
        <v>0.68250265661042431</v>
      </c>
      <c r="U884" s="2" t="str">
        <f>IF(SalesData[[#This Row],[Unit_Margin]]&lt;0, "Negative margin", "Positive margin")</f>
        <v>Positive margin</v>
      </c>
      <c r="V884" s="2" t="str">
        <f>IF(SalesData[[#This Row],[Profit]]&lt;0, "Loss", "Profit")</f>
        <v>Profit</v>
      </c>
      <c r="W884" s="2">
        <f>SalesData[[#This Row],[Unit_Price]]*(1-SalesData[[#This Row],[Discount]])</f>
        <v>347.24700000000001</v>
      </c>
      <c r="X884" s="2">
        <f>SalesData[[#This Row],[Effective_Unit_Price]]-SalesData[[#This Row],[Unit_Cost]]</f>
        <v>224.74700000000001</v>
      </c>
      <c r="Y884" s="2" t="str">
        <f>IF(SalesData[[#This Row],[Effective_Unit_Margin]]&lt;0,"Loss per Unit","Positive per Unit")</f>
        <v>Positive per Unit</v>
      </c>
    </row>
    <row r="885" spans="1:25" x14ac:dyDescent="0.3">
      <c r="A885">
        <v>1029</v>
      </c>
      <c r="B885" s="1">
        <v>45140</v>
      </c>
      <c r="C885" t="s">
        <v>37</v>
      </c>
      <c r="D885" t="s">
        <v>24</v>
      </c>
      <c r="E885">
        <v>46</v>
      </c>
      <c r="F885" t="s">
        <v>15</v>
      </c>
      <c r="G885">
        <v>4609.66</v>
      </c>
      <c r="H885">
        <v>4879.1499999999996</v>
      </c>
      <c r="I885" t="s">
        <v>16</v>
      </c>
      <c r="J885" s="2">
        <v>0.3</v>
      </c>
      <c r="K885" t="s">
        <v>17</v>
      </c>
      <c r="L885" t="s">
        <v>21</v>
      </c>
      <c r="M885" t="s">
        <v>38</v>
      </c>
      <c r="N885">
        <f>SalesData[[#This Row],[Quantity_Sold]]*SalesData[[#This Row],[Unit_Cost]]</f>
        <v>212044.36</v>
      </c>
      <c r="O885">
        <f>SalesData[[#This Row],[Quantity_Sold]]*SalesData[[#This Row],[Unit_Price]]</f>
        <v>224440.9</v>
      </c>
      <c r="P885">
        <f>SalesData[[#This Row],[Gross_sales]]*(1-SalesData[[#This Row],[Discount]])</f>
        <v>157108.62999999998</v>
      </c>
      <c r="Q885" s="2">
        <f>SalesData[[#This Row],[Sales_amount]]-SalesData[[#This Row],[Total_Cost]]</f>
        <v>-54935.73000000001</v>
      </c>
      <c r="R885" s="2">
        <f>SalesData[[#This Row],[Profit]]/SalesData[[#This Row],[Sales_amount]]</f>
        <v>-0.34966716977927959</v>
      </c>
      <c r="S885" s="2">
        <f>SalesData[[#This Row],[Unit_Price]]-SalesData[[#This Row],[Unit_Cost]]</f>
        <v>269.48999999999978</v>
      </c>
      <c r="T885" s="10">
        <f>SalesData[[#This Row],[Unit_Margin]]/SalesData[[#This Row],[Unit_Price]]</f>
        <v>5.5232981154504333E-2</v>
      </c>
      <c r="U885" s="2" t="str">
        <f>IF(SalesData[[#This Row],[Unit_Margin]]&lt;0, "Negative margin", "Positive margin")</f>
        <v>Positive margin</v>
      </c>
      <c r="V885" s="2" t="str">
        <f>IF(SalesData[[#This Row],[Profit]]&lt;0, "Loss", "Profit")</f>
        <v>Loss</v>
      </c>
      <c r="W885" s="2">
        <f>SalesData[[#This Row],[Unit_Price]]*(1-SalesData[[#This Row],[Discount]])</f>
        <v>3415.4049999999997</v>
      </c>
      <c r="X885" s="2">
        <f>SalesData[[#This Row],[Effective_Unit_Price]]-SalesData[[#This Row],[Unit_Cost]]</f>
        <v>-1194.2550000000001</v>
      </c>
      <c r="Y885" s="2" t="str">
        <f>IF(SalesData[[#This Row],[Effective_Unit_Margin]]&lt;0,"Loss per Unit","Positive per Unit")</f>
        <v>Loss per Unit</v>
      </c>
    </row>
    <row r="886" spans="1:25" x14ac:dyDescent="0.3">
      <c r="A886">
        <v>1004</v>
      </c>
      <c r="B886" s="1">
        <v>45105</v>
      </c>
      <c r="C886" t="s">
        <v>13</v>
      </c>
      <c r="D886" t="s">
        <v>20</v>
      </c>
      <c r="E886">
        <v>38</v>
      </c>
      <c r="F886" t="s">
        <v>15</v>
      </c>
      <c r="G886">
        <v>4881.63</v>
      </c>
      <c r="H886">
        <v>5088.0600000000004</v>
      </c>
      <c r="I886" t="s">
        <v>16</v>
      </c>
      <c r="J886" s="2">
        <v>0.16</v>
      </c>
      <c r="K886" t="s">
        <v>30</v>
      </c>
      <c r="L886" t="s">
        <v>21</v>
      </c>
      <c r="M886" t="s">
        <v>22</v>
      </c>
      <c r="N886">
        <f>SalesData[[#This Row],[Quantity_Sold]]*SalesData[[#This Row],[Unit_Cost]]</f>
        <v>185501.94</v>
      </c>
      <c r="O886">
        <f>SalesData[[#This Row],[Quantity_Sold]]*SalesData[[#This Row],[Unit_Price]]</f>
        <v>193346.28000000003</v>
      </c>
      <c r="P886">
        <f>SalesData[[#This Row],[Gross_sales]]*(1-SalesData[[#This Row],[Discount]])</f>
        <v>162410.87520000001</v>
      </c>
      <c r="Q886" s="2">
        <f>SalesData[[#This Row],[Sales_amount]]-SalesData[[#This Row],[Total_Cost]]</f>
        <v>-23091.064799999993</v>
      </c>
      <c r="R886" s="2">
        <f>SalesData[[#This Row],[Profit]]/SalesData[[#This Row],[Sales_amount]]</f>
        <v>-0.14217683866037065</v>
      </c>
      <c r="S886" s="2">
        <f>SalesData[[#This Row],[Unit_Price]]-SalesData[[#This Row],[Unit_Cost]]</f>
        <v>206.43000000000029</v>
      </c>
      <c r="T886" s="10">
        <f>SalesData[[#This Row],[Unit_Margin]]/SalesData[[#This Row],[Unit_Price]]</f>
        <v>4.0571455525288673E-2</v>
      </c>
      <c r="U886" s="2" t="str">
        <f>IF(SalesData[[#This Row],[Unit_Margin]]&lt;0, "Negative margin", "Positive margin")</f>
        <v>Positive margin</v>
      </c>
      <c r="V886" s="2" t="str">
        <f>IF(SalesData[[#This Row],[Profit]]&lt;0, "Loss", "Profit")</f>
        <v>Loss</v>
      </c>
      <c r="W886" s="2">
        <f>SalesData[[#This Row],[Unit_Price]]*(1-SalesData[[#This Row],[Discount]])</f>
        <v>4273.9704000000002</v>
      </c>
      <c r="X886" s="2">
        <f>SalesData[[#This Row],[Effective_Unit_Price]]-SalesData[[#This Row],[Unit_Cost]]</f>
        <v>-607.65959999999995</v>
      </c>
      <c r="Y886" s="2" t="str">
        <f>IF(SalesData[[#This Row],[Effective_Unit_Margin]]&lt;0,"Loss per Unit","Positive per Unit")</f>
        <v>Loss per Unit</v>
      </c>
    </row>
    <row r="887" spans="1:25" x14ac:dyDescent="0.3">
      <c r="A887">
        <v>1010</v>
      </c>
      <c r="B887" s="1">
        <v>45014</v>
      </c>
      <c r="C887" t="s">
        <v>41</v>
      </c>
      <c r="D887" t="s">
        <v>24</v>
      </c>
      <c r="E887">
        <v>49</v>
      </c>
      <c r="F887" t="s">
        <v>25</v>
      </c>
      <c r="G887">
        <v>1150.3</v>
      </c>
      <c r="H887">
        <v>1306.02</v>
      </c>
      <c r="I887" t="s">
        <v>29</v>
      </c>
      <c r="J887" s="2">
        <v>0.06</v>
      </c>
      <c r="K887" t="s">
        <v>30</v>
      </c>
      <c r="L887" t="s">
        <v>21</v>
      </c>
      <c r="M887" t="s">
        <v>42</v>
      </c>
      <c r="N887">
        <f>SalesData[[#This Row],[Quantity_Sold]]*SalesData[[#This Row],[Unit_Cost]]</f>
        <v>56364.7</v>
      </c>
      <c r="O887">
        <f>SalesData[[#This Row],[Quantity_Sold]]*SalesData[[#This Row],[Unit_Price]]</f>
        <v>63994.979999999996</v>
      </c>
      <c r="P887">
        <f>SalesData[[#This Row],[Gross_sales]]*(1-SalesData[[#This Row],[Discount]])</f>
        <v>60155.28119999999</v>
      </c>
      <c r="Q887" s="2">
        <f>SalesData[[#This Row],[Sales_amount]]-SalesData[[#This Row],[Total_Cost]]</f>
        <v>3790.5811999999933</v>
      </c>
      <c r="R887" s="2">
        <f>SalesData[[#This Row],[Profit]]/SalesData[[#This Row],[Sales_amount]]</f>
        <v>6.3013273720678636E-2</v>
      </c>
      <c r="S887" s="2">
        <f>SalesData[[#This Row],[Unit_Price]]-SalesData[[#This Row],[Unit_Cost]]</f>
        <v>155.72000000000003</v>
      </c>
      <c r="T887" s="10">
        <f>SalesData[[#This Row],[Unit_Margin]]/SalesData[[#This Row],[Unit_Price]]</f>
        <v>0.11923247729743804</v>
      </c>
      <c r="U887" s="2" t="str">
        <f>IF(SalesData[[#This Row],[Unit_Margin]]&lt;0, "Negative margin", "Positive margin")</f>
        <v>Positive margin</v>
      </c>
      <c r="V887" s="2" t="str">
        <f>IF(SalesData[[#This Row],[Profit]]&lt;0, "Loss", "Profit")</f>
        <v>Profit</v>
      </c>
      <c r="W887" s="2">
        <f>SalesData[[#This Row],[Unit_Price]]*(1-SalesData[[#This Row],[Discount]])</f>
        <v>1227.6587999999999</v>
      </c>
      <c r="X887" s="2">
        <f>SalesData[[#This Row],[Effective_Unit_Price]]-SalesData[[#This Row],[Unit_Cost]]</f>
        <v>77.358799999999974</v>
      </c>
      <c r="Y887" s="2" t="str">
        <f>IF(SalesData[[#This Row],[Effective_Unit_Margin]]&lt;0,"Loss per Unit","Positive per Unit")</f>
        <v>Positive per Unit</v>
      </c>
    </row>
    <row r="888" spans="1:25" x14ac:dyDescent="0.3">
      <c r="A888">
        <v>1056</v>
      </c>
      <c r="B888" s="1">
        <v>44967</v>
      </c>
      <c r="C888" t="s">
        <v>13</v>
      </c>
      <c r="D888" t="s">
        <v>20</v>
      </c>
      <c r="E888">
        <v>42</v>
      </c>
      <c r="F888" t="s">
        <v>15</v>
      </c>
      <c r="G888">
        <v>1080.1199999999999</v>
      </c>
      <c r="H888">
        <v>1424.1699999999901</v>
      </c>
      <c r="I888" t="s">
        <v>29</v>
      </c>
      <c r="J888" s="2">
        <v>0.1</v>
      </c>
      <c r="K888" t="s">
        <v>17</v>
      </c>
      <c r="L888" t="s">
        <v>18</v>
      </c>
      <c r="M888" t="s">
        <v>22</v>
      </c>
      <c r="N888">
        <f>SalesData[[#This Row],[Quantity_Sold]]*SalesData[[#This Row],[Unit_Cost]]</f>
        <v>45365.039999999994</v>
      </c>
      <c r="O888">
        <f>SalesData[[#This Row],[Quantity_Sold]]*SalesData[[#This Row],[Unit_Price]]</f>
        <v>59815.139999999585</v>
      </c>
      <c r="P888">
        <f>SalesData[[#This Row],[Gross_sales]]*(1-SalesData[[#This Row],[Discount]])</f>
        <v>53833.625999999625</v>
      </c>
      <c r="Q888" s="2">
        <f>SalesData[[#This Row],[Sales_amount]]-SalesData[[#This Row],[Total_Cost]]</f>
        <v>8468.5859999996319</v>
      </c>
      <c r="R888" s="2">
        <f>SalesData[[#This Row],[Profit]]/SalesData[[#This Row],[Sales_amount]]</f>
        <v>0.15731033982365764</v>
      </c>
      <c r="S888" s="2">
        <f>SalesData[[#This Row],[Unit_Price]]-SalesData[[#This Row],[Unit_Cost]]</f>
        <v>344.04999999999018</v>
      </c>
      <c r="T888" s="10">
        <f>SalesData[[#This Row],[Unit_Margin]]/SalesData[[#This Row],[Unit_Price]]</f>
        <v>0.24157930584129184</v>
      </c>
      <c r="U888" s="2" t="str">
        <f>IF(SalesData[[#This Row],[Unit_Margin]]&lt;0, "Negative margin", "Positive margin")</f>
        <v>Positive margin</v>
      </c>
      <c r="V888" s="2" t="str">
        <f>IF(SalesData[[#This Row],[Profit]]&lt;0, "Loss", "Profit")</f>
        <v>Profit</v>
      </c>
      <c r="W888" s="2">
        <f>SalesData[[#This Row],[Unit_Price]]*(1-SalesData[[#This Row],[Discount]])</f>
        <v>1281.7529999999911</v>
      </c>
      <c r="X888" s="2">
        <f>SalesData[[#This Row],[Effective_Unit_Price]]-SalesData[[#This Row],[Unit_Cost]]</f>
        <v>201.63299999999117</v>
      </c>
      <c r="Y888" s="2" t="str">
        <f>IF(SalesData[[#This Row],[Effective_Unit_Margin]]&lt;0,"Loss per Unit","Positive per Unit")</f>
        <v>Positive per Unit</v>
      </c>
    </row>
    <row r="889" spans="1:25" x14ac:dyDescent="0.3">
      <c r="A889">
        <v>1017</v>
      </c>
      <c r="B889" s="1">
        <v>45002</v>
      </c>
      <c r="C889" t="s">
        <v>13</v>
      </c>
      <c r="D889" t="s">
        <v>14</v>
      </c>
      <c r="E889">
        <v>28</v>
      </c>
      <c r="F889" t="s">
        <v>28</v>
      </c>
      <c r="G889">
        <v>3780.91</v>
      </c>
      <c r="H889">
        <v>3892.73</v>
      </c>
      <c r="I889" t="s">
        <v>16</v>
      </c>
      <c r="J889" s="2">
        <v>0.1</v>
      </c>
      <c r="K889" t="s">
        <v>17</v>
      </c>
      <c r="L889" t="s">
        <v>21</v>
      </c>
      <c r="M889" t="s">
        <v>19</v>
      </c>
      <c r="N889">
        <f>SalesData[[#This Row],[Quantity_Sold]]*SalesData[[#This Row],[Unit_Cost]]</f>
        <v>105865.48</v>
      </c>
      <c r="O889">
        <f>SalesData[[#This Row],[Quantity_Sold]]*SalesData[[#This Row],[Unit_Price]]</f>
        <v>108996.44</v>
      </c>
      <c r="P889">
        <f>SalesData[[#This Row],[Gross_sales]]*(1-SalesData[[#This Row],[Discount]])</f>
        <v>98096.796000000002</v>
      </c>
      <c r="Q889" s="2">
        <f>SalesData[[#This Row],[Sales_amount]]-SalesData[[#This Row],[Total_Cost]]</f>
        <v>-7768.6839999999938</v>
      </c>
      <c r="R889" s="2">
        <f>SalesData[[#This Row],[Profit]]/SalesData[[#This Row],[Sales_amount]]</f>
        <v>-7.9194064605331183E-2</v>
      </c>
      <c r="S889" s="2">
        <f>SalesData[[#This Row],[Unit_Price]]-SalesData[[#This Row],[Unit_Cost]]</f>
        <v>111.82000000000016</v>
      </c>
      <c r="T889" s="10">
        <f>SalesData[[#This Row],[Unit_Margin]]/SalesData[[#This Row],[Unit_Price]]</f>
        <v>2.8725341855201918E-2</v>
      </c>
      <c r="U889" s="2" t="str">
        <f>IF(SalesData[[#This Row],[Unit_Margin]]&lt;0, "Negative margin", "Positive margin")</f>
        <v>Positive margin</v>
      </c>
      <c r="V889" s="2" t="str">
        <f>IF(SalesData[[#This Row],[Profit]]&lt;0, "Loss", "Profit")</f>
        <v>Loss</v>
      </c>
      <c r="W889" s="2">
        <f>SalesData[[#This Row],[Unit_Price]]*(1-SalesData[[#This Row],[Discount]])</f>
        <v>3503.4569999999999</v>
      </c>
      <c r="X889" s="2">
        <f>SalesData[[#This Row],[Effective_Unit_Price]]-SalesData[[#This Row],[Unit_Cost]]</f>
        <v>-277.45299999999997</v>
      </c>
      <c r="Y889" s="2" t="str">
        <f>IF(SalesData[[#This Row],[Effective_Unit_Margin]]&lt;0,"Loss per Unit","Positive per Unit")</f>
        <v>Loss per Unit</v>
      </c>
    </row>
    <row r="890" spans="1:25" x14ac:dyDescent="0.3">
      <c r="A890">
        <v>1074</v>
      </c>
      <c r="B890" s="1">
        <v>44972</v>
      </c>
      <c r="C890" t="s">
        <v>13</v>
      </c>
      <c r="D890" t="s">
        <v>20</v>
      </c>
      <c r="E890">
        <v>1</v>
      </c>
      <c r="F890" t="s">
        <v>15</v>
      </c>
      <c r="G890">
        <v>1304.23</v>
      </c>
      <c r="H890">
        <v>1705.71</v>
      </c>
      <c r="I890" t="s">
        <v>16</v>
      </c>
      <c r="J890" s="2">
        <v>0.01</v>
      </c>
      <c r="K890" t="s">
        <v>17</v>
      </c>
      <c r="L890" t="s">
        <v>21</v>
      </c>
      <c r="M890" t="s">
        <v>22</v>
      </c>
      <c r="N890">
        <f>SalesData[[#This Row],[Quantity_Sold]]*SalesData[[#This Row],[Unit_Cost]]</f>
        <v>1304.23</v>
      </c>
      <c r="O890">
        <f>SalesData[[#This Row],[Quantity_Sold]]*SalesData[[#This Row],[Unit_Price]]</f>
        <v>1705.71</v>
      </c>
      <c r="P890">
        <f>SalesData[[#This Row],[Gross_sales]]*(1-SalesData[[#This Row],[Discount]])</f>
        <v>1688.6529</v>
      </c>
      <c r="Q890" s="2">
        <f>SalesData[[#This Row],[Sales_amount]]-SalesData[[#This Row],[Total_Cost]]</f>
        <v>384.42290000000003</v>
      </c>
      <c r="R890" s="2">
        <f>SalesData[[#This Row],[Profit]]/SalesData[[#This Row],[Sales_amount]]</f>
        <v>0.22765063205114563</v>
      </c>
      <c r="S890" s="2">
        <f>SalesData[[#This Row],[Unit_Price]]-SalesData[[#This Row],[Unit_Cost]]</f>
        <v>401.48</v>
      </c>
      <c r="T890" s="10">
        <f>SalesData[[#This Row],[Unit_Margin]]/SalesData[[#This Row],[Unit_Price]]</f>
        <v>0.23537412573063418</v>
      </c>
      <c r="U890" s="2" t="str">
        <f>IF(SalesData[[#This Row],[Unit_Margin]]&lt;0, "Negative margin", "Positive margin")</f>
        <v>Positive margin</v>
      </c>
      <c r="V890" s="2" t="str">
        <f>IF(SalesData[[#This Row],[Profit]]&lt;0, "Loss", "Profit")</f>
        <v>Profit</v>
      </c>
      <c r="W890" s="2">
        <f>SalesData[[#This Row],[Unit_Price]]*(1-SalesData[[#This Row],[Discount]])</f>
        <v>1688.6529</v>
      </c>
      <c r="X890" s="2">
        <f>SalesData[[#This Row],[Effective_Unit_Price]]-SalesData[[#This Row],[Unit_Cost]]</f>
        <v>384.42290000000003</v>
      </c>
      <c r="Y890" s="2" t="str">
        <f>IF(SalesData[[#This Row],[Effective_Unit_Margin]]&lt;0,"Loss per Unit","Positive per Unit")</f>
        <v>Positive per Unit</v>
      </c>
    </row>
    <row r="891" spans="1:25" x14ac:dyDescent="0.3">
      <c r="A891">
        <v>1017</v>
      </c>
      <c r="B891" s="1">
        <v>45086</v>
      </c>
      <c r="C891" t="s">
        <v>32</v>
      </c>
      <c r="D891" t="s">
        <v>33</v>
      </c>
      <c r="E891">
        <v>35</v>
      </c>
      <c r="F891" t="s">
        <v>15</v>
      </c>
      <c r="G891">
        <v>4480.63</v>
      </c>
      <c r="H891">
        <v>4884.12</v>
      </c>
      <c r="I891" t="s">
        <v>29</v>
      </c>
      <c r="J891" s="2">
        <v>0.04</v>
      </c>
      <c r="K891" t="s">
        <v>17</v>
      </c>
      <c r="L891" t="s">
        <v>18</v>
      </c>
      <c r="M891" t="s">
        <v>35</v>
      </c>
      <c r="N891">
        <f>SalesData[[#This Row],[Quantity_Sold]]*SalesData[[#This Row],[Unit_Cost]]</f>
        <v>156822.05000000002</v>
      </c>
      <c r="O891">
        <f>SalesData[[#This Row],[Quantity_Sold]]*SalesData[[#This Row],[Unit_Price]]</f>
        <v>170944.19999999998</v>
      </c>
      <c r="P891">
        <f>SalesData[[#This Row],[Gross_sales]]*(1-SalesData[[#This Row],[Discount]])</f>
        <v>164106.43199999997</v>
      </c>
      <c r="Q891" s="2">
        <f>SalesData[[#This Row],[Sales_amount]]-SalesData[[#This Row],[Total_Cost]]</f>
        <v>7284.3819999999541</v>
      </c>
      <c r="R891" s="2">
        <f>SalesData[[#This Row],[Profit]]/SalesData[[#This Row],[Sales_amount]]</f>
        <v>4.4388156583649051E-2</v>
      </c>
      <c r="S891" s="2">
        <f>SalesData[[#This Row],[Unit_Price]]-SalesData[[#This Row],[Unit_Cost]]</f>
        <v>403.48999999999978</v>
      </c>
      <c r="T891" s="10">
        <f>SalesData[[#This Row],[Unit_Margin]]/SalesData[[#This Row],[Unit_Price]]</f>
        <v>8.2612630320303304E-2</v>
      </c>
      <c r="U891" s="2" t="str">
        <f>IF(SalesData[[#This Row],[Unit_Margin]]&lt;0, "Negative margin", "Positive margin")</f>
        <v>Positive margin</v>
      </c>
      <c r="V891" s="2" t="str">
        <f>IF(SalesData[[#This Row],[Profit]]&lt;0, "Loss", "Profit")</f>
        <v>Profit</v>
      </c>
      <c r="W891" s="2">
        <f>SalesData[[#This Row],[Unit_Price]]*(1-SalesData[[#This Row],[Discount]])</f>
        <v>4688.7551999999996</v>
      </c>
      <c r="X891" s="2">
        <f>SalesData[[#This Row],[Effective_Unit_Price]]-SalesData[[#This Row],[Unit_Cost]]</f>
        <v>208.1251999999995</v>
      </c>
      <c r="Y891" s="2" t="str">
        <f>IF(SalesData[[#This Row],[Effective_Unit_Margin]]&lt;0,"Loss per Unit","Positive per Unit")</f>
        <v>Positive per Unit</v>
      </c>
    </row>
    <row r="892" spans="1:25" x14ac:dyDescent="0.3">
      <c r="A892">
        <v>1084</v>
      </c>
      <c r="B892" s="1">
        <v>45006</v>
      </c>
      <c r="C892" t="s">
        <v>37</v>
      </c>
      <c r="D892" t="s">
        <v>24</v>
      </c>
      <c r="E892">
        <v>40</v>
      </c>
      <c r="F892" t="s">
        <v>25</v>
      </c>
      <c r="G892">
        <v>2890.95</v>
      </c>
      <c r="H892">
        <v>3104.43</v>
      </c>
      <c r="I892" t="s">
        <v>29</v>
      </c>
      <c r="J892" s="2">
        <v>0.21</v>
      </c>
      <c r="K892" t="s">
        <v>26</v>
      </c>
      <c r="L892" t="s">
        <v>18</v>
      </c>
      <c r="M892" t="s">
        <v>38</v>
      </c>
      <c r="N892">
        <f>SalesData[[#This Row],[Quantity_Sold]]*SalesData[[#This Row],[Unit_Cost]]</f>
        <v>115638</v>
      </c>
      <c r="O892">
        <f>SalesData[[#This Row],[Quantity_Sold]]*SalesData[[#This Row],[Unit_Price]]</f>
        <v>124177.2</v>
      </c>
      <c r="P892">
        <f>SalesData[[#This Row],[Gross_sales]]*(1-SalesData[[#This Row],[Discount]])</f>
        <v>98099.987999999998</v>
      </c>
      <c r="Q892" s="2">
        <f>SalesData[[#This Row],[Sales_amount]]-SalesData[[#This Row],[Total_Cost]]</f>
        <v>-17538.012000000002</v>
      </c>
      <c r="R892" s="2">
        <f>SalesData[[#This Row],[Profit]]/SalesData[[#This Row],[Sales_amount]]</f>
        <v>-0.17877690260267926</v>
      </c>
      <c r="S892" s="2">
        <f>SalesData[[#This Row],[Unit_Price]]-SalesData[[#This Row],[Unit_Cost]]</f>
        <v>213.48000000000002</v>
      </c>
      <c r="T892" s="10">
        <f>SalesData[[#This Row],[Unit_Margin]]/SalesData[[#This Row],[Unit_Price]]</f>
        <v>6.8766246943883433E-2</v>
      </c>
      <c r="U892" s="2" t="str">
        <f>IF(SalesData[[#This Row],[Unit_Margin]]&lt;0, "Negative margin", "Positive margin")</f>
        <v>Positive margin</v>
      </c>
      <c r="V892" s="2" t="str">
        <f>IF(SalesData[[#This Row],[Profit]]&lt;0, "Loss", "Profit")</f>
        <v>Loss</v>
      </c>
      <c r="W892" s="2">
        <f>SalesData[[#This Row],[Unit_Price]]*(1-SalesData[[#This Row],[Discount]])</f>
        <v>2452.4996999999998</v>
      </c>
      <c r="X892" s="2">
        <f>SalesData[[#This Row],[Effective_Unit_Price]]-SalesData[[#This Row],[Unit_Cost]]</f>
        <v>-438.45029999999997</v>
      </c>
      <c r="Y892" s="2" t="str">
        <f>IF(SalesData[[#This Row],[Effective_Unit_Margin]]&lt;0,"Loss per Unit","Positive per Unit")</f>
        <v>Loss per Unit</v>
      </c>
    </row>
    <row r="893" spans="1:25" x14ac:dyDescent="0.3">
      <c r="A893">
        <v>1088</v>
      </c>
      <c r="B893" s="1">
        <v>45236</v>
      </c>
      <c r="C893" t="s">
        <v>23</v>
      </c>
      <c r="D893" t="s">
        <v>24</v>
      </c>
      <c r="E893">
        <v>8</v>
      </c>
      <c r="F893" t="s">
        <v>25</v>
      </c>
      <c r="G893">
        <v>1786.35</v>
      </c>
      <c r="H893">
        <v>1935.29</v>
      </c>
      <c r="I893" t="s">
        <v>29</v>
      </c>
      <c r="J893" s="2">
        <v>0.04</v>
      </c>
      <c r="K893" t="s">
        <v>17</v>
      </c>
      <c r="L893" t="s">
        <v>18</v>
      </c>
      <c r="M893" t="s">
        <v>27</v>
      </c>
      <c r="N893">
        <f>SalesData[[#This Row],[Quantity_Sold]]*SalesData[[#This Row],[Unit_Cost]]</f>
        <v>14290.8</v>
      </c>
      <c r="O893">
        <f>SalesData[[#This Row],[Quantity_Sold]]*SalesData[[#This Row],[Unit_Price]]</f>
        <v>15482.32</v>
      </c>
      <c r="P893">
        <f>SalesData[[#This Row],[Gross_sales]]*(1-SalesData[[#This Row],[Discount]])</f>
        <v>14863.027199999999</v>
      </c>
      <c r="Q893" s="2">
        <f>SalesData[[#This Row],[Sales_amount]]-SalesData[[#This Row],[Total_Cost]]</f>
        <v>572.22719999999936</v>
      </c>
      <c r="R893" s="2">
        <f>SalesData[[#This Row],[Profit]]/SalesData[[#This Row],[Sales_amount]]</f>
        <v>3.8500043921066054E-2</v>
      </c>
      <c r="S893" s="2">
        <f>SalesData[[#This Row],[Unit_Price]]-SalesData[[#This Row],[Unit_Cost]]</f>
        <v>148.94000000000005</v>
      </c>
      <c r="T893" s="10">
        <f>SalesData[[#This Row],[Unit_Margin]]/SalesData[[#This Row],[Unit_Price]]</f>
        <v>7.6960042164223474E-2</v>
      </c>
      <c r="U893" s="2" t="str">
        <f>IF(SalesData[[#This Row],[Unit_Margin]]&lt;0, "Negative margin", "Positive margin")</f>
        <v>Positive margin</v>
      </c>
      <c r="V893" s="2" t="str">
        <f>IF(SalesData[[#This Row],[Profit]]&lt;0, "Loss", "Profit")</f>
        <v>Profit</v>
      </c>
      <c r="W893" s="2">
        <f>SalesData[[#This Row],[Unit_Price]]*(1-SalesData[[#This Row],[Discount]])</f>
        <v>1857.8783999999998</v>
      </c>
      <c r="X893" s="2">
        <f>SalesData[[#This Row],[Effective_Unit_Price]]-SalesData[[#This Row],[Unit_Cost]]</f>
        <v>71.52839999999992</v>
      </c>
      <c r="Y893" s="2" t="str">
        <f>IF(SalesData[[#This Row],[Effective_Unit_Margin]]&lt;0,"Loss per Unit","Positive per Unit")</f>
        <v>Positive per Unit</v>
      </c>
    </row>
    <row r="894" spans="1:25" x14ac:dyDescent="0.3">
      <c r="A894">
        <v>1069</v>
      </c>
      <c r="B894" s="1">
        <v>45012</v>
      </c>
      <c r="C894" t="s">
        <v>23</v>
      </c>
      <c r="D894" t="s">
        <v>33</v>
      </c>
      <c r="E894">
        <v>47</v>
      </c>
      <c r="F894" t="s">
        <v>34</v>
      </c>
      <c r="G894">
        <v>4171.83</v>
      </c>
      <c r="H894">
        <v>4320.93</v>
      </c>
      <c r="I894" t="s">
        <v>29</v>
      </c>
      <c r="J894" s="2">
        <v>7.0000000000000007E-2</v>
      </c>
      <c r="K894" t="s">
        <v>17</v>
      </c>
      <c r="L894" t="s">
        <v>18</v>
      </c>
      <c r="M894" t="s">
        <v>49</v>
      </c>
      <c r="N894">
        <f>SalesData[[#This Row],[Quantity_Sold]]*SalesData[[#This Row],[Unit_Cost]]</f>
        <v>196076.01</v>
      </c>
      <c r="O894">
        <f>SalesData[[#This Row],[Quantity_Sold]]*SalesData[[#This Row],[Unit_Price]]</f>
        <v>203083.71000000002</v>
      </c>
      <c r="P894">
        <f>SalesData[[#This Row],[Gross_sales]]*(1-SalesData[[#This Row],[Discount]])</f>
        <v>188867.85030000002</v>
      </c>
      <c r="Q894" s="2">
        <f>SalesData[[#This Row],[Sales_amount]]-SalesData[[#This Row],[Total_Cost]]</f>
        <v>-7208.1596999999892</v>
      </c>
      <c r="R894" s="2">
        <f>SalesData[[#This Row],[Profit]]/SalesData[[#This Row],[Sales_amount]]</f>
        <v>-3.816509632820228E-2</v>
      </c>
      <c r="S894" s="2">
        <f>SalesData[[#This Row],[Unit_Price]]-SalesData[[#This Row],[Unit_Cost]]</f>
        <v>149.10000000000036</v>
      </c>
      <c r="T894" s="10">
        <f>SalesData[[#This Row],[Unit_Margin]]/SalesData[[#This Row],[Unit_Price]]</f>
        <v>3.45064604147719E-2</v>
      </c>
      <c r="U894" s="2" t="str">
        <f>IF(SalesData[[#This Row],[Unit_Margin]]&lt;0, "Negative margin", "Positive margin")</f>
        <v>Positive margin</v>
      </c>
      <c r="V894" s="2" t="str">
        <f>IF(SalesData[[#This Row],[Profit]]&lt;0, "Loss", "Profit")</f>
        <v>Loss</v>
      </c>
      <c r="W894" s="2">
        <f>SalesData[[#This Row],[Unit_Price]]*(1-SalesData[[#This Row],[Discount]])</f>
        <v>4018.4648999999999</v>
      </c>
      <c r="X894" s="2">
        <f>SalesData[[#This Row],[Effective_Unit_Price]]-SalesData[[#This Row],[Unit_Cost]]</f>
        <v>-153.36509999999998</v>
      </c>
      <c r="Y894" s="2" t="str">
        <f>IF(SalesData[[#This Row],[Effective_Unit_Margin]]&lt;0,"Loss per Unit","Positive per Unit")</f>
        <v>Loss per Unit</v>
      </c>
    </row>
    <row r="895" spans="1:25" x14ac:dyDescent="0.3">
      <c r="A895">
        <v>1034</v>
      </c>
      <c r="B895" s="1">
        <v>45018</v>
      </c>
      <c r="C895" t="s">
        <v>32</v>
      </c>
      <c r="D895" t="s">
        <v>20</v>
      </c>
      <c r="E895">
        <v>7</v>
      </c>
      <c r="F895" t="s">
        <v>34</v>
      </c>
      <c r="G895">
        <v>2492.36</v>
      </c>
      <c r="H895">
        <v>2738.68</v>
      </c>
      <c r="I895" t="s">
        <v>16</v>
      </c>
      <c r="J895" s="2">
        <v>0.11</v>
      </c>
      <c r="K895" t="s">
        <v>17</v>
      </c>
      <c r="L895" t="s">
        <v>18</v>
      </c>
      <c r="M895" t="s">
        <v>36</v>
      </c>
      <c r="N895">
        <f>SalesData[[#This Row],[Quantity_Sold]]*SalesData[[#This Row],[Unit_Cost]]</f>
        <v>17446.52</v>
      </c>
      <c r="O895">
        <f>SalesData[[#This Row],[Quantity_Sold]]*SalesData[[#This Row],[Unit_Price]]</f>
        <v>19170.759999999998</v>
      </c>
      <c r="P895">
        <f>SalesData[[#This Row],[Gross_sales]]*(1-SalesData[[#This Row],[Discount]])</f>
        <v>17061.9764</v>
      </c>
      <c r="Q895" s="2">
        <f>SalesData[[#This Row],[Sales_amount]]-SalesData[[#This Row],[Total_Cost]]</f>
        <v>-384.54360000000088</v>
      </c>
      <c r="R895" s="2">
        <f>SalesData[[#This Row],[Profit]]/SalesData[[#This Row],[Sales_amount]]</f>
        <v>-2.2538045475200687E-2</v>
      </c>
      <c r="S895" s="2">
        <f>SalesData[[#This Row],[Unit_Price]]-SalesData[[#This Row],[Unit_Cost]]</f>
        <v>246.31999999999971</v>
      </c>
      <c r="T895" s="10">
        <f>SalesData[[#This Row],[Unit_Margin]]/SalesData[[#This Row],[Unit_Price]]</f>
        <v>8.9941139527071334E-2</v>
      </c>
      <c r="U895" s="2" t="str">
        <f>IF(SalesData[[#This Row],[Unit_Margin]]&lt;0, "Negative margin", "Positive margin")</f>
        <v>Positive margin</v>
      </c>
      <c r="V895" s="2" t="str">
        <f>IF(SalesData[[#This Row],[Profit]]&lt;0, "Loss", "Profit")</f>
        <v>Loss</v>
      </c>
      <c r="W895" s="2">
        <f>SalesData[[#This Row],[Unit_Price]]*(1-SalesData[[#This Row],[Discount]])</f>
        <v>2437.4251999999997</v>
      </c>
      <c r="X895" s="2">
        <f>SalesData[[#This Row],[Effective_Unit_Price]]-SalesData[[#This Row],[Unit_Cost]]</f>
        <v>-54.93480000000045</v>
      </c>
      <c r="Y895" s="2" t="str">
        <f>IF(SalesData[[#This Row],[Effective_Unit_Margin]]&lt;0,"Loss per Unit","Positive per Unit")</f>
        <v>Loss per Unit</v>
      </c>
    </row>
    <row r="896" spans="1:25" x14ac:dyDescent="0.3">
      <c r="A896">
        <v>1006</v>
      </c>
      <c r="B896" s="1">
        <v>45074</v>
      </c>
      <c r="C896" t="s">
        <v>13</v>
      </c>
      <c r="D896" t="s">
        <v>14</v>
      </c>
      <c r="E896">
        <v>11</v>
      </c>
      <c r="F896" t="s">
        <v>25</v>
      </c>
      <c r="G896">
        <v>4562.58</v>
      </c>
      <c r="H896">
        <v>4925.17</v>
      </c>
      <c r="I896" t="s">
        <v>29</v>
      </c>
      <c r="J896" s="2">
        <v>0.23</v>
      </c>
      <c r="K896" t="s">
        <v>17</v>
      </c>
      <c r="L896" t="s">
        <v>21</v>
      </c>
      <c r="M896" t="s">
        <v>19</v>
      </c>
      <c r="N896">
        <f>SalesData[[#This Row],[Quantity_Sold]]*SalesData[[#This Row],[Unit_Cost]]</f>
        <v>50188.38</v>
      </c>
      <c r="O896">
        <f>SalesData[[#This Row],[Quantity_Sold]]*SalesData[[#This Row],[Unit_Price]]</f>
        <v>54176.87</v>
      </c>
      <c r="P896">
        <f>SalesData[[#This Row],[Gross_sales]]*(1-SalesData[[#This Row],[Discount]])</f>
        <v>41716.189900000005</v>
      </c>
      <c r="Q896" s="2">
        <f>SalesData[[#This Row],[Sales_amount]]-SalesData[[#This Row],[Total_Cost]]</f>
        <v>-8472.1900999999925</v>
      </c>
      <c r="R896" s="2">
        <f>SalesData[[#This Row],[Profit]]/SalesData[[#This Row],[Sales_amount]]</f>
        <v>-0.20309117683827571</v>
      </c>
      <c r="S896" s="2">
        <f>SalesData[[#This Row],[Unit_Price]]-SalesData[[#This Row],[Unit_Cost]]</f>
        <v>362.59000000000015</v>
      </c>
      <c r="T896" s="10">
        <f>SalesData[[#This Row],[Unit_Margin]]/SalesData[[#This Row],[Unit_Price]]</f>
        <v>7.3619793834527561E-2</v>
      </c>
      <c r="U896" s="2" t="str">
        <f>IF(SalesData[[#This Row],[Unit_Margin]]&lt;0, "Negative margin", "Positive margin")</f>
        <v>Positive margin</v>
      </c>
      <c r="V896" s="2" t="str">
        <f>IF(SalesData[[#This Row],[Profit]]&lt;0, "Loss", "Profit")</f>
        <v>Loss</v>
      </c>
      <c r="W896" s="2">
        <f>SalesData[[#This Row],[Unit_Price]]*(1-SalesData[[#This Row],[Discount]])</f>
        <v>3792.3809000000001</v>
      </c>
      <c r="X896" s="2">
        <f>SalesData[[#This Row],[Effective_Unit_Price]]-SalesData[[#This Row],[Unit_Cost]]</f>
        <v>-770.19909999999982</v>
      </c>
      <c r="Y896" s="2" t="str">
        <f>IF(SalesData[[#This Row],[Effective_Unit_Margin]]&lt;0,"Loss per Unit","Positive per Unit")</f>
        <v>Loss per Unit</v>
      </c>
    </row>
    <row r="897" spans="1:25" x14ac:dyDescent="0.3">
      <c r="A897">
        <v>1053</v>
      </c>
      <c r="B897" s="1">
        <v>45087</v>
      </c>
      <c r="C897" t="s">
        <v>32</v>
      </c>
      <c r="D897" t="s">
        <v>33</v>
      </c>
      <c r="E897">
        <v>39</v>
      </c>
      <c r="F897" t="s">
        <v>15</v>
      </c>
      <c r="G897">
        <v>4643.67</v>
      </c>
      <c r="H897">
        <v>4829.5200000000004</v>
      </c>
      <c r="I897" t="s">
        <v>16</v>
      </c>
      <c r="J897" s="2">
        <v>0.17</v>
      </c>
      <c r="K897" t="s">
        <v>26</v>
      </c>
      <c r="L897" t="s">
        <v>18</v>
      </c>
      <c r="M897" t="s">
        <v>35</v>
      </c>
      <c r="N897">
        <f>SalesData[[#This Row],[Quantity_Sold]]*SalesData[[#This Row],[Unit_Cost]]</f>
        <v>181103.13</v>
      </c>
      <c r="O897">
        <f>SalesData[[#This Row],[Quantity_Sold]]*SalesData[[#This Row],[Unit_Price]]</f>
        <v>188351.28000000003</v>
      </c>
      <c r="P897">
        <f>SalesData[[#This Row],[Gross_sales]]*(1-SalesData[[#This Row],[Discount]])</f>
        <v>156331.56240000002</v>
      </c>
      <c r="Q897" s="2">
        <f>SalesData[[#This Row],[Sales_amount]]-SalesData[[#This Row],[Total_Cost]]</f>
        <v>-24771.56759999998</v>
      </c>
      <c r="R897" s="2">
        <f>SalesData[[#This Row],[Profit]]/SalesData[[#This Row],[Sales_amount]]</f>
        <v>-0.15845531906485941</v>
      </c>
      <c r="S897" s="2">
        <f>SalesData[[#This Row],[Unit_Price]]-SalesData[[#This Row],[Unit_Cost]]</f>
        <v>185.85000000000036</v>
      </c>
      <c r="T897" s="10">
        <f>SalesData[[#This Row],[Unit_Margin]]/SalesData[[#This Row],[Unit_Price]]</f>
        <v>3.848208517616665E-2</v>
      </c>
      <c r="U897" s="2" t="str">
        <f>IF(SalesData[[#This Row],[Unit_Margin]]&lt;0, "Negative margin", "Positive margin")</f>
        <v>Positive margin</v>
      </c>
      <c r="V897" s="2" t="str">
        <f>IF(SalesData[[#This Row],[Profit]]&lt;0, "Loss", "Profit")</f>
        <v>Loss</v>
      </c>
      <c r="W897" s="2">
        <f>SalesData[[#This Row],[Unit_Price]]*(1-SalesData[[#This Row],[Discount]])</f>
        <v>4008.5016000000001</v>
      </c>
      <c r="X897" s="2">
        <f>SalesData[[#This Row],[Effective_Unit_Price]]-SalesData[[#This Row],[Unit_Cost]]</f>
        <v>-635.16840000000002</v>
      </c>
      <c r="Y897" s="2" t="str">
        <f>IF(SalesData[[#This Row],[Effective_Unit_Margin]]&lt;0,"Loss per Unit","Positive per Unit")</f>
        <v>Loss per Unit</v>
      </c>
    </row>
    <row r="898" spans="1:25" x14ac:dyDescent="0.3">
      <c r="A898">
        <v>1066</v>
      </c>
      <c r="B898" s="1">
        <v>45128</v>
      </c>
      <c r="C898" t="s">
        <v>32</v>
      </c>
      <c r="D898" t="s">
        <v>33</v>
      </c>
      <c r="E898">
        <v>4</v>
      </c>
      <c r="F898" t="s">
        <v>15</v>
      </c>
      <c r="G898">
        <v>868.83</v>
      </c>
      <c r="H898">
        <v>1177.75</v>
      </c>
      <c r="I898" t="s">
        <v>16</v>
      </c>
      <c r="J898" s="2">
        <v>0.21</v>
      </c>
      <c r="K898" t="s">
        <v>30</v>
      </c>
      <c r="L898" t="s">
        <v>21</v>
      </c>
      <c r="M898" t="s">
        <v>35</v>
      </c>
      <c r="N898">
        <f>SalesData[[#This Row],[Quantity_Sold]]*SalesData[[#This Row],[Unit_Cost]]</f>
        <v>3475.32</v>
      </c>
      <c r="O898">
        <f>SalesData[[#This Row],[Quantity_Sold]]*SalesData[[#This Row],[Unit_Price]]</f>
        <v>4711</v>
      </c>
      <c r="P898">
        <f>SalesData[[#This Row],[Gross_sales]]*(1-SalesData[[#This Row],[Discount]])</f>
        <v>3721.69</v>
      </c>
      <c r="Q898" s="2">
        <f>SalesData[[#This Row],[Sales_amount]]-SalesData[[#This Row],[Total_Cost]]</f>
        <v>246.36999999999989</v>
      </c>
      <c r="R898" s="2">
        <f>SalesData[[#This Row],[Profit]]/SalesData[[#This Row],[Sales_amount]]</f>
        <v>6.6198420609991662E-2</v>
      </c>
      <c r="S898" s="2">
        <f>SalesData[[#This Row],[Unit_Price]]-SalesData[[#This Row],[Unit_Cost]]</f>
        <v>308.91999999999996</v>
      </c>
      <c r="T898" s="10">
        <f>SalesData[[#This Row],[Unit_Margin]]/SalesData[[#This Row],[Unit_Price]]</f>
        <v>0.26229675228189342</v>
      </c>
      <c r="U898" s="2" t="str">
        <f>IF(SalesData[[#This Row],[Unit_Margin]]&lt;0, "Negative margin", "Positive margin")</f>
        <v>Positive margin</v>
      </c>
      <c r="V898" s="2" t="str">
        <f>IF(SalesData[[#This Row],[Profit]]&lt;0, "Loss", "Profit")</f>
        <v>Profit</v>
      </c>
      <c r="W898" s="2">
        <f>SalesData[[#This Row],[Unit_Price]]*(1-SalesData[[#This Row],[Discount]])</f>
        <v>930.42250000000001</v>
      </c>
      <c r="X898" s="2">
        <f>SalesData[[#This Row],[Effective_Unit_Price]]-SalesData[[#This Row],[Unit_Cost]]</f>
        <v>61.592499999999973</v>
      </c>
      <c r="Y898" s="2" t="str">
        <f>IF(SalesData[[#This Row],[Effective_Unit_Margin]]&lt;0,"Loss per Unit","Positive per Unit")</f>
        <v>Positive per Unit</v>
      </c>
    </row>
    <row r="899" spans="1:25" x14ac:dyDescent="0.3">
      <c r="A899">
        <v>1077</v>
      </c>
      <c r="B899" s="1">
        <v>45168</v>
      </c>
      <c r="C899" t="s">
        <v>41</v>
      </c>
      <c r="D899" t="s">
        <v>20</v>
      </c>
      <c r="E899">
        <v>25</v>
      </c>
      <c r="F899" t="s">
        <v>34</v>
      </c>
      <c r="G899">
        <v>61.5</v>
      </c>
      <c r="H899">
        <v>258.91999999999899</v>
      </c>
      <c r="I899" t="s">
        <v>29</v>
      </c>
      <c r="J899" s="2">
        <v>0.17</v>
      </c>
      <c r="K899" t="s">
        <v>30</v>
      </c>
      <c r="L899" t="s">
        <v>18</v>
      </c>
      <c r="M899" t="s">
        <v>50</v>
      </c>
      <c r="N899">
        <f>SalesData[[#This Row],[Quantity_Sold]]*SalesData[[#This Row],[Unit_Cost]]</f>
        <v>1537.5</v>
      </c>
      <c r="O899">
        <f>SalesData[[#This Row],[Quantity_Sold]]*SalesData[[#This Row],[Unit_Price]]</f>
        <v>6472.9999999999745</v>
      </c>
      <c r="P899">
        <f>SalesData[[#This Row],[Gross_sales]]*(1-SalesData[[#This Row],[Discount]])</f>
        <v>5372.5899999999783</v>
      </c>
      <c r="Q899" s="2">
        <f>SalesData[[#This Row],[Sales_amount]]-SalesData[[#This Row],[Total_Cost]]</f>
        <v>3835.0899999999783</v>
      </c>
      <c r="R899" s="2">
        <f>SalesData[[#This Row],[Profit]]/SalesData[[#This Row],[Sales_amount]]</f>
        <v>0.71382517556709035</v>
      </c>
      <c r="S899" s="2">
        <f>SalesData[[#This Row],[Unit_Price]]-SalesData[[#This Row],[Unit_Cost]]</f>
        <v>197.41999999999899</v>
      </c>
      <c r="T899" s="10">
        <f>SalesData[[#This Row],[Unit_Margin]]/SalesData[[#This Row],[Unit_Price]]</f>
        <v>0.76247489572068505</v>
      </c>
      <c r="U899" s="2" t="str">
        <f>IF(SalesData[[#This Row],[Unit_Margin]]&lt;0, "Negative margin", "Positive margin")</f>
        <v>Positive margin</v>
      </c>
      <c r="V899" s="2" t="str">
        <f>IF(SalesData[[#This Row],[Profit]]&lt;0, "Loss", "Profit")</f>
        <v>Profit</v>
      </c>
      <c r="W899" s="2">
        <f>SalesData[[#This Row],[Unit_Price]]*(1-SalesData[[#This Row],[Discount]])</f>
        <v>214.90359999999916</v>
      </c>
      <c r="X899" s="2">
        <f>SalesData[[#This Row],[Effective_Unit_Price]]-SalesData[[#This Row],[Unit_Cost]]</f>
        <v>153.40359999999916</v>
      </c>
      <c r="Y899" s="2" t="str">
        <f>IF(SalesData[[#This Row],[Effective_Unit_Margin]]&lt;0,"Loss per Unit","Positive per Unit")</f>
        <v>Positive per Unit</v>
      </c>
    </row>
    <row r="900" spans="1:25" x14ac:dyDescent="0.3">
      <c r="A900">
        <v>1043</v>
      </c>
      <c r="B900" s="1">
        <v>45279</v>
      </c>
      <c r="C900" t="s">
        <v>37</v>
      </c>
      <c r="D900" t="s">
        <v>24</v>
      </c>
      <c r="E900">
        <v>12</v>
      </c>
      <c r="F900" t="s">
        <v>34</v>
      </c>
      <c r="G900">
        <v>4920.46</v>
      </c>
      <c r="H900">
        <v>5079.68</v>
      </c>
      <c r="I900" t="s">
        <v>29</v>
      </c>
      <c r="J900" s="2">
        <v>0.21</v>
      </c>
      <c r="K900" t="s">
        <v>30</v>
      </c>
      <c r="L900" t="s">
        <v>21</v>
      </c>
      <c r="M900" t="s">
        <v>38</v>
      </c>
      <c r="N900">
        <f>SalesData[[#This Row],[Quantity_Sold]]*SalesData[[#This Row],[Unit_Cost]]</f>
        <v>59045.520000000004</v>
      </c>
      <c r="O900">
        <f>SalesData[[#This Row],[Quantity_Sold]]*SalesData[[#This Row],[Unit_Price]]</f>
        <v>60956.160000000003</v>
      </c>
      <c r="P900">
        <f>SalesData[[#This Row],[Gross_sales]]*(1-SalesData[[#This Row],[Discount]])</f>
        <v>48155.366400000006</v>
      </c>
      <c r="Q900" s="2">
        <f>SalesData[[#This Row],[Sales_amount]]-SalesData[[#This Row],[Total_Cost]]</f>
        <v>-10890.153599999998</v>
      </c>
      <c r="R900" s="2">
        <f>SalesData[[#This Row],[Profit]]/SalesData[[#This Row],[Sales_amount]]</f>
        <v>-0.2261462099476414</v>
      </c>
      <c r="S900" s="2">
        <f>SalesData[[#This Row],[Unit_Price]]-SalesData[[#This Row],[Unit_Cost]]</f>
        <v>159.22000000000025</v>
      </c>
      <c r="T900" s="10">
        <f>SalesData[[#This Row],[Unit_Margin]]/SalesData[[#This Row],[Unit_Price]]</f>
        <v>3.1344494141363283E-2</v>
      </c>
      <c r="U900" s="2" t="str">
        <f>IF(SalesData[[#This Row],[Unit_Margin]]&lt;0, "Negative margin", "Positive margin")</f>
        <v>Positive margin</v>
      </c>
      <c r="V900" s="2" t="str">
        <f>IF(SalesData[[#This Row],[Profit]]&lt;0, "Loss", "Profit")</f>
        <v>Loss</v>
      </c>
      <c r="W900" s="2">
        <f>SalesData[[#This Row],[Unit_Price]]*(1-SalesData[[#This Row],[Discount]])</f>
        <v>4012.9472000000005</v>
      </c>
      <c r="X900" s="2">
        <f>SalesData[[#This Row],[Effective_Unit_Price]]-SalesData[[#This Row],[Unit_Cost]]</f>
        <v>-907.51279999999952</v>
      </c>
      <c r="Y900" s="2" t="str">
        <f>IF(SalesData[[#This Row],[Effective_Unit_Margin]]&lt;0,"Loss per Unit","Positive per Unit")</f>
        <v>Loss per Unit</v>
      </c>
    </row>
    <row r="901" spans="1:25" x14ac:dyDescent="0.3">
      <c r="A901">
        <v>1075</v>
      </c>
      <c r="B901" s="1">
        <v>44928</v>
      </c>
      <c r="C901" t="s">
        <v>23</v>
      </c>
      <c r="D901" t="s">
        <v>20</v>
      </c>
      <c r="E901">
        <v>26</v>
      </c>
      <c r="F901" t="s">
        <v>34</v>
      </c>
      <c r="G901">
        <v>4535.38</v>
      </c>
      <c r="H901">
        <v>4557.5600000000004</v>
      </c>
      <c r="I901" t="s">
        <v>29</v>
      </c>
      <c r="J901" s="2">
        <v>0</v>
      </c>
      <c r="K901" t="s">
        <v>30</v>
      </c>
      <c r="L901" t="s">
        <v>18</v>
      </c>
      <c r="M901" t="s">
        <v>46</v>
      </c>
      <c r="N901">
        <f>SalesData[[#This Row],[Quantity_Sold]]*SalesData[[#This Row],[Unit_Cost]]</f>
        <v>117919.88</v>
      </c>
      <c r="O901">
        <f>SalesData[[#This Row],[Quantity_Sold]]*SalesData[[#This Row],[Unit_Price]]</f>
        <v>118496.56000000001</v>
      </c>
      <c r="P901">
        <f>SalesData[[#This Row],[Gross_sales]]*(1-SalesData[[#This Row],[Discount]])</f>
        <v>118496.56000000001</v>
      </c>
      <c r="Q901" s="2">
        <f>SalesData[[#This Row],[Sales_amount]]-SalesData[[#This Row],[Total_Cost]]</f>
        <v>576.68000000000757</v>
      </c>
      <c r="R901" s="2">
        <f>SalesData[[#This Row],[Profit]]/SalesData[[#This Row],[Sales_amount]]</f>
        <v>4.8666391665716496E-3</v>
      </c>
      <c r="S901" s="2">
        <f>SalesData[[#This Row],[Unit_Price]]-SalesData[[#This Row],[Unit_Cost]]</f>
        <v>22.180000000000291</v>
      </c>
      <c r="T901" s="10">
        <f>SalesData[[#This Row],[Unit_Margin]]/SalesData[[#This Row],[Unit_Price]]</f>
        <v>4.8666391665716496E-3</v>
      </c>
      <c r="U901" s="2" t="str">
        <f>IF(SalesData[[#This Row],[Unit_Margin]]&lt;0, "Negative margin", "Positive margin")</f>
        <v>Positive margin</v>
      </c>
      <c r="V901" s="2" t="str">
        <f>IF(SalesData[[#This Row],[Profit]]&lt;0, "Loss", "Profit")</f>
        <v>Profit</v>
      </c>
      <c r="W901" s="2">
        <f>SalesData[[#This Row],[Unit_Price]]*(1-SalesData[[#This Row],[Discount]])</f>
        <v>4557.5600000000004</v>
      </c>
      <c r="X901" s="2">
        <f>SalesData[[#This Row],[Effective_Unit_Price]]-SalesData[[#This Row],[Unit_Cost]]</f>
        <v>22.180000000000291</v>
      </c>
      <c r="Y901" s="2" t="str">
        <f>IF(SalesData[[#This Row],[Effective_Unit_Margin]]&lt;0,"Loss per Unit","Positive per Unit")</f>
        <v>Positive per Unit</v>
      </c>
    </row>
    <row r="902" spans="1:25" x14ac:dyDescent="0.3">
      <c r="A902">
        <v>1023</v>
      </c>
      <c r="B902" s="1">
        <v>45151</v>
      </c>
      <c r="C902" t="s">
        <v>13</v>
      </c>
      <c r="D902" t="s">
        <v>33</v>
      </c>
      <c r="E902">
        <v>38</v>
      </c>
      <c r="F902" t="s">
        <v>28</v>
      </c>
      <c r="G902">
        <v>324.45</v>
      </c>
      <c r="H902">
        <v>336.37</v>
      </c>
      <c r="I902" t="s">
        <v>29</v>
      </c>
      <c r="J902" s="2">
        <v>0.28000000000000003</v>
      </c>
      <c r="K902" t="s">
        <v>30</v>
      </c>
      <c r="L902" t="s">
        <v>21</v>
      </c>
      <c r="M902" t="s">
        <v>45</v>
      </c>
      <c r="N902">
        <f>SalesData[[#This Row],[Quantity_Sold]]*SalesData[[#This Row],[Unit_Cost]]</f>
        <v>12329.1</v>
      </c>
      <c r="O902">
        <f>SalesData[[#This Row],[Quantity_Sold]]*SalesData[[#This Row],[Unit_Price]]</f>
        <v>12782.06</v>
      </c>
      <c r="P902">
        <f>SalesData[[#This Row],[Gross_sales]]*(1-SalesData[[#This Row],[Discount]])</f>
        <v>9203.0831999999991</v>
      </c>
      <c r="Q902" s="2">
        <f>SalesData[[#This Row],[Sales_amount]]-SalesData[[#This Row],[Total_Cost]]</f>
        <v>-3126.0168000000012</v>
      </c>
      <c r="R902" s="2">
        <f>SalesData[[#This Row],[Profit]]/SalesData[[#This Row],[Sales_amount]]</f>
        <v>-0.33967060082647099</v>
      </c>
      <c r="S902" s="2">
        <f>SalesData[[#This Row],[Unit_Price]]-SalesData[[#This Row],[Unit_Cost]]</f>
        <v>11.920000000000016</v>
      </c>
      <c r="T902" s="10">
        <f>SalesData[[#This Row],[Unit_Margin]]/SalesData[[#This Row],[Unit_Price]]</f>
        <v>3.5437167404941038E-2</v>
      </c>
      <c r="U902" s="2" t="str">
        <f>IF(SalesData[[#This Row],[Unit_Margin]]&lt;0, "Negative margin", "Positive margin")</f>
        <v>Positive margin</v>
      </c>
      <c r="V902" s="2" t="str">
        <f>IF(SalesData[[#This Row],[Profit]]&lt;0, "Loss", "Profit")</f>
        <v>Loss</v>
      </c>
      <c r="W902" s="2">
        <f>SalesData[[#This Row],[Unit_Price]]*(1-SalesData[[#This Row],[Discount]])</f>
        <v>242.18639999999999</v>
      </c>
      <c r="X902" s="2">
        <f>SalesData[[#This Row],[Effective_Unit_Price]]-SalesData[[#This Row],[Unit_Cost]]</f>
        <v>-82.263599999999997</v>
      </c>
      <c r="Y902" s="2" t="str">
        <f>IF(SalesData[[#This Row],[Effective_Unit_Margin]]&lt;0,"Loss per Unit","Positive per Unit")</f>
        <v>Loss per Unit</v>
      </c>
    </row>
    <row r="903" spans="1:25" x14ac:dyDescent="0.3">
      <c r="A903">
        <v>1055</v>
      </c>
      <c r="B903" s="1">
        <v>45215</v>
      </c>
      <c r="C903" t="s">
        <v>23</v>
      </c>
      <c r="D903" t="s">
        <v>33</v>
      </c>
      <c r="E903">
        <v>46</v>
      </c>
      <c r="F903" t="s">
        <v>28</v>
      </c>
      <c r="G903">
        <v>4173.5200000000004</v>
      </c>
      <c r="H903">
        <v>4294.8500000000004</v>
      </c>
      <c r="I903" t="s">
        <v>16</v>
      </c>
      <c r="J903" s="2">
        <v>0.03</v>
      </c>
      <c r="K903" t="s">
        <v>26</v>
      </c>
      <c r="L903" t="s">
        <v>21</v>
      </c>
      <c r="M903" t="s">
        <v>49</v>
      </c>
      <c r="N903">
        <f>SalesData[[#This Row],[Quantity_Sold]]*SalesData[[#This Row],[Unit_Cost]]</f>
        <v>191981.92</v>
      </c>
      <c r="O903">
        <f>SalesData[[#This Row],[Quantity_Sold]]*SalesData[[#This Row],[Unit_Price]]</f>
        <v>197563.1</v>
      </c>
      <c r="P903">
        <f>SalesData[[#This Row],[Gross_sales]]*(1-SalesData[[#This Row],[Discount]])</f>
        <v>191636.20699999999</v>
      </c>
      <c r="Q903" s="2">
        <f>SalesData[[#This Row],[Sales_amount]]-SalesData[[#This Row],[Total_Cost]]</f>
        <v>-345.71300000001793</v>
      </c>
      <c r="R903" s="2">
        <f>SalesData[[#This Row],[Profit]]/SalesData[[#This Row],[Sales_amount]]</f>
        <v>-1.8040066927437043E-3</v>
      </c>
      <c r="S903" s="2">
        <f>SalesData[[#This Row],[Unit_Price]]-SalesData[[#This Row],[Unit_Cost]]</f>
        <v>121.32999999999993</v>
      </c>
      <c r="T903" s="10">
        <f>SalesData[[#This Row],[Unit_Margin]]/SalesData[[#This Row],[Unit_Price]]</f>
        <v>2.8250113508038677E-2</v>
      </c>
      <c r="U903" s="2" t="str">
        <f>IF(SalesData[[#This Row],[Unit_Margin]]&lt;0, "Negative margin", "Positive margin")</f>
        <v>Positive margin</v>
      </c>
      <c r="V903" s="2" t="str">
        <f>IF(SalesData[[#This Row],[Profit]]&lt;0, "Loss", "Profit")</f>
        <v>Loss</v>
      </c>
      <c r="W903" s="2">
        <f>SalesData[[#This Row],[Unit_Price]]*(1-SalesData[[#This Row],[Discount]])</f>
        <v>4166.0045</v>
      </c>
      <c r="X903" s="2">
        <f>SalesData[[#This Row],[Effective_Unit_Price]]-SalesData[[#This Row],[Unit_Cost]]</f>
        <v>-7.5155000000004293</v>
      </c>
      <c r="Y903" s="2" t="str">
        <f>IF(SalesData[[#This Row],[Effective_Unit_Margin]]&lt;0,"Loss per Unit","Positive per Unit")</f>
        <v>Loss per Unit</v>
      </c>
    </row>
    <row r="904" spans="1:25" x14ac:dyDescent="0.3">
      <c r="A904">
        <v>1080</v>
      </c>
      <c r="B904" s="1">
        <v>45159</v>
      </c>
      <c r="C904" t="s">
        <v>23</v>
      </c>
      <c r="D904" t="s">
        <v>24</v>
      </c>
      <c r="E904">
        <v>12</v>
      </c>
      <c r="F904" t="s">
        <v>34</v>
      </c>
      <c r="G904">
        <v>2316.13</v>
      </c>
      <c r="H904">
        <v>2525.27</v>
      </c>
      <c r="I904" t="s">
        <v>16</v>
      </c>
      <c r="J904" s="2">
        <v>0.12</v>
      </c>
      <c r="K904" t="s">
        <v>30</v>
      </c>
      <c r="L904" t="s">
        <v>21</v>
      </c>
      <c r="M904" t="s">
        <v>27</v>
      </c>
      <c r="N904">
        <f>SalesData[[#This Row],[Quantity_Sold]]*SalesData[[#This Row],[Unit_Cost]]</f>
        <v>27793.56</v>
      </c>
      <c r="O904">
        <f>SalesData[[#This Row],[Quantity_Sold]]*SalesData[[#This Row],[Unit_Price]]</f>
        <v>30303.239999999998</v>
      </c>
      <c r="P904">
        <f>SalesData[[#This Row],[Gross_sales]]*(1-SalesData[[#This Row],[Discount]])</f>
        <v>26666.851199999997</v>
      </c>
      <c r="Q904" s="2">
        <f>SalesData[[#This Row],[Sales_amount]]-SalesData[[#This Row],[Total_Cost]]</f>
        <v>-1126.708800000004</v>
      </c>
      <c r="R904" s="2">
        <f>SalesData[[#This Row],[Profit]]/SalesData[[#This Row],[Sales_amount]]</f>
        <v>-4.2251287621089817E-2</v>
      </c>
      <c r="S904" s="2">
        <f>SalesData[[#This Row],[Unit_Price]]-SalesData[[#This Row],[Unit_Cost]]</f>
        <v>209.13999999999987</v>
      </c>
      <c r="T904" s="10">
        <f>SalesData[[#This Row],[Unit_Margin]]/SalesData[[#This Row],[Unit_Price]]</f>
        <v>8.2818866893441048E-2</v>
      </c>
      <c r="U904" s="2" t="str">
        <f>IF(SalesData[[#This Row],[Unit_Margin]]&lt;0, "Negative margin", "Positive margin")</f>
        <v>Positive margin</v>
      </c>
      <c r="V904" s="2" t="str">
        <f>IF(SalesData[[#This Row],[Profit]]&lt;0, "Loss", "Profit")</f>
        <v>Loss</v>
      </c>
      <c r="W904" s="2">
        <f>SalesData[[#This Row],[Unit_Price]]*(1-SalesData[[#This Row],[Discount]])</f>
        <v>2222.2375999999999</v>
      </c>
      <c r="X904" s="2">
        <f>SalesData[[#This Row],[Effective_Unit_Price]]-SalesData[[#This Row],[Unit_Cost]]</f>
        <v>-93.89240000000018</v>
      </c>
      <c r="Y904" s="2" t="str">
        <f>IF(SalesData[[#This Row],[Effective_Unit_Margin]]&lt;0,"Loss per Unit","Positive per Unit")</f>
        <v>Loss per Unit</v>
      </c>
    </row>
    <row r="905" spans="1:25" x14ac:dyDescent="0.3">
      <c r="A905">
        <v>1095</v>
      </c>
      <c r="B905" s="1">
        <v>45003</v>
      </c>
      <c r="C905" t="s">
        <v>37</v>
      </c>
      <c r="D905" t="s">
        <v>24</v>
      </c>
      <c r="E905">
        <v>43</v>
      </c>
      <c r="F905" t="s">
        <v>15</v>
      </c>
      <c r="G905">
        <v>1331.86</v>
      </c>
      <c r="H905">
        <v>1758.98</v>
      </c>
      <c r="I905" t="s">
        <v>16</v>
      </c>
      <c r="J905" s="2">
        <v>0.23</v>
      </c>
      <c r="K905" t="s">
        <v>26</v>
      </c>
      <c r="L905" t="s">
        <v>21</v>
      </c>
      <c r="M905" t="s">
        <v>38</v>
      </c>
      <c r="N905">
        <f>SalesData[[#This Row],[Quantity_Sold]]*SalesData[[#This Row],[Unit_Cost]]</f>
        <v>57269.979999999996</v>
      </c>
      <c r="O905">
        <f>SalesData[[#This Row],[Quantity_Sold]]*SalesData[[#This Row],[Unit_Price]]</f>
        <v>75636.14</v>
      </c>
      <c r="P905">
        <f>SalesData[[#This Row],[Gross_sales]]*(1-SalesData[[#This Row],[Discount]])</f>
        <v>58239.827799999999</v>
      </c>
      <c r="Q905" s="2">
        <f>SalesData[[#This Row],[Sales_amount]]-SalesData[[#This Row],[Total_Cost]]</f>
        <v>969.84780000000319</v>
      </c>
      <c r="R905" s="2">
        <f>SalesData[[#This Row],[Profit]]/SalesData[[#This Row],[Sales_amount]]</f>
        <v>1.665265569346349E-2</v>
      </c>
      <c r="S905" s="2">
        <f>SalesData[[#This Row],[Unit_Price]]-SalesData[[#This Row],[Unit_Cost]]</f>
        <v>427.12000000000012</v>
      </c>
      <c r="T905" s="10">
        <f>SalesData[[#This Row],[Unit_Margin]]/SalesData[[#This Row],[Unit_Price]]</f>
        <v>0.2428225448839669</v>
      </c>
      <c r="U905" s="2" t="str">
        <f>IF(SalesData[[#This Row],[Unit_Margin]]&lt;0, "Negative margin", "Positive margin")</f>
        <v>Positive margin</v>
      </c>
      <c r="V905" s="2" t="str">
        <f>IF(SalesData[[#This Row],[Profit]]&lt;0, "Loss", "Profit")</f>
        <v>Profit</v>
      </c>
      <c r="W905" s="2">
        <f>SalesData[[#This Row],[Unit_Price]]*(1-SalesData[[#This Row],[Discount]])</f>
        <v>1354.4146000000001</v>
      </c>
      <c r="X905" s="2">
        <f>SalesData[[#This Row],[Effective_Unit_Price]]-SalesData[[#This Row],[Unit_Cost]]</f>
        <v>22.554600000000164</v>
      </c>
      <c r="Y905" s="2" t="str">
        <f>IF(SalesData[[#This Row],[Effective_Unit_Margin]]&lt;0,"Loss per Unit","Positive per Unit")</f>
        <v>Positive per Unit</v>
      </c>
    </row>
    <row r="906" spans="1:25" x14ac:dyDescent="0.3">
      <c r="A906">
        <v>1075</v>
      </c>
      <c r="B906" s="1">
        <v>45042</v>
      </c>
      <c r="C906" t="s">
        <v>23</v>
      </c>
      <c r="D906" t="s">
        <v>24</v>
      </c>
      <c r="E906">
        <v>37</v>
      </c>
      <c r="F906" t="s">
        <v>34</v>
      </c>
      <c r="G906">
        <v>4399.8</v>
      </c>
      <c r="H906">
        <v>4801.0600000000004</v>
      </c>
      <c r="I906" t="s">
        <v>29</v>
      </c>
      <c r="J906" s="2">
        <v>0.13</v>
      </c>
      <c r="K906" t="s">
        <v>26</v>
      </c>
      <c r="L906" t="s">
        <v>21</v>
      </c>
      <c r="M906" t="s">
        <v>27</v>
      </c>
      <c r="N906">
        <f>SalesData[[#This Row],[Quantity_Sold]]*SalesData[[#This Row],[Unit_Cost]]</f>
        <v>162792.6</v>
      </c>
      <c r="O906">
        <f>SalesData[[#This Row],[Quantity_Sold]]*SalesData[[#This Row],[Unit_Price]]</f>
        <v>177639.22</v>
      </c>
      <c r="P906">
        <f>SalesData[[#This Row],[Gross_sales]]*(1-SalesData[[#This Row],[Discount]])</f>
        <v>154546.1214</v>
      </c>
      <c r="Q906" s="2">
        <f>SalesData[[#This Row],[Sales_amount]]-SalesData[[#This Row],[Total_Cost]]</f>
        <v>-8246.4786000000022</v>
      </c>
      <c r="R906" s="2">
        <f>SalesData[[#This Row],[Profit]]/SalesData[[#This Row],[Sales_amount]]</f>
        <v>-5.335933716936362E-2</v>
      </c>
      <c r="S906" s="2">
        <f>SalesData[[#This Row],[Unit_Price]]-SalesData[[#This Row],[Unit_Cost]]</f>
        <v>401.26000000000022</v>
      </c>
      <c r="T906" s="10">
        <f>SalesData[[#This Row],[Unit_Margin]]/SalesData[[#This Row],[Unit_Price]]</f>
        <v>8.3577376662653705E-2</v>
      </c>
      <c r="U906" s="2" t="str">
        <f>IF(SalesData[[#This Row],[Unit_Margin]]&lt;0, "Negative margin", "Positive margin")</f>
        <v>Positive margin</v>
      </c>
      <c r="V906" s="2" t="str">
        <f>IF(SalesData[[#This Row],[Profit]]&lt;0, "Loss", "Profit")</f>
        <v>Loss</v>
      </c>
      <c r="W906" s="2">
        <f>SalesData[[#This Row],[Unit_Price]]*(1-SalesData[[#This Row],[Discount]])</f>
        <v>4176.9222</v>
      </c>
      <c r="X906" s="2">
        <f>SalesData[[#This Row],[Effective_Unit_Price]]-SalesData[[#This Row],[Unit_Cost]]</f>
        <v>-222.87780000000021</v>
      </c>
      <c r="Y906" s="2" t="str">
        <f>IF(SalesData[[#This Row],[Effective_Unit_Margin]]&lt;0,"Loss per Unit","Positive per Unit")</f>
        <v>Loss per Unit</v>
      </c>
    </row>
    <row r="907" spans="1:25" x14ac:dyDescent="0.3">
      <c r="A907">
        <v>1016</v>
      </c>
      <c r="B907" s="1">
        <v>45080</v>
      </c>
      <c r="C907" t="s">
        <v>23</v>
      </c>
      <c r="D907" t="s">
        <v>20</v>
      </c>
      <c r="E907">
        <v>46</v>
      </c>
      <c r="F907" t="s">
        <v>28</v>
      </c>
      <c r="G907">
        <v>1023.5</v>
      </c>
      <c r="H907">
        <v>1164.4100000000001</v>
      </c>
      <c r="I907" t="s">
        <v>16</v>
      </c>
      <c r="J907" s="2">
        <v>0.28000000000000003</v>
      </c>
      <c r="K907" t="s">
        <v>30</v>
      </c>
      <c r="L907" t="s">
        <v>21</v>
      </c>
      <c r="M907" t="s">
        <v>46</v>
      </c>
      <c r="N907">
        <f>SalesData[[#This Row],[Quantity_Sold]]*SalesData[[#This Row],[Unit_Cost]]</f>
        <v>47081</v>
      </c>
      <c r="O907">
        <f>SalesData[[#This Row],[Quantity_Sold]]*SalesData[[#This Row],[Unit_Price]]</f>
        <v>53562.86</v>
      </c>
      <c r="P907">
        <f>SalesData[[#This Row],[Gross_sales]]*(1-SalesData[[#This Row],[Discount]])</f>
        <v>38565.2592</v>
      </c>
      <c r="Q907" s="2">
        <f>SalesData[[#This Row],[Sales_amount]]-SalesData[[#This Row],[Total_Cost]]</f>
        <v>-8515.7407999999996</v>
      </c>
      <c r="R907" s="2">
        <f>SalesData[[#This Row],[Profit]]/SalesData[[#This Row],[Sales_amount]]</f>
        <v>-0.22081378361382825</v>
      </c>
      <c r="S907" s="2">
        <f>SalesData[[#This Row],[Unit_Price]]-SalesData[[#This Row],[Unit_Cost]]</f>
        <v>140.91000000000008</v>
      </c>
      <c r="T907" s="10">
        <f>SalesData[[#This Row],[Unit_Margin]]/SalesData[[#This Row],[Unit_Price]]</f>
        <v>0.1210140757980437</v>
      </c>
      <c r="U907" s="2" t="str">
        <f>IF(SalesData[[#This Row],[Unit_Margin]]&lt;0, "Negative margin", "Positive margin")</f>
        <v>Positive margin</v>
      </c>
      <c r="V907" s="2" t="str">
        <f>IF(SalesData[[#This Row],[Profit]]&lt;0, "Loss", "Profit")</f>
        <v>Loss</v>
      </c>
      <c r="W907" s="2">
        <f>SalesData[[#This Row],[Unit_Price]]*(1-SalesData[[#This Row],[Discount]])</f>
        <v>838.37520000000006</v>
      </c>
      <c r="X907" s="2">
        <f>SalesData[[#This Row],[Effective_Unit_Price]]-SalesData[[#This Row],[Unit_Cost]]</f>
        <v>-185.12479999999994</v>
      </c>
      <c r="Y907" s="2" t="str">
        <f>IF(SalesData[[#This Row],[Effective_Unit_Margin]]&lt;0,"Loss per Unit","Positive per Unit")</f>
        <v>Loss per Unit</v>
      </c>
    </row>
    <row r="908" spans="1:25" x14ac:dyDescent="0.3">
      <c r="A908">
        <v>1008</v>
      </c>
      <c r="B908" s="1">
        <v>45029</v>
      </c>
      <c r="C908" t="s">
        <v>32</v>
      </c>
      <c r="D908" t="s">
        <v>24</v>
      </c>
      <c r="E908">
        <v>24</v>
      </c>
      <c r="F908" t="s">
        <v>15</v>
      </c>
      <c r="G908">
        <v>4739.13</v>
      </c>
      <c r="H908">
        <v>4868.95</v>
      </c>
      <c r="I908" t="s">
        <v>29</v>
      </c>
      <c r="J908" s="2">
        <v>0.14000000000000001</v>
      </c>
      <c r="K908" t="s">
        <v>30</v>
      </c>
      <c r="L908" t="s">
        <v>21</v>
      </c>
      <c r="M908" t="s">
        <v>43</v>
      </c>
      <c r="N908">
        <f>SalesData[[#This Row],[Quantity_Sold]]*SalesData[[#This Row],[Unit_Cost]]</f>
        <v>113739.12</v>
      </c>
      <c r="O908">
        <f>SalesData[[#This Row],[Quantity_Sold]]*SalesData[[#This Row],[Unit_Price]]</f>
        <v>116854.79999999999</v>
      </c>
      <c r="P908">
        <f>SalesData[[#This Row],[Gross_sales]]*(1-SalesData[[#This Row],[Discount]])</f>
        <v>100495.12799999998</v>
      </c>
      <c r="Q908" s="2">
        <f>SalesData[[#This Row],[Sales_amount]]-SalesData[[#This Row],[Total_Cost]]</f>
        <v>-13243.992000000013</v>
      </c>
      <c r="R908" s="2">
        <f>SalesData[[#This Row],[Profit]]/SalesData[[#This Row],[Sales_amount]]</f>
        <v>-0.13178740366398672</v>
      </c>
      <c r="S908" s="2">
        <f>SalesData[[#This Row],[Unit_Price]]-SalesData[[#This Row],[Unit_Cost]]</f>
        <v>129.81999999999971</v>
      </c>
      <c r="T908" s="10">
        <f>SalesData[[#This Row],[Unit_Margin]]/SalesData[[#This Row],[Unit_Price]]</f>
        <v>2.6662832848971484E-2</v>
      </c>
      <c r="U908" s="2" t="str">
        <f>IF(SalesData[[#This Row],[Unit_Margin]]&lt;0, "Negative margin", "Positive margin")</f>
        <v>Positive margin</v>
      </c>
      <c r="V908" s="2" t="str">
        <f>IF(SalesData[[#This Row],[Profit]]&lt;0, "Loss", "Profit")</f>
        <v>Loss</v>
      </c>
      <c r="W908" s="2">
        <f>SalesData[[#This Row],[Unit_Price]]*(1-SalesData[[#This Row],[Discount]])</f>
        <v>4187.2969999999996</v>
      </c>
      <c r="X908" s="2">
        <f>SalesData[[#This Row],[Effective_Unit_Price]]-SalesData[[#This Row],[Unit_Cost]]</f>
        <v>-551.83300000000054</v>
      </c>
      <c r="Y908" s="2" t="str">
        <f>IF(SalesData[[#This Row],[Effective_Unit_Margin]]&lt;0,"Loss per Unit","Positive per Unit")</f>
        <v>Loss per Unit</v>
      </c>
    </row>
    <row r="909" spans="1:25" x14ac:dyDescent="0.3">
      <c r="A909">
        <v>1004</v>
      </c>
      <c r="B909" s="1">
        <v>45120</v>
      </c>
      <c r="C909" t="s">
        <v>37</v>
      </c>
      <c r="D909" t="s">
        <v>33</v>
      </c>
      <c r="E909">
        <v>16</v>
      </c>
      <c r="F909" t="s">
        <v>28</v>
      </c>
      <c r="G909">
        <v>1067.83</v>
      </c>
      <c r="H909">
        <v>1189.22</v>
      </c>
      <c r="I909" t="s">
        <v>16</v>
      </c>
      <c r="J909" s="2">
        <v>0.26</v>
      </c>
      <c r="K909" t="s">
        <v>30</v>
      </c>
      <c r="L909" t="s">
        <v>21</v>
      </c>
      <c r="M909" t="s">
        <v>47</v>
      </c>
      <c r="N909">
        <f>SalesData[[#This Row],[Quantity_Sold]]*SalesData[[#This Row],[Unit_Cost]]</f>
        <v>17085.28</v>
      </c>
      <c r="O909">
        <f>SalesData[[#This Row],[Quantity_Sold]]*SalesData[[#This Row],[Unit_Price]]</f>
        <v>19027.52</v>
      </c>
      <c r="P909">
        <f>SalesData[[#This Row],[Gross_sales]]*(1-SalesData[[#This Row],[Discount]])</f>
        <v>14080.364799999999</v>
      </c>
      <c r="Q909" s="2">
        <f>SalesData[[#This Row],[Sales_amount]]-SalesData[[#This Row],[Total_Cost]]</f>
        <v>-3004.9151999999995</v>
      </c>
      <c r="R909" s="2">
        <f>SalesData[[#This Row],[Profit]]/SalesData[[#This Row],[Sales_amount]]</f>
        <v>-0.21341174342301128</v>
      </c>
      <c r="S909" s="2">
        <f>SalesData[[#This Row],[Unit_Price]]-SalesData[[#This Row],[Unit_Cost]]</f>
        <v>121.3900000000001</v>
      </c>
      <c r="T909" s="10">
        <f>SalesData[[#This Row],[Unit_Margin]]/SalesData[[#This Row],[Unit_Price]]</f>
        <v>0.10207530986697171</v>
      </c>
      <c r="U909" s="2" t="str">
        <f>IF(SalesData[[#This Row],[Unit_Margin]]&lt;0, "Negative margin", "Positive margin")</f>
        <v>Positive margin</v>
      </c>
      <c r="V909" s="2" t="str">
        <f>IF(SalesData[[#This Row],[Profit]]&lt;0, "Loss", "Profit")</f>
        <v>Loss</v>
      </c>
      <c r="W909" s="2">
        <f>SalesData[[#This Row],[Unit_Price]]*(1-SalesData[[#This Row],[Discount]])</f>
        <v>880.02279999999996</v>
      </c>
      <c r="X909" s="2">
        <f>SalesData[[#This Row],[Effective_Unit_Price]]-SalesData[[#This Row],[Unit_Cost]]</f>
        <v>-187.80719999999997</v>
      </c>
      <c r="Y909" s="2" t="str">
        <f>IF(SalesData[[#This Row],[Effective_Unit_Margin]]&lt;0,"Loss per Unit","Positive per Unit")</f>
        <v>Loss per Unit</v>
      </c>
    </row>
    <row r="910" spans="1:25" x14ac:dyDescent="0.3">
      <c r="A910">
        <v>1004</v>
      </c>
      <c r="B910" s="1">
        <v>45092</v>
      </c>
      <c r="C910" t="s">
        <v>41</v>
      </c>
      <c r="D910" t="s">
        <v>33</v>
      </c>
      <c r="E910">
        <v>13</v>
      </c>
      <c r="F910" t="s">
        <v>15</v>
      </c>
      <c r="G910">
        <v>3087.73</v>
      </c>
      <c r="H910">
        <v>3263.96</v>
      </c>
      <c r="I910" t="s">
        <v>29</v>
      </c>
      <c r="J910" s="2">
        <v>0.24</v>
      </c>
      <c r="K910" t="s">
        <v>17</v>
      </c>
      <c r="L910" t="s">
        <v>21</v>
      </c>
      <c r="M910" t="s">
        <v>51</v>
      </c>
      <c r="N910">
        <f>SalesData[[#This Row],[Quantity_Sold]]*SalesData[[#This Row],[Unit_Cost]]</f>
        <v>40140.49</v>
      </c>
      <c r="O910">
        <f>SalesData[[#This Row],[Quantity_Sold]]*SalesData[[#This Row],[Unit_Price]]</f>
        <v>42431.48</v>
      </c>
      <c r="P910">
        <f>SalesData[[#This Row],[Gross_sales]]*(1-SalesData[[#This Row],[Discount]])</f>
        <v>32247.924800000004</v>
      </c>
      <c r="Q910" s="2">
        <f>SalesData[[#This Row],[Sales_amount]]-SalesData[[#This Row],[Total_Cost]]</f>
        <v>-7892.5651999999936</v>
      </c>
      <c r="R910" s="2">
        <f>SalesData[[#This Row],[Profit]]/SalesData[[#This Row],[Sales_amount]]</f>
        <v>-0.24474645264615577</v>
      </c>
      <c r="S910" s="2">
        <f>SalesData[[#This Row],[Unit_Price]]-SalesData[[#This Row],[Unit_Cost]]</f>
        <v>176.23000000000002</v>
      </c>
      <c r="T910" s="10">
        <f>SalesData[[#This Row],[Unit_Margin]]/SalesData[[#This Row],[Unit_Price]]</f>
        <v>5.3992695988921438E-2</v>
      </c>
      <c r="U910" s="2" t="str">
        <f>IF(SalesData[[#This Row],[Unit_Margin]]&lt;0, "Negative margin", "Positive margin")</f>
        <v>Positive margin</v>
      </c>
      <c r="V910" s="2" t="str">
        <f>IF(SalesData[[#This Row],[Profit]]&lt;0, "Loss", "Profit")</f>
        <v>Loss</v>
      </c>
      <c r="W910" s="2">
        <f>SalesData[[#This Row],[Unit_Price]]*(1-SalesData[[#This Row],[Discount]])</f>
        <v>2480.6096000000002</v>
      </c>
      <c r="X910" s="2">
        <f>SalesData[[#This Row],[Effective_Unit_Price]]-SalesData[[#This Row],[Unit_Cost]]</f>
        <v>-607.12039999999979</v>
      </c>
      <c r="Y910" s="2" t="str">
        <f>IF(SalesData[[#This Row],[Effective_Unit_Margin]]&lt;0,"Loss per Unit","Positive per Unit")</f>
        <v>Loss per Unit</v>
      </c>
    </row>
    <row r="911" spans="1:25" x14ac:dyDescent="0.3">
      <c r="A911">
        <v>1056</v>
      </c>
      <c r="B911" s="1">
        <v>45285</v>
      </c>
      <c r="C911" t="s">
        <v>13</v>
      </c>
      <c r="D911" t="s">
        <v>14</v>
      </c>
      <c r="E911">
        <v>25</v>
      </c>
      <c r="F911" t="s">
        <v>28</v>
      </c>
      <c r="G911">
        <v>1154.28</v>
      </c>
      <c r="H911">
        <v>1408.4</v>
      </c>
      <c r="I911" t="s">
        <v>16</v>
      </c>
      <c r="J911" s="2">
        <v>0.28999999999999998</v>
      </c>
      <c r="K911" t="s">
        <v>26</v>
      </c>
      <c r="L911" t="s">
        <v>21</v>
      </c>
      <c r="M911" t="s">
        <v>19</v>
      </c>
      <c r="N911">
        <f>SalesData[[#This Row],[Quantity_Sold]]*SalesData[[#This Row],[Unit_Cost]]</f>
        <v>28857</v>
      </c>
      <c r="O911">
        <f>SalesData[[#This Row],[Quantity_Sold]]*SalesData[[#This Row],[Unit_Price]]</f>
        <v>35210</v>
      </c>
      <c r="P911">
        <f>SalesData[[#This Row],[Gross_sales]]*(1-SalesData[[#This Row],[Discount]])</f>
        <v>24999.1</v>
      </c>
      <c r="Q911" s="2">
        <f>SalesData[[#This Row],[Sales_amount]]-SalesData[[#This Row],[Total_Cost]]</f>
        <v>-3857.9000000000015</v>
      </c>
      <c r="R911" s="2">
        <f>SalesData[[#This Row],[Profit]]/SalesData[[#This Row],[Sales_amount]]</f>
        <v>-0.1543215555760008</v>
      </c>
      <c r="S911" s="2">
        <f>SalesData[[#This Row],[Unit_Price]]-SalesData[[#This Row],[Unit_Cost]]</f>
        <v>254.12000000000012</v>
      </c>
      <c r="T911" s="10">
        <f>SalesData[[#This Row],[Unit_Margin]]/SalesData[[#This Row],[Unit_Price]]</f>
        <v>0.18043169554103955</v>
      </c>
      <c r="U911" s="2" t="str">
        <f>IF(SalesData[[#This Row],[Unit_Margin]]&lt;0, "Negative margin", "Positive margin")</f>
        <v>Positive margin</v>
      </c>
      <c r="V911" s="2" t="str">
        <f>IF(SalesData[[#This Row],[Profit]]&lt;0, "Loss", "Profit")</f>
        <v>Loss</v>
      </c>
      <c r="W911" s="2">
        <f>SalesData[[#This Row],[Unit_Price]]*(1-SalesData[[#This Row],[Discount]])</f>
        <v>999.96400000000006</v>
      </c>
      <c r="X911" s="2">
        <f>SalesData[[#This Row],[Effective_Unit_Price]]-SalesData[[#This Row],[Unit_Cost]]</f>
        <v>-154.31599999999992</v>
      </c>
      <c r="Y911" s="2" t="str">
        <f>IF(SalesData[[#This Row],[Effective_Unit_Margin]]&lt;0,"Loss per Unit","Positive per Unit")</f>
        <v>Loss per Unit</v>
      </c>
    </row>
    <row r="912" spans="1:25" x14ac:dyDescent="0.3">
      <c r="A912">
        <v>1025</v>
      </c>
      <c r="B912" s="1">
        <v>45016</v>
      </c>
      <c r="C912" t="s">
        <v>23</v>
      </c>
      <c r="D912" t="s">
        <v>20</v>
      </c>
      <c r="E912">
        <v>4</v>
      </c>
      <c r="F912" t="s">
        <v>15</v>
      </c>
      <c r="G912">
        <v>2751.06</v>
      </c>
      <c r="H912">
        <v>2976.0099999999902</v>
      </c>
      <c r="I912" t="s">
        <v>16</v>
      </c>
      <c r="J912" s="2">
        <v>0.28000000000000003</v>
      </c>
      <c r="K912" t="s">
        <v>30</v>
      </c>
      <c r="L912" t="s">
        <v>18</v>
      </c>
      <c r="M912" t="s">
        <v>46</v>
      </c>
      <c r="N912">
        <f>SalesData[[#This Row],[Quantity_Sold]]*SalesData[[#This Row],[Unit_Cost]]</f>
        <v>11004.24</v>
      </c>
      <c r="O912">
        <f>SalesData[[#This Row],[Quantity_Sold]]*SalesData[[#This Row],[Unit_Price]]</f>
        <v>11904.039999999961</v>
      </c>
      <c r="P912">
        <f>SalesData[[#This Row],[Gross_sales]]*(1-SalesData[[#This Row],[Discount]])</f>
        <v>8570.908799999972</v>
      </c>
      <c r="Q912" s="2">
        <f>SalesData[[#This Row],[Sales_amount]]-SalesData[[#This Row],[Total_Cost]]</f>
        <v>-2433.3312000000278</v>
      </c>
      <c r="R912" s="2">
        <f>SalesData[[#This Row],[Profit]]/SalesData[[#This Row],[Sales_amount]]</f>
        <v>-0.28390585605111512</v>
      </c>
      <c r="S912" s="2">
        <f>SalesData[[#This Row],[Unit_Price]]-SalesData[[#This Row],[Unit_Cost]]</f>
        <v>224.94999999999027</v>
      </c>
      <c r="T912" s="10">
        <f>SalesData[[#This Row],[Unit_Margin]]/SalesData[[#This Row],[Unit_Price]]</f>
        <v>7.5587783643197098E-2</v>
      </c>
      <c r="U912" s="2" t="str">
        <f>IF(SalesData[[#This Row],[Unit_Margin]]&lt;0, "Negative margin", "Positive margin")</f>
        <v>Positive margin</v>
      </c>
      <c r="V912" s="2" t="str">
        <f>IF(SalesData[[#This Row],[Profit]]&lt;0, "Loss", "Profit")</f>
        <v>Loss</v>
      </c>
      <c r="W912" s="2">
        <f>SalesData[[#This Row],[Unit_Price]]*(1-SalesData[[#This Row],[Discount]])</f>
        <v>2142.727199999993</v>
      </c>
      <c r="X912" s="2">
        <f>SalesData[[#This Row],[Effective_Unit_Price]]-SalesData[[#This Row],[Unit_Cost]]</f>
        <v>-608.33280000000696</v>
      </c>
      <c r="Y912" s="2" t="str">
        <f>IF(SalesData[[#This Row],[Effective_Unit_Margin]]&lt;0,"Loss per Unit","Positive per Unit")</f>
        <v>Loss per Unit</v>
      </c>
    </row>
    <row r="913" spans="1:25" x14ac:dyDescent="0.3">
      <c r="A913">
        <v>1067</v>
      </c>
      <c r="B913" s="1">
        <v>45100</v>
      </c>
      <c r="C913" t="s">
        <v>13</v>
      </c>
      <c r="D913" t="s">
        <v>14</v>
      </c>
      <c r="E913">
        <v>11</v>
      </c>
      <c r="F913" t="s">
        <v>15</v>
      </c>
      <c r="G913">
        <v>3435.68</v>
      </c>
      <c r="H913">
        <v>3552.6299999999901</v>
      </c>
      <c r="I913" t="s">
        <v>29</v>
      </c>
      <c r="J913" s="2">
        <v>0.27</v>
      </c>
      <c r="K913" t="s">
        <v>17</v>
      </c>
      <c r="L913" t="s">
        <v>21</v>
      </c>
      <c r="M913" t="s">
        <v>19</v>
      </c>
      <c r="N913">
        <f>SalesData[[#This Row],[Quantity_Sold]]*SalesData[[#This Row],[Unit_Cost]]</f>
        <v>37792.479999999996</v>
      </c>
      <c r="O913">
        <f>SalesData[[#This Row],[Quantity_Sold]]*SalesData[[#This Row],[Unit_Price]]</f>
        <v>39078.929999999891</v>
      </c>
      <c r="P913">
        <f>SalesData[[#This Row],[Gross_sales]]*(1-SalesData[[#This Row],[Discount]])</f>
        <v>28527.618899999921</v>
      </c>
      <c r="Q913" s="2">
        <f>SalesData[[#This Row],[Sales_amount]]-SalesData[[#This Row],[Total_Cost]]</f>
        <v>-9264.8611000000747</v>
      </c>
      <c r="R913" s="2">
        <f>SalesData[[#This Row],[Profit]]/SalesData[[#This Row],[Sales_amount]]</f>
        <v>-0.32476811795884236</v>
      </c>
      <c r="S913" s="2">
        <f>SalesData[[#This Row],[Unit_Price]]-SalesData[[#This Row],[Unit_Cost]]</f>
        <v>116.94999999999027</v>
      </c>
      <c r="T913" s="10">
        <f>SalesData[[#This Row],[Unit_Margin]]/SalesData[[#This Row],[Unit_Price]]</f>
        <v>3.2919273890045009E-2</v>
      </c>
      <c r="U913" s="2" t="str">
        <f>IF(SalesData[[#This Row],[Unit_Margin]]&lt;0, "Negative margin", "Positive margin")</f>
        <v>Positive margin</v>
      </c>
      <c r="V913" s="2" t="str">
        <f>IF(SalesData[[#This Row],[Profit]]&lt;0, "Loss", "Profit")</f>
        <v>Loss</v>
      </c>
      <c r="W913" s="2">
        <f>SalesData[[#This Row],[Unit_Price]]*(1-SalesData[[#This Row],[Discount]])</f>
        <v>2593.4198999999926</v>
      </c>
      <c r="X913" s="2">
        <f>SalesData[[#This Row],[Effective_Unit_Price]]-SalesData[[#This Row],[Unit_Cost]]</f>
        <v>-842.26010000000724</v>
      </c>
      <c r="Y913" s="2" t="str">
        <f>IF(SalesData[[#This Row],[Effective_Unit_Margin]]&lt;0,"Loss per Unit","Positive per Unit")</f>
        <v>Loss per Unit</v>
      </c>
    </row>
    <row r="914" spans="1:25" x14ac:dyDescent="0.3">
      <c r="A914">
        <v>1096</v>
      </c>
      <c r="B914" s="1">
        <v>45048</v>
      </c>
      <c r="C914" t="s">
        <v>41</v>
      </c>
      <c r="D914" t="s">
        <v>33</v>
      </c>
      <c r="E914">
        <v>32</v>
      </c>
      <c r="F914" t="s">
        <v>15</v>
      </c>
      <c r="G914">
        <v>991.63</v>
      </c>
      <c r="H914">
        <v>1065.55</v>
      </c>
      <c r="I914" t="s">
        <v>16</v>
      </c>
      <c r="J914" s="2">
        <v>0.22</v>
      </c>
      <c r="K914" t="s">
        <v>26</v>
      </c>
      <c r="L914" t="s">
        <v>21</v>
      </c>
      <c r="M914" t="s">
        <v>51</v>
      </c>
      <c r="N914">
        <f>SalesData[[#This Row],[Quantity_Sold]]*SalesData[[#This Row],[Unit_Cost]]</f>
        <v>31732.16</v>
      </c>
      <c r="O914">
        <f>SalesData[[#This Row],[Quantity_Sold]]*SalesData[[#This Row],[Unit_Price]]</f>
        <v>34097.599999999999</v>
      </c>
      <c r="P914">
        <f>SalesData[[#This Row],[Gross_sales]]*(1-SalesData[[#This Row],[Discount]])</f>
        <v>26596.128000000001</v>
      </c>
      <c r="Q914" s="2">
        <f>SalesData[[#This Row],[Sales_amount]]-SalesData[[#This Row],[Total_Cost]]</f>
        <v>-5136.0319999999992</v>
      </c>
      <c r="R914" s="2">
        <f>SalesData[[#This Row],[Profit]]/SalesData[[#This Row],[Sales_amount]]</f>
        <v>-0.19311201991507934</v>
      </c>
      <c r="S914" s="2">
        <f>SalesData[[#This Row],[Unit_Price]]-SalesData[[#This Row],[Unit_Cost]]</f>
        <v>73.919999999999959</v>
      </c>
      <c r="T914" s="10">
        <f>SalesData[[#This Row],[Unit_Margin]]/SalesData[[#This Row],[Unit_Price]]</f>
        <v>6.9372624466238056E-2</v>
      </c>
      <c r="U914" s="2" t="str">
        <f>IF(SalesData[[#This Row],[Unit_Margin]]&lt;0, "Negative margin", "Positive margin")</f>
        <v>Positive margin</v>
      </c>
      <c r="V914" s="2" t="str">
        <f>IF(SalesData[[#This Row],[Profit]]&lt;0, "Loss", "Profit")</f>
        <v>Loss</v>
      </c>
      <c r="W914" s="2">
        <f>SalesData[[#This Row],[Unit_Price]]*(1-SalesData[[#This Row],[Discount]])</f>
        <v>831.12900000000002</v>
      </c>
      <c r="X914" s="2">
        <f>SalesData[[#This Row],[Effective_Unit_Price]]-SalesData[[#This Row],[Unit_Cost]]</f>
        <v>-160.50099999999998</v>
      </c>
      <c r="Y914" s="2" t="str">
        <f>IF(SalesData[[#This Row],[Effective_Unit_Margin]]&lt;0,"Loss per Unit","Positive per Unit")</f>
        <v>Loss per Unit</v>
      </c>
    </row>
    <row r="915" spans="1:25" x14ac:dyDescent="0.3">
      <c r="A915">
        <v>1067</v>
      </c>
      <c r="B915" s="1">
        <v>45069</v>
      </c>
      <c r="C915" t="s">
        <v>13</v>
      </c>
      <c r="D915" t="s">
        <v>14</v>
      </c>
      <c r="E915">
        <v>49</v>
      </c>
      <c r="F915" t="s">
        <v>15</v>
      </c>
      <c r="G915">
        <v>2628.38</v>
      </c>
      <c r="H915">
        <v>2644.54</v>
      </c>
      <c r="I915" t="s">
        <v>16</v>
      </c>
      <c r="J915" s="2">
        <v>0.11</v>
      </c>
      <c r="K915" t="s">
        <v>17</v>
      </c>
      <c r="L915" t="s">
        <v>18</v>
      </c>
      <c r="M915" t="s">
        <v>19</v>
      </c>
      <c r="N915">
        <f>SalesData[[#This Row],[Quantity_Sold]]*SalesData[[#This Row],[Unit_Cost]]</f>
        <v>128790.62000000001</v>
      </c>
      <c r="O915">
        <f>SalesData[[#This Row],[Quantity_Sold]]*SalesData[[#This Row],[Unit_Price]]</f>
        <v>129582.45999999999</v>
      </c>
      <c r="P915">
        <f>SalesData[[#This Row],[Gross_sales]]*(1-SalesData[[#This Row],[Discount]])</f>
        <v>115328.3894</v>
      </c>
      <c r="Q915" s="2">
        <f>SalesData[[#This Row],[Sales_amount]]-SalesData[[#This Row],[Total_Cost]]</f>
        <v>-13462.23060000001</v>
      </c>
      <c r="R915" s="2">
        <f>SalesData[[#This Row],[Profit]]/SalesData[[#This Row],[Sales_amount]]</f>
        <v>-0.11672954655863779</v>
      </c>
      <c r="S915" s="2">
        <f>SalesData[[#This Row],[Unit_Price]]-SalesData[[#This Row],[Unit_Cost]]</f>
        <v>16.159999999999854</v>
      </c>
      <c r="T915" s="10">
        <f>SalesData[[#This Row],[Unit_Margin]]/SalesData[[#This Row],[Unit_Price]]</f>
        <v>6.1107035628123812E-3</v>
      </c>
      <c r="U915" s="2" t="str">
        <f>IF(SalesData[[#This Row],[Unit_Margin]]&lt;0, "Negative margin", "Positive margin")</f>
        <v>Positive margin</v>
      </c>
      <c r="V915" s="2" t="str">
        <f>IF(SalesData[[#This Row],[Profit]]&lt;0, "Loss", "Profit")</f>
        <v>Loss</v>
      </c>
      <c r="W915" s="2">
        <f>SalesData[[#This Row],[Unit_Price]]*(1-SalesData[[#This Row],[Discount]])</f>
        <v>2353.6406000000002</v>
      </c>
      <c r="X915" s="2">
        <f>SalesData[[#This Row],[Effective_Unit_Price]]-SalesData[[#This Row],[Unit_Cost]]</f>
        <v>-274.73939999999993</v>
      </c>
      <c r="Y915" s="2" t="str">
        <f>IF(SalesData[[#This Row],[Effective_Unit_Margin]]&lt;0,"Loss per Unit","Positive per Unit")</f>
        <v>Loss per Unit</v>
      </c>
    </row>
    <row r="916" spans="1:25" x14ac:dyDescent="0.3">
      <c r="A916">
        <v>1027</v>
      </c>
      <c r="B916" s="1">
        <v>45032</v>
      </c>
      <c r="C916" t="s">
        <v>41</v>
      </c>
      <c r="D916" t="s">
        <v>33</v>
      </c>
      <c r="E916">
        <v>7</v>
      </c>
      <c r="F916" t="s">
        <v>25</v>
      </c>
      <c r="G916">
        <v>2371.85</v>
      </c>
      <c r="H916">
        <v>2457.29</v>
      </c>
      <c r="I916" t="s">
        <v>29</v>
      </c>
      <c r="J916" s="2">
        <v>0.03</v>
      </c>
      <c r="K916" t="s">
        <v>17</v>
      </c>
      <c r="L916" t="s">
        <v>21</v>
      </c>
      <c r="M916" t="s">
        <v>51</v>
      </c>
      <c r="N916">
        <f>SalesData[[#This Row],[Quantity_Sold]]*SalesData[[#This Row],[Unit_Cost]]</f>
        <v>16602.95</v>
      </c>
      <c r="O916">
        <f>SalesData[[#This Row],[Quantity_Sold]]*SalesData[[#This Row],[Unit_Price]]</f>
        <v>17201.03</v>
      </c>
      <c r="P916">
        <f>SalesData[[#This Row],[Gross_sales]]*(1-SalesData[[#This Row],[Discount]])</f>
        <v>16684.999099999997</v>
      </c>
      <c r="Q916" s="2">
        <f>SalesData[[#This Row],[Sales_amount]]-SalesData[[#This Row],[Total_Cost]]</f>
        <v>82.049099999996542</v>
      </c>
      <c r="R916" s="2">
        <f>SalesData[[#This Row],[Profit]]/SalesData[[#This Row],[Sales_amount]]</f>
        <v>4.9175369748744278E-3</v>
      </c>
      <c r="S916" s="2">
        <f>SalesData[[#This Row],[Unit_Price]]-SalesData[[#This Row],[Unit_Cost]]</f>
        <v>85.440000000000055</v>
      </c>
      <c r="T916" s="10">
        <f>SalesData[[#This Row],[Unit_Margin]]/SalesData[[#This Row],[Unit_Price]]</f>
        <v>3.477001086562842E-2</v>
      </c>
      <c r="U916" s="2" t="str">
        <f>IF(SalesData[[#This Row],[Unit_Margin]]&lt;0, "Negative margin", "Positive margin")</f>
        <v>Positive margin</v>
      </c>
      <c r="V916" s="2" t="str">
        <f>IF(SalesData[[#This Row],[Profit]]&lt;0, "Loss", "Profit")</f>
        <v>Profit</v>
      </c>
      <c r="W916" s="2">
        <f>SalesData[[#This Row],[Unit_Price]]*(1-SalesData[[#This Row],[Discount]])</f>
        <v>2383.5713000000001</v>
      </c>
      <c r="X916" s="2">
        <f>SalesData[[#This Row],[Effective_Unit_Price]]-SalesData[[#This Row],[Unit_Cost]]</f>
        <v>11.721300000000156</v>
      </c>
      <c r="Y916" s="2" t="str">
        <f>IF(SalesData[[#This Row],[Effective_Unit_Margin]]&lt;0,"Loss per Unit","Positive per Unit")</f>
        <v>Positive per Unit</v>
      </c>
    </row>
    <row r="917" spans="1:25" x14ac:dyDescent="0.3">
      <c r="A917">
        <v>1093</v>
      </c>
      <c r="B917" s="1">
        <v>45231</v>
      </c>
      <c r="C917" t="s">
        <v>32</v>
      </c>
      <c r="D917" t="s">
        <v>14</v>
      </c>
      <c r="E917">
        <v>46</v>
      </c>
      <c r="F917" t="s">
        <v>28</v>
      </c>
      <c r="G917">
        <v>401.64</v>
      </c>
      <c r="H917">
        <v>757.26</v>
      </c>
      <c r="I917" t="s">
        <v>29</v>
      </c>
      <c r="J917" s="2">
        <v>0.21</v>
      </c>
      <c r="K917" t="s">
        <v>30</v>
      </c>
      <c r="L917" t="s">
        <v>21</v>
      </c>
      <c r="M917" t="s">
        <v>52</v>
      </c>
      <c r="N917">
        <f>SalesData[[#This Row],[Quantity_Sold]]*SalesData[[#This Row],[Unit_Cost]]</f>
        <v>18475.439999999999</v>
      </c>
      <c r="O917">
        <f>SalesData[[#This Row],[Quantity_Sold]]*SalesData[[#This Row],[Unit_Price]]</f>
        <v>34833.96</v>
      </c>
      <c r="P917">
        <f>SalesData[[#This Row],[Gross_sales]]*(1-SalesData[[#This Row],[Discount]])</f>
        <v>27518.828400000002</v>
      </c>
      <c r="Q917" s="2">
        <f>SalesData[[#This Row],[Sales_amount]]-SalesData[[#This Row],[Total_Cost]]</f>
        <v>9043.3884000000035</v>
      </c>
      <c r="R917" s="2">
        <f>SalesData[[#This Row],[Profit]]/SalesData[[#This Row],[Sales_amount]]</f>
        <v>0.32862548755891086</v>
      </c>
      <c r="S917" s="2">
        <f>SalesData[[#This Row],[Unit_Price]]-SalesData[[#This Row],[Unit_Cost]]</f>
        <v>355.62</v>
      </c>
      <c r="T917" s="10">
        <f>SalesData[[#This Row],[Unit_Margin]]/SalesData[[#This Row],[Unit_Price]]</f>
        <v>0.46961413517153949</v>
      </c>
      <c r="U917" s="2" t="str">
        <f>IF(SalesData[[#This Row],[Unit_Margin]]&lt;0, "Negative margin", "Positive margin")</f>
        <v>Positive margin</v>
      </c>
      <c r="V917" s="2" t="str">
        <f>IF(SalesData[[#This Row],[Profit]]&lt;0, "Loss", "Profit")</f>
        <v>Profit</v>
      </c>
      <c r="W917" s="2">
        <f>SalesData[[#This Row],[Unit_Price]]*(1-SalesData[[#This Row],[Discount]])</f>
        <v>598.23540000000003</v>
      </c>
      <c r="X917" s="2">
        <f>SalesData[[#This Row],[Effective_Unit_Price]]-SalesData[[#This Row],[Unit_Cost]]</f>
        <v>196.59540000000004</v>
      </c>
      <c r="Y917" s="2" t="str">
        <f>IF(SalesData[[#This Row],[Effective_Unit_Margin]]&lt;0,"Loss per Unit","Positive per Unit")</f>
        <v>Positive per Unit</v>
      </c>
    </row>
    <row r="918" spans="1:25" x14ac:dyDescent="0.3">
      <c r="A918">
        <v>1032</v>
      </c>
      <c r="B918" s="1">
        <v>45286</v>
      </c>
      <c r="C918" t="s">
        <v>23</v>
      </c>
      <c r="D918" t="s">
        <v>24</v>
      </c>
      <c r="E918">
        <v>11</v>
      </c>
      <c r="F918" t="s">
        <v>28</v>
      </c>
      <c r="G918">
        <v>4100.62</v>
      </c>
      <c r="H918">
        <v>4230</v>
      </c>
      <c r="I918" t="s">
        <v>29</v>
      </c>
      <c r="J918" s="2">
        <v>0.28999999999999998</v>
      </c>
      <c r="K918" t="s">
        <v>26</v>
      </c>
      <c r="L918" t="s">
        <v>18</v>
      </c>
      <c r="M918" t="s">
        <v>27</v>
      </c>
      <c r="N918">
        <f>SalesData[[#This Row],[Quantity_Sold]]*SalesData[[#This Row],[Unit_Cost]]</f>
        <v>45106.82</v>
      </c>
      <c r="O918">
        <f>SalesData[[#This Row],[Quantity_Sold]]*SalesData[[#This Row],[Unit_Price]]</f>
        <v>46530</v>
      </c>
      <c r="P918">
        <f>SalesData[[#This Row],[Gross_sales]]*(1-SalesData[[#This Row],[Discount]])</f>
        <v>33036.299999999996</v>
      </c>
      <c r="Q918" s="2">
        <f>SalesData[[#This Row],[Sales_amount]]-SalesData[[#This Row],[Total_Cost]]</f>
        <v>-12070.520000000004</v>
      </c>
      <c r="R918" s="2">
        <f>SalesData[[#This Row],[Profit]]/SalesData[[#This Row],[Sales_amount]]</f>
        <v>-0.3653714247660908</v>
      </c>
      <c r="S918" s="2">
        <f>SalesData[[#This Row],[Unit_Price]]-SalesData[[#This Row],[Unit_Cost]]</f>
        <v>129.38000000000011</v>
      </c>
      <c r="T918" s="10">
        <f>SalesData[[#This Row],[Unit_Margin]]/SalesData[[#This Row],[Unit_Price]]</f>
        <v>3.0586288416075677E-2</v>
      </c>
      <c r="U918" s="2" t="str">
        <f>IF(SalesData[[#This Row],[Unit_Margin]]&lt;0, "Negative margin", "Positive margin")</f>
        <v>Positive margin</v>
      </c>
      <c r="V918" s="2" t="str">
        <f>IF(SalesData[[#This Row],[Profit]]&lt;0, "Loss", "Profit")</f>
        <v>Loss</v>
      </c>
      <c r="W918" s="2">
        <f>SalesData[[#This Row],[Unit_Price]]*(1-SalesData[[#This Row],[Discount]])</f>
        <v>3003.2999999999997</v>
      </c>
      <c r="X918" s="2">
        <f>SalesData[[#This Row],[Effective_Unit_Price]]-SalesData[[#This Row],[Unit_Cost]]</f>
        <v>-1097.3200000000002</v>
      </c>
      <c r="Y918" s="2" t="str">
        <f>IF(SalesData[[#This Row],[Effective_Unit_Margin]]&lt;0,"Loss per Unit","Positive per Unit")</f>
        <v>Loss per Unit</v>
      </c>
    </row>
    <row r="919" spans="1:25" x14ac:dyDescent="0.3">
      <c r="A919">
        <v>1050</v>
      </c>
      <c r="B919" s="1">
        <v>45243</v>
      </c>
      <c r="C919" t="s">
        <v>41</v>
      </c>
      <c r="D919" t="s">
        <v>14</v>
      </c>
      <c r="E919">
        <v>28</v>
      </c>
      <c r="F919" t="s">
        <v>25</v>
      </c>
      <c r="G919">
        <v>1711.63</v>
      </c>
      <c r="H919">
        <v>1951.24</v>
      </c>
      <c r="I919" t="s">
        <v>29</v>
      </c>
      <c r="J919" s="2">
        <v>0.22</v>
      </c>
      <c r="K919" t="s">
        <v>17</v>
      </c>
      <c r="L919" t="s">
        <v>18</v>
      </c>
      <c r="M919" t="s">
        <v>48</v>
      </c>
      <c r="N919">
        <f>SalesData[[#This Row],[Quantity_Sold]]*SalesData[[#This Row],[Unit_Cost]]</f>
        <v>47925.64</v>
      </c>
      <c r="O919">
        <f>SalesData[[#This Row],[Quantity_Sold]]*SalesData[[#This Row],[Unit_Price]]</f>
        <v>54634.720000000001</v>
      </c>
      <c r="P919">
        <f>SalesData[[#This Row],[Gross_sales]]*(1-SalesData[[#This Row],[Discount]])</f>
        <v>42615.081600000005</v>
      </c>
      <c r="Q919" s="2">
        <f>SalesData[[#This Row],[Sales_amount]]-SalesData[[#This Row],[Total_Cost]]</f>
        <v>-5310.5583999999944</v>
      </c>
      <c r="R919" s="2">
        <f>SalesData[[#This Row],[Profit]]/SalesData[[#This Row],[Sales_amount]]</f>
        <v>-0.12461687742022284</v>
      </c>
      <c r="S919" s="2">
        <f>SalesData[[#This Row],[Unit_Price]]-SalesData[[#This Row],[Unit_Cost]]</f>
        <v>239.6099999999999</v>
      </c>
      <c r="T919" s="10">
        <f>SalesData[[#This Row],[Unit_Margin]]/SalesData[[#This Row],[Unit_Price]]</f>
        <v>0.12279883561222601</v>
      </c>
      <c r="U919" s="2" t="str">
        <f>IF(SalesData[[#This Row],[Unit_Margin]]&lt;0, "Negative margin", "Positive margin")</f>
        <v>Positive margin</v>
      </c>
      <c r="V919" s="2" t="str">
        <f>IF(SalesData[[#This Row],[Profit]]&lt;0, "Loss", "Profit")</f>
        <v>Loss</v>
      </c>
      <c r="W919" s="2">
        <f>SalesData[[#This Row],[Unit_Price]]*(1-SalesData[[#This Row],[Discount]])</f>
        <v>1521.9672</v>
      </c>
      <c r="X919" s="2">
        <f>SalesData[[#This Row],[Effective_Unit_Price]]-SalesData[[#This Row],[Unit_Cost]]</f>
        <v>-189.66280000000006</v>
      </c>
      <c r="Y919" s="2" t="str">
        <f>IF(SalesData[[#This Row],[Effective_Unit_Margin]]&lt;0,"Loss per Unit","Positive per Unit")</f>
        <v>Loss per Unit</v>
      </c>
    </row>
    <row r="920" spans="1:25" x14ac:dyDescent="0.3">
      <c r="A920">
        <v>1061</v>
      </c>
      <c r="B920" s="1">
        <v>45049</v>
      </c>
      <c r="C920" t="s">
        <v>13</v>
      </c>
      <c r="D920" t="s">
        <v>24</v>
      </c>
      <c r="E920">
        <v>41</v>
      </c>
      <c r="F920" t="s">
        <v>15</v>
      </c>
      <c r="G920">
        <v>2894.18</v>
      </c>
      <c r="H920">
        <v>3193.92</v>
      </c>
      <c r="I920" t="s">
        <v>29</v>
      </c>
      <c r="J920" s="2">
        <v>0.28000000000000003</v>
      </c>
      <c r="K920" t="s">
        <v>26</v>
      </c>
      <c r="L920" t="s">
        <v>21</v>
      </c>
      <c r="M920" t="s">
        <v>31</v>
      </c>
      <c r="N920">
        <f>SalesData[[#This Row],[Quantity_Sold]]*SalesData[[#This Row],[Unit_Cost]]</f>
        <v>118661.37999999999</v>
      </c>
      <c r="O920">
        <f>SalesData[[#This Row],[Quantity_Sold]]*SalesData[[#This Row],[Unit_Price]]</f>
        <v>130950.72</v>
      </c>
      <c r="P920">
        <f>SalesData[[#This Row],[Gross_sales]]*(1-SalesData[[#This Row],[Discount]])</f>
        <v>94284.518400000001</v>
      </c>
      <c r="Q920" s="2">
        <f>SalesData[[#This Row],[Sales_amount]]-SalesData[[#This Row],[Total_Cost]]</f>
        <v>-24376.861599999989</v>
      </c>
      <c r="R920" s="2">
        <f>SalesData[[#This Row],[Profit]]/SalesData[[#This Row],[Sales_amount]]</f>
        <v>-0.25854575081543812</v>
      </c>
      <c r="S920" s="2">
        <f>SalesData[[#This Row],[Unit_Price]]-SalesData[[#This Row],[Unit_Cost]]</f>
        <v>299.74000000000024</v>
      </c>
      <c r="T920" s="10">
        <f>SalesData[[#This Row],[Unit_Margin]]/SalesData[[#This Row],[Unit_Price]]</f>
        <v>9.3847059412884556E-2</v>
      </c>
      <c r="U920" s="2" t="str">
        <f>IF(SalesData[[#This Row],[Unit_Margin]]&lt;0, "Negative margin", "Positive margin")</f>
        <v>Positive margin</v>
      </c>
      <c r="V920" s="2" t="str">
        <f>IF(SalesData[[#This Row],[Profit]]&lt;0, "Loss", "Profit")</f>
        <v>Loss</v>
      </c>
      <c r="W920" s="2">
        <f>SalesData[[#This Row],[Unit_Price]]*(1-SalesData[[#This Row],[Discount]])</f>
        <v>2299.6223999999997</v>
      </c>
      <c r="X920" s="2">
        <f>SalesData[[#This Row],[Effective_Unit_Price]]-SalesData[[#This Row],[Unit_Cost]]</f>
        <v>-594.55760000000009</v>
      </c>
      <c r="Y920" s="2" t="str">
        <f>IF(SalesData[[#This Row],[Effective_Unit_Margin]]&lt;0,"Loss per Unit","Positive per Unit")</f>
        <v>Loss per Unit</v>
      </c>
    </row>
    <row r="921" spans="1:25" x14ac:dyDescent="0.3">
      <c r="A921">
        <v>1051</v>
      </c>
      <c r="B921" s="1">
        <v>44935</v>
      </c>
      <c r="C921" t="s">
        <v>23</v>
      </c>
      <c r="D921" t="s">
        <v>24</v>
      </c>
      <c r="E921">
        <v>23</v>
      </c>
      <c r="F921" t="s">
        <v>15</v>
      </c>
      <c r="G921">
        <v>2598.1799999999998</v>
      </c>
      <c r="H921">
        <v>3042.73</v>
      </c>
      <c r="I921" t="s">
        <v>16</v>
      </c>
      <c r="J921" s="2">
        <v>0.24</v>
      </c>
      <c r="K921" t="s">
        <v>30</v>
      </c>
      <c r="L921" t="s">
        <v>18</v>
      </c>
      <c r="M921" t="s">
        <v>27</v>
      </c>
      <c r="N921">
        <f>SalesData[[#This Row],[Quantity_Sold]]*SalesData[[#This Row],[Unit_Cost]]</f>
        <v>59758.14</v>
      </c>
      <c r="O921">
        <f>SalesData[[#This Row],[Quantity_Sold]]*SalesData[[#This Row],[Unit_Price]]</f>
        <v>69982.789999999994</v>
      </c>
      <c r="P921">
        <f>SalesData[[#This Row],[Gross_sales]]*(1-SalesData[[#This Row],[Discount]])</f>
        <v>53186.920399999995</v>
      </c>
      <c r="Q921" s="2">
        <f>SalesData[[#This Row],[Sales_amount]]-SalesData[[#This Row],[Total_Cost]]</f>
        <v>-6571.219600000004</v>
      </c>
      <c r="R921" s="2">
        <f>SalesData[[#This Row],[Profit]]/SalesData[[#This Row],[Sales_amount]]</f>
        <v>-0.12354954095067336</v>
      </c>
      <c r="S921" s="2">
        <f>SalesData[[#This Row],[Unit_Price]]-SalesData[[#This Row],[Unit_Cost]]</f>
        <v>444.55000000000018</v>
      </c>
      <c r="T921" s="10">
        <f>SalesData[[#This Row],[Unit_Margin]]/SalesData[[#This Row],[Unit_Price]]</f>
        <v>0.14610234887748838</v>
      </c>
      <c r="U921" s="2" t="str">
        <f>IF(SalesData[[#This Row],[Unit_Margin]]&lt;0, "Negative margin", "Positive margin")</f>
        <v>Positive margin</v>
      </c>
      <c r="V921" s="2" t="str">
        <f>IF(SalesData[[#This Row],[Profit]]&lt;0, "Loss", "Profit")</f>
        <v>Loss</v>
      </c>
      <c r="W921" s="2">
        <f>SalesData[[#This Row],[Unit_Price]]*(1-SalesData[[#This Row],[Discount]])</f>
        <v>2312.4748</v>
      </c>
      <c r="X921" s="2">
        <f>SalesData[[#This Row],[Effective_Unit_Price]]-SalesData[[#This Row],[Unit_Cost]]</f>
        <v>-285.70519999999988</v>
      </c>
      <c r="Y921" s="2" t="str">
        <f>IF(SalesData[[#This Row],[Effective_Unit_Margin]]&lt;0,"Loss per Unit","Positive per Unit")</f>
        <v>Loss per Unit</v>
      </c>
    </row>
    <row r="922" spans="1:25" x14ac:dyDescent="0.3">
      <c r="A922">
        <v>1019</v>
      </c>
      <c r="B922" s="1">
        <v>45188</v>
      </c>
      <c r="C922" t="s">
        <v>32</v>
      </c>
      <c r="D922" t="s">
        <v>20</v>
      </c>
      <c r="E922">
        <v>45</v>
      </c>
      <c r="F922" t="s">
        <v>28</v>
      </c>
      <c r="G922">
        <v>2590.64</v>
      </c>
      <c r="H922">
        <v>3036.18</v>
      </c>
      <c r="I922" t="s">
        <v>29</v>
      </c>
      <c r="J922" s="2">
        <v>0.05</v>
      </c>
      <c r="K922" t="s">
        <v>26</v>
      </c>
      <c r="L922" t="s">
        <v>21</v>
      </c>
      <c r="M922" t="s">
        <v>36</v>
      </c>
      <c r="N922">
        <f>SalesData[[#This Row],[Quantity_Sold]]*SalesData[[#This Row],[Unit_Cost]]</f>
        <v>116578.79999999999</v>
      </c>
      <c r="O922">
        <f>SalesData[[#This Row],[Quantity_Sold]]*SalesData[[#This Row],[Unit_Price]]</f>
        <v>136628.1</v>
      </c>
      <c r="P922">
        <f>SalesData[[#This Row],[Gross_sales]]*(1-SalesData[[#This Row],[Discount]])</f>
        <v>129796.69499999999</v>
      </c>
      <c r="Q922" s="2">
        <f>SalesData[[#This Row],[Sales_amount]]-SalesData[[#This Row],[Total_Cost]]</f>
        <v>13217.895000000004</v>
      </c>
      <c r="R922" s="2">
        <f>SalesData[[#This Row],[Profit]]/SalesData[[#This Row],[Sales_amount]]</f>
        <v>0.10183537415956551</v>
      </c>
      <c r="S922" s="2">
        <f>SalesData[[#This Row],[Unit_Price]]-SalesData[[#This Row],[Unit_Cost]]</f>
        <v>445.53999999999996</v>
      </c>
      <c r="T922" s="10">
        <f>SalesData[[#This Row],[Unit_Margin]]/SalesData[[#This Row],[Unit_Price]]</f>
        <v>0.14674360545158718</v>
      </c>
      <c r="U922" s="2" t="str">
        <f>IF(SalesData[[#This Row],[Unit_Margin]]&lt;0, "Negative margin", "Positive margin")</f>
        <v>Positive margin</v>
      </c>
      <c r="V922" s="2" t="str">
        <f>IF(SalesData[[#This Row],[Profit]]&lt;0, "Loss", "Profit")</f>
        <v>Profit</v>
      </c>
      <c r="W922" s="2">
        <f>SalesData[[#This Row],[Unit_Price]]*(1-SalesData[[#This Row],[Discount]])</f>
        <v>2884.3709999999996</v>
      </c>
      <c r="X922" s="2">
        <f>SalesData[[#This Row],[Effective_Unit_Price]]-SalesData[[#This Row],[Unit_Cost]]</f>
        <v>293.73099999999977</v>
      </c>
      <c r="Y922" s="2" t="str">
        <f>IF(SalesData[[#This Row],[Effective_Unit_Margin]]&lt;0,"Loss per Unit","Positive per Unit")</f>
        <v>Positive per Unit</v>
      </c>
    </row>
    <row r="923" spans="1:25" x14ac:dyDescent="0.3">
      <c r="A923">
        <v>1021</v>
      </c>
      <c r="B923" s="1">
        <v>44999</v>
      </c>
      <c r="C923" t="s">
        <v>23</v>
      </c>
      <c r="D923" t="s">
        <v>24</v>
      </c>
      <c r="E923">
        <v>23</v>
      </c>
      <c r="F923" t="s">
        <v>25</v>
      </c>
      <c r="G923">
        <v>580.75</v>
      </c>
      <c r="H923">
        <v>956.16</v>
      </c>
      <c r="I923" t="s">
        <v>16</v>
      </c>
      <c r="J923" s="2">
        <v>7.0000000000000007E-2</v>
      </c>
      <c r="K923" t="s">
        <v>17</v>
      </c>
      <c r="L923" t="s">
        <v>21</v>
      </c>
      <c r="M923" t="s">
        <v>27</v>
      </c>
      <c r="N923">
        <f>SalesData[[#This Row],[Quantity_Sold]]*SalesData[[#This Row],[Unit_Cost]]</f>
        <v>13357.25</v>
      </c>
      <c r="O923">
        <f>SalesData[[#This Row],[Quantity_Sold]]*SalesData[[#This Row],[Unit_Price]]</f>
        <v>21991.68</v>
      </c>
      <c r="P923">
        <f>SalesData[[#This Row],[Gross_sales]]*(1-SalesData[[#This Row],[Discount]])</f>
        <v>20452.2624</v>
      </c>
      <c r="Q923" s="2">
        <f>SalesData[[#This Row],[Sales_amount]]-SalesData[[#This Row],[Total_Cost]]</f>
        <v>7095.0123999999996</v>
      </c>
      <c r="R923" s="2">
        <f>SalesData[[#This Row],[Profit]]/SalesData[[#This Row],[Sales_amount]]</f>
        <v>0.34690599314822013</v>
      </c>
      <c r="S923" s="2">
        <f>SalesData[[#This Row],[Unit_Price]]-SalesData[[#This Row],[Unit_Cost]]</f>
        <v>375.40999999999997</v>
      </c>
      <c r="T923" s="10">
        <f>SalesData[[#This Row],[Unit_Margin]]/SalesData[[#This Row],[Unit_Price]]</f>
        <v>0.3926225736278447</v>
      </c>
      <c r="U923" s="2" t="str">
        <f>IF(SalesData[[#This Row],[Unit_Margin]]&lt;0, "Negative margin", "Positive margin")</f>
        <v>Positive margin</v>
      </c>
      <c r="V923" s="2" t="str">
        <f>IF(SalesData[[#This Row],[Profit]]&lt;0, "Loss", "Profit")</f>
        <v>Profit</v>
      </c>
      <c r="W923" s="2">
        <f>SalesData[[#This Row],[Unit_Price]]*(1-SalesData[[#This Row],[Discount]])</f>
        <v>889.22879999999986</v>
      </c>
      <c r="X923" s="2">
        <f>SalesData[[#This Row],[Effective_Unit_Price]]-SalesData[[#This Row],[Unit_Cost]]</f>
        <v>308.47879999999986</v>
      </c>
      <c r="Y923" s="2" t="str">
        <f>IF(SalesData[[#This Row],[Effective_Unit_Margin]]&lt;0,"Loss per Unit","Positive per Unit")</f>
        <v>Positive per Unit</v>
      </c>
    </row>
    <row r="924" spans="1:25" x14ac:dyDescent="0.3">
      <c r="A924">
        <v>1005</v>
      </c>
      <c r="B924" s="1">
        <v>45285</v>
      </c>
      <c r="C924" t="s">
        <v>41</v>
      </c>
      <c r="D924" t="s">
        <v>24</v>
      </c>
      <c r="E924">
        <v>28</v>
      </c>
      <c r="F924" t="s">
        <v>15</v>
      </c>
      <c r="G924">
        <v>2146.2399999999998</v>
      </c>
      <c r="H924">
        <v>2173.4699999999998</v>
      </c>
      <c r="I924" t="s">
        <v>16</v>
      </c>
      <c r="J924" s="2">
        <v>0.1</v>
      </c>
      <c r="K924" t="s">
        <v>17</v>
      </c>
      <c r="L924" t="s">
        <v>21</v>
      </c>
      <c r="M924" t="s">
        <v>42</v>
      </c>
      <c r="N924">
        <f>SalesData[[#This Row],[Quantity_Sold]]*SalesData[[#This Row],[Unit_Cost]]</f>
        <v>60094.719999999994</v>
      </c>
      <c r="O924">
        <f>SalesData[[#This Row],[Quantity_Sold]]*SalesData[[#This Row],[Unit_Price]]</f>
        <v>60857.159999999996</v>
      </c>
      <c r="P924">
        <f>SalesData[[#This Row],[Gross_sales]]*(1-SalesData[[#This Row],[Discount]])</f>
        <v>54771.443999999996</v>
      </c>
      <c r="Q924" s="2">
        <f>SalesData[[#This Row],[Sales_amount]]-SalesData[[#This Row],[Total_Cost]]</f>
        <v>-5323.275999999998</v>
      </c>
      <c r="R924" s="2">
        <f>SalesData[[#This Row],[Profit]]/SalesData[[#This Row],[Sales_amount]]</f>
        <v>-9.7190718579557592E-2</v>
      </c>
      <c r="S924" s="2">
        <f>SalesData[[#This Row],[Unit_Price]]-SalesData[[#This Row],[Unit_Cost]]</f>
        <v>27.230000000000018</v>
      </c>
      <c r="T924" s="10">
        <f>SalesData[[#This Row],[Unit_Margin]]/SalesData[[#This Row],[Unit_Price]]</f>
        <v>1.2528353278398147E-2</v>
      </c>
      <c r="U924" s="2" t="str">
        <f>IF(SalesData[[#This Row],[Unit_Margin]]&lt;0, "Negative margin", "Positive margin")</f>
        <v>Positive margin</v>
      </c>
      <c r="V924" s="2" t="str">
        <f>IF(SalesData[[#This Row],[Profit]]&lt;0, "Loss", "Profit")</f>
        <v>Loss</v>
      </c>
      <c r="W924" s="2">
        <f>SalesData[[#This Row],[Unit_Price]]*(1-SalesData[[#This Row],[Discount]])</f>
        <v>1956.1229999999998</v>
      </c>
      <c r="X924" s="2">
        <f>SalesData[[#This Row],[Effective_Unit_Price]]-SalesData[[#This Row],[Unit_Cost]]</f>
        <v>-190.11699999999996</v>
      </c>
      <c r="Y924" s="2" t="str">
        <f>IF(SalesData[[#This Row],[Effective_Unit_Margin]]&lt;0,"Loss per Unit","Positive per Unit")</f>
        <v>Loss per Unit</v>
      </c>
    </row>
    <row r="925" spans="1:25" x14ac:dyDescent="0.3">
      <c r="A925">
        <v>1082</v>
      </c>
      <c r="B925" s="1">
        <v>45149</v>
      </c>
      <c r="C925" t="s">
        <v>32</v>
      </c>
      <c r="D925" t="s">
        <v>14</v>
      </c>
      <c r="E925">
        <v>43</v>
      </c>
      <c r="F925" t="s">
        <v>15</v>
      </c>
      <c r="G925">
        <v>2289.2199999999998</v>
      </c>
      <c r="H925">
        <v>2581</v>
      </c>
      <c r="I925" t="s">
        <v>29</v>
      </c>
      <c r="J925" s="2">
        <v>0.05</v>
      </c>
      <c r="K925" t="s">
        <v>26</v>
      </c>
      <c r="L925" t="s">
        <v>18</v>
      </c>
      <c r="M925" t="s">
        <v>52</v>
      </c>
      <c r="N925">
        <f>SalesData[[#This Row],[Quantity_Sold]]*SalesData[[#This Row],[Unit_Cost]]</f>
        <v>98436.459999999992</v>
      </c>
      <c r="O925">
        <f>SalesData[[#This Row],[Quantity_Sold]]*SalesData[[#This Row],[Unit_Price]]</f>
        <v>110983</v>
      </c>
      <c r="P925">
        <f>SalesData[[#This Row],[Gross_sales]]*(1-SalesData[[#This Row],[Discount]])</f>
        <v>105433.84999999999</v>
      </c>
      <c r="Q925" s="2">
        <f>SalesData[[#This Row],[Sales_amount]]-SalesData[[#This Row],[Total_Cost]]</f>
        <v>6997.3899999999994</v>
      </c>
      <c r="R925" s="2">
        <f>SalesData[[#This Row],[Profit]]/SalesData[[#This Row],[Sales_amount]]</f>
        <v>6.6367584983380579E-2</v>
      </c>
      <c r="S925" s="2">
        <f>SalesData[[#This Row],[Unit_Price]]-SalesData[[#This Row],[Unit_Cost]]</f>
        <v>291.7800000000002</v>
      </c>
      <c r="T925" s="10">
        <f>SalesData[[#This Row],[Unit_Margin]]/SalesData[[#This Row],[Unit_Price]]</f>
        <v>0.11304920573421162</v>
      </c>
      <c r="U925" s="2" t="str">
        <f>IF(SalesData[[#This Row],[Unit_Margin]]&lt;0, "Negative margin", "Positive margin")</f>
        <v>Positive margin</v>
      </c>
      <c r="V925" s="2" t="str">
        <f>IF(SalesData[[#This Row],[Profit]]&lt;0, "Loss", "Profit")</f>
        <v>Profit</v>
      </c>
      <c r="W925" s="2">
        <f>SalesData[[#This Row],[Unit_Price]]*(1-SalesData[[#This Row],[Discount]])</f>
        <v>2451.9499999999998</v>
      </c>
      <c r="X925" s="2">
        <f>SalesData[[#This Row],[Effective_Unit_Price]]-SalesData[[#This Row],[Unit_Cost]]</f>
        <v>162.73000000000002</v>
      </c>
      <c r="Y925" s="2" t="str">
        <f>IF(SalesData[[#This Row],[Effective_Unit_Margin]]&lt;0,"Loss per Unit","Positive per Unit")</f>
        <v>Positive per Unit</v>
      </c>
    </row>
    <row r="926" spans="1:25" x14ac:dyDescent="0.3">
      <c r="A926">
        <v>1092</v>
      </c>
      <c r="B926" s="1">
        <v>44967</v>
      </c>
      <c r="C926" t="s">
        <v>13</v>
      </c>
      <c r="D926" t="s">
        <v>33</v>
      </c>
      <c r="E926">
        <v>47</v>
      </c>
      <c r="F926" t="s">
        <v>15</v>
      </c>
      <c r="G926">
        <v>3681.53</v>
      </c>
      <c r="H926">
        <v>4076.96</v>
      </c>
      <c r="I926" t="s">
        <v>16</v>
      </c>
      <c r="J926" s="2">
        <v>0.17</v>
      </c>
      <c r="K926" t="s">
        <v>17</v>
      </c>
      <c r="L926" t="s">
        <v>21</v>
      </c>
      <c r="M926" t="s">
        <v>45</v>
      </c>
      <c r="N926">
        <f>SalesData[[#This Row],[Quantity_Sold]]*SalesData[[#This Row],[Unit_Cost]]</f>
        <v>173031.91</v>
      </c>
      <c r="O926">
        <f>SalesData[[#This Row],[Quantity_Sold]]*SalesData[[#This Row],[Unit_Price]]</f>
        <v>191617.12</v>
      </c>
      <c r="P926">
        <f>SalesData[[#This Row],[Gross_sales]]*(1-SalesData[[#This Row],[Discount]])</f>
        <v>159042.2096</v>
      </c>
      <c r="Q926" s="2">
        <f>SalesData[[#This Row],[Sales_amount]]-SalesData[[#This Row],[Total_Cost]]</f>
        <v>-13989.700400000002</v>
      </c>
      <c r="R926" s="2">
        <f>SalesData[[#This Row],[Profit]]/SalesData[[#This Row],[Sales_amount]]</f>
        <v>-8.7962185857357461E-2</v>
      </c>
      <c r="S926" s="2">
        <f>SalesData[[#This Row],[Unit_Price]]-SalesData[[#This Row],[Unit_Cost]]</f>
        <v>395.42999999999984</v>
      </c>
      <c r="T926" s="10">
        <f>SalesData[[#This Row],[Unit_Margin]]/SalesData[[#This Row],[Unit_Price]]</f>
        <v>9.6991385738393276E-2</v>
      </c>
      <c r="U926" s="2" t="str">
        <f>IF(SalesData[[#This Row],[Unit_Margin]]&lt;0, "Negative margin", "Positive margin")</f>
        <v>Positive margin</v>
      </c>
      <c r="V926" s="2" t="str">
        <f>IF(SalesData[[#This Row],[Profit]]&lt;0, "Loss", "Profit")</f>
        <v>Loss</v>
      </c>
      <c r="W926" s="2">
        <f>SalesData[[#This Row],[Unit_Price]]*(1-SalesData[[#This Row],[Discount]])</f>
        <v>3383.8768</v>
      </c>
      <c r="X926" s="2">
        <f>SalesData[[#This Row],[Effective_Unit_Price]]-SalesData[[#This Row],[Unit_Cost]]</f>
        <v>-297.6532000000002</v>
      </c>
      <c r="Y926" s="2" t="str">
        <f>IF(SalesData[[#This Row],[Effective_Unit_Margin]]&lt;0,"Loss per Unit","Positive per Unit")</f>
        <v>Loss per Unit</v>
      </c>
    </row>
    <row r="927" spans="1:25" x14ac:dyDescent="0.3">
      <c r="A927">
        <v>1042</v>
      </c>
      <c r="B927" s="1">
        <v>45130</v>
      </c>
      <c r="C927" t="s">
        <v>32</v>
      </c>
      <c r="D927" t="s">
        <v>20</v>
      </c>
      <c r="E927">
        <v>26</v>
      </c>
      <c r="F927" t="s">
        <v>34</v>
      </c>
      <c r="G927">
        <v>4208.09</v>
      </c>
      <c r="H927">
        <v>4226.5600000000004</v>
      </c>
      <c r="I927" t="s">
        <v>16</v>
      </c>
      <c r="J927" s="2">
        <v>0.28999999999999998</v>
      </c>
      <c r="K927" t="s">
        <v>17</v>
      </c>
      <c r="L927" t="s">
        <v>21</v>
      </c>
      <c r="M927" t="s">
        <v>36</v>
      </c>
      <c r="N927">
        <f>SalesData[[#This Row],[Quantity_Sold]]*SalesData[[#This Row],[Unit_Cost]]</f>
        <v>109410.34</v>
      </c>
      <c r="O927">
        <f>SalesData[[#This Row],[Quantity_Sold]]*SalesData[[#This Row],[Unit_Price]]</f>
        <v>109890.56000000001</v>
      </c>
      <c r="P927">
        <f>SalesData[[#This Row],[Gross_sales]]*(1-SalesData[[#This Row],[Discount]])</f>
        <v>78022.297600000005</v>
      </c>
      <c r="Q927" s="2">
        <f>SalesData[[#This Row],[Sales_amount]]-SalesData[[#This Row],[Total_Cost]]</f>
        <v>-31388.042399999991</v>
      </c>
      <c r="R927" s="2">
        <f>SalesData[[#This Row],[Profit]]/SalesData[[#This Row],[Sales_amount]]</f>
        <v>-0.4022957970414856</v>
      </c>
      <c r="S927" s="2">
        <f>SalesData[[#This Row],[Unit_Price]]-SalesData[[#This Row],[Unit_Cost]]</f>
        <v>18.470000000000255</v>
      </c>
      <c r="T927" s="10">
        <f>SalesData[[#This Row],[Unit_Margin]]/SalesData[[#This Row],[Unit_Price]]</f>
        <v>4.3699841005451837E-3</v>
      </c>
      <c r="U927" s="2" t="str">
        <f>IF(SalesData[[#This Row],[Unit_Margin]]&lt;0, "Negative margin", "Positive margin")</f>
        <v>Positive margin</v>
      </c>
      <c r="V927" s="2" t="str">
        <f>IF(SalesData[[#This Row],[Profit]]&lt;0, "Loss", "Profit")</f>
        <v>Loss</v>
      </c>
      <c r="W927" s="2">
        <f>SalesData[[#This Row],[Unit_Price]]*(1-SalesData[[#This Row],[Discount]])</f>
        <v>3000.8576000000003</v>
      </c>
      <c r="X927" s="2">
        <f>SalesData[[#This Row],[Effective_Unit_Price]]-SalesData[[#This Row],[Unit_Cost]]</f>
        <v>-1207.2323999999999</v>
      </c>
      <c r="Y927" s="2" t="str">
        <f>IF(SalesData[[#This Row],[Effective_Unit_Margin]]&lt;0,"Loss per Unit","Positive per Unit")</f>
        <v>Loss per Unit</v>
      </c>
    </row>
    <row r="928" spans="1:25" x14ac:dyDescent="0.3">
      <c r="A928">
        <v>1061</v>
      </c>
      <c r="B928" s="1">
        <v>45190</v>
      </c>
      <c r="C928" t="s">
        <v>32</v>
      </c>
      <c r="D928" t="s">
        <v>24</v>
      </c>
      <c r="E928">
        <v>25</v>
      </c>
      <c r="F928" t="s">
        <v>25</v>
      </c>
      <c r="G928">
        <v>2747.66</v>
      </c>
      <c r="H928">
        <v>3027.0099999999902</v>
      </c>
      <c r="I928" t="s">
        <v>29</v>
      </c>
      <c r="J928" s="2">
        <v>0.23</v>
      </c>
      <c r="K928" t="s">
        <v>17</v>
      </c>
      <c r="L928" t="s">
        <v>18</v>
      </c>
      <c r="M928" t="s">
        <v>43</v>
      </c>
      <c r="N928">
        <f>SalesData[[#This Row],[Quantity_Sold]]*SalesData[[#This Row],[Unit_Cost]]</f>
        <v>68691.5</v>
      </c>
      <c r="O928">
        <f>SalesData[[#This Row],[Quantity_Sold]]*SalesData[[#This Row],[Unit_Price]]</f>
        <v>75675.249999999753</v>
      </c>
      <c r="P928">
        <f>SalesData[[#This Row],[Gross_sales]]*(1-SalesData[[#This Row],[Discount]])</f>
        <v>58269.942499999808</v>
      </c>
      <c r="Q928" s="2">
        <f>SalesData[[#This Row],[Sales_amount]]-SalesData[[#This Row],[Total_Cost]]</f>
        <v>-10421.557500000192</v>
      </c>
      <c r="R928" s="2">
        <f>SalesData[[#This Row],[Profit]]/SalesData[[#This Row],[Sales_amount]]</f>
        <v>-0.17884962731858242</v>
      </c>
      <c r="S928" s="2">
        <f>SalesData[[#This Row],[Unit_Price]]-SalesData[[#This Row],[Unit_Cost]]</f>
        <v>279.34999999999036</v>
      </c>
      <c r="T928" s="10">
        <f>SalesData[[#This Row],[Unit_Margin]]/SalesData[[#This Row],[Unit_Price]]</f>
        <v>9.2285786964691641E-2</v>
      </c>
      <c r="U928" s="2" t="str">
        <f>IF(SalesData[[#This Row],[Unit_Margin]]&lt;0, "Negative margin", "Positive margin")</f>
        <v>Positive margin</v>
      </c>
      <c r="V928" s="2" t="str">
        <f>IF(SalesData[[#This Row],[Profit]]&lt;0, "Loss", "Profit")</f>
        <v>Loss</v>
      </c>
      <c r="W928" s="2">
        <f>SalesData[[#This Row],[Unit_Price]]*(1-SalesData[[#This Row],[Discount]])</f>
        <v>2330.7976999999923</v>
      </c>
      <c r="X928" s="2">
        <f>SalesData[[#This Row],[Effective_Unit_Price]]-SalesData[[#This Row],[Unit_Cost]]</f>
        <v>-416.86230000000751</v>
      </c>
      <c r="Y928" s="2" t="str">
        <f>IF(SalesData[[#This Row],[Effective_Unit_Margin]]&lt;0,"Loss per Unit","Positive per Unit")</f>
        <v>Loss per Unit</v>
      </c>
    </row>
    <row r="929" spans="1:25" x14ac:dyDescent="0.3">
      <c r="A929">
        <v>1022</v>
      </c>
      <c r="B929" s="1">
        <v>45254</v>
      </c>
      <c r="C929" t="s">
        <v>37</v>
      </c>
      <c r="D929" t="s">
        <v>20</v>
      </c>
      <c r="E929">
        <v>29</v>
      </c>
      <c r="F929" t="s">
        <v>15</v>
      </c>
      <c r="G929">
        <v>479.58</v>
      </c>
      <c r="H929">
        <v>909.88</v>
      </c>
      <c r="I929" t="s">
        <v>16</v>
      </c>
      <c r="J929" s="2">
        <v>0.13</v>
      </c>
      <c r="K929" t="s">
        <v>30</v>
      </c>
      <c r="L929" t="s">
        <v>21</v>
      </c>
      <c r="M929" t="s">
        <v>40</v>
      </c>
      <c r="N929">
        <f>SalesData[[#This Row],[Quantity_Sold]]*SalesData[[#This Row],[Unit_Cost]]</f>
        <v>13907.82</v>
      </c>
      <c r="O929">
        <f>SalesData[[#This Row],[Quantity_Sold]]*SalesData[[#This Row],[Unit_Price]]</f>
        <v>26386.52</v>
      </c>
      <c r="P929">
        <f>SalesData[[#This Row],[Gross_sales]]*(1-SalesData[[#This Row],[Discount]])</f>
        <v>22956.272400000002</v>
      </c>
      <c r="Q929" s="2">
        <f>SalesData[[#This Row],[Sales_amount]]-SalesData[[#This Row],[Total_Cost]]</f>
        <v>9048.4524000000019</v>
      </c>
      <c r="R929" s="2">
        <f>SalesData[[#This Row],[Profit]]/SalesData[[#This Row],[Sales_amount]]</f>
        <v>0.39416035157345497</v>
      </c>
      <c r="S929" s="2">
        <f>SalesData[[#This Row],[Unit_Price]]-SalesData[[#This Row],[Unit_Cost]]</f>
        <v>430.3</v>
      </c>
      <c r="T929" s="10">
        <f>SalesData[[#This Row],[Unit_Margin]]/SalesData[[#This Row],[Unit_Price]]</f>
        <v>0.4729195058689058</v>
      </c>
      <c r="U929" s="2" t="str">
        <f>IF(SalesData[[#This Row],[Unit_Margin]]&lt;0, "Negative margin", "Positive margin")</f>
        <v>Positive margin</v>
      </c>
      <c r="V929" s="2" t="str">
        <f>IF(SalesData[[#This Row],[Profit]]&lt;0, "Loss", "Profit")</f>
        <v>Profit</v>
      </c>
      <c r="W929" s="2">
        <f>SalesData[[#This Row],[Unit_Price]]*(1-SalesData[[#This Row],[Discount]])</f>
        <v>791.59559999999999</v>
      </c>
      <c r="X929" s="2">
        <f>SalesData[[#This Row],[Effective_Unit_Price]]-SalesData[[#This Row],[Unit_Cost]]</f>
        <v>312.01560000000001</v>
      </c>
      <c r="Y929" s="2" t="str">
        <f>IF(SalesData[[#This Row],[Effective_Unit_Margin]]&lt;0,"Loss per Unit","Positive per Unit")</f>
        <v>Positive per Unit</v>
      </c>
    </row>
    <row r="930" spans="1:25" x14ac:dyDescent="0.3">
      <c r="A930">
        <v>1021</v>
      </c>
      <c r="B930" s="1">
        <v>45104</v>
      </c>
      <c r="C930" t="s">
        <v>32</v>
      </c>
      <c r="D930" t="s">
        <v>14</v>
      </c>
      <c r="E930">
        <v>19</v>
      </c>
      <c r="F930" t="s">
        <v>34</v>
      </c>
      <c r="G930">
        <v>1222.4000000000001</v>
      </c>
      <c r="H930">
        <v>1464.71</v>
      </c>
      <c r="I930" t="s">
        <v>29</v>
      </c>
      <c r="J930" s="2">
        <v>0</v>
      </c>
      <c r="K930" t="s">
        <v>30</v>
      </c>
      <c r="L930" t="s">
        <v>21</v>
      </c>
      <c r="M930" t="s">
        <v>52</v>
      </c>
      <c r="N930">
        <f>SalesData[[#This Row],[Quantity_Sold]]*SalesData[[#This Row],[Unit_Cost]]</f>
        <v>23225.600000000002</v>
      </c>
      <c r="O930">
        <f>SalesData[[#This Row],[Quantity_Sold]]*SalesData[[#This Row],[Unit_Price]]</f>
        <v>27829.49</v>
      </c>
      <c r="P930">
        <f>SalesData[[#This Row],[Gross_sales]]*(1-SalesData[[#This Row],[Discount]])</f>
        <v>27829.49</v>
      </c>
      <c r="Q930" s="2">
        <f>SalesData[[#This Row],[Sales_amount]]-SalesData[[#This Row],[Total_Cost]]</f>
        <v>4603.8899999999994</v>
      </c>
      <c r="R930" s="2">
        <f>SalesData[[#This Row],[Profit]]/SalesData[[#This Row],[Sales_amount]]</f>
        <v>0.16543206505041952</v>
      </c>
      <c r="S930" s="2">
        <f>SalesData[[#This Row],[Unit_Price]]-SalesData[[#This Row],[Unit_Cost]]</f>
        <v>242.30999999999995</v>
      </c>
      <c r="T930" s="10">
        <f>SalesData[[#This Row],[Unit_Margin]]/SalesData[[#This Row],[Unit_Price]]</f>
        <v>0.16543206505041949</v>
      </c>
      <c r="U930" s="2" t="str">
        <f>IF(SalesData[[#This Row],[Unit_Margin]]&lt;0, "Negative margin", "Positive margin")</f>
        <v>Positive margin</v>
      </c>
      <c r="V930" s="2" t="str">
        <f>IF(SalesData[[#This Row],[Profit]]&lt;0, "Loss", "Profit")</f>
        <v>Profit</v>
      </c>
      <c r="W930" s="2">
        <f>SalesData[[#This Row],[Unit_Price]]*(1-SalesData[[#This Row],[Discount]])</f>
        <v>1464.71</v>
      </c>
      <c r="X930" s="2">
        <f>SalesData[[#This Row],[Effective_Unit_Price]]-SalesData[[#This Row],[Unit_Cost]]</f>
        <v>242.30999999999995</v>
      </c>
      <c r="Y930" s="2" t="str">
        <f>IF(SalesData[[#This Row],[Effective_Unit_Margin]]&lt;0,"Loss per Unit","Positive per Unit")</f>
        <v>Positive per Unit</v>
      </c>
    </row>
    <row r="931" spans="1:25" x14ac:dyDescent="0.3">
      <c r="A931">
        <v>1070</v>
      </c>
      <c r="B931" s="1">
        <v>45274</v>
      </c>
      <c r="C931" t="s">
        <v>32</v>
      </c>
      <c r="D931" t="s">
        <v>24</v>
      </c>
      <c r="E931">
        <v>33</v>
      </c>
      <c r="F931" t="s">
        <v>25</v>
      </c>
      <c r="G931">
        <v>866.42</v>
      </c>
      <c r="H931">
        <v>878.43</v>
      </c>
      <c r="I931" t="s">
        <v>29</v>
      </c>
      <c r="J931" s="2">
        <v>0.09</v>
      </c>
      <c r="K931" t="s">
        <v>17</v>
      </c>
      <c r="L931" t="s">
        <v>21</v>
      </c>
      <c r="M931" t="s">
        <v>43</v>
      </c>
      <c r="N931">
        <f>SalesData[[#This Row],[Quantity_Sold]]*SalesData[[#This Row],[Unit_Cost]]</f>
        <v>28591.859999999997</v>
      </c>
      <c r="O931">
        <f>SalesData[[#This Row],[Quantity_Sold]]*SalesData[[#This Row],[Unit_Price]]</f>
        <v>28988.19</v>
      </c>
      <c r="P931">
        <f>SalesData[[#This Row],[Gross_sales]]*(1-SalesData[[#This Row],[Discount]])</f>
        <v>26379.252899999999</v>
      </c>
      <c r="Q931" s="2">
        <f>SalesData[[#This Row],[Sales_amount]]-SalesData[[#This Row],[Total_Cost]]</f>
        <v>-2212.6070999999974</v>
      </c>
      <c r="R931" s="2">
        <f>SalesData[[#This Row],[Profit]]/SalesData[[#This Row],[Sales_amount]]</f>
        <v>-8.3876791673656442E-2</v>
      </c>
      <c r="S931" s="2">
        <f>SalesData[[#This Row],[Unit_Price]]-SalesData[[#This Row],[Unit_Cost]]</f>
        <v>12.009999999999991</v>
      </c>
      <c r="T931" s="10">
        <f>SalesData[[#This Row],[Unit_Margin]]/SalesData[[#This Row],[Unit_Price]]</f>
        <v>1.3672119576972544E-2</v>
      </c>
      <c r="U931" s="2" t="str">
        <f>IF(SalesData[[#This Row],[Unit_Margin]]&lt;0, "Negative margin", "Positive margin")</f>
        <v>Positive margin</v>
      </c>
      <c r="V931" s="2" t="str">
        <f>IF(SalesData[[#This Row],[Profit]]&lt;0, "Loss", "Profit")</f>
        <v>Loss</v>
      </c>
      <c r="W931" s="2">
        <f>SalesData[[#This Row],[Unit_Price]]*(1-SalesData[[#This Row],[Discount]])</f>
        <v>799.37130000000002</v>
      </c>
      <c r="X931" s="2">
        <f>SalesData[[#This Row],[Effective_Unit_Price]]-SalesData[[#This Row],[Unit_Cost]]</f>
        <v>-67.04869999999994</v>
      </c>
      <c r="Y931" s="2" t="str">
        <f>IF(SalesData[[#This Row],[Effective_Unit_Margin]]&lt;0,"Loss per Unit","Positive per Unit")</f>
        <v>Loss per Unit</v>
      </c>
    </row>
    <row r="932" spans="1:25" x14ac:dyDescent="0.3">
      <c r="A932">
        <v>1001</v>
      </c>
      <c r="B932" s="1">
        <v>45244</v>
      </c>
      <c r="C932" t="s">
        <v>23</v>
      </c>
      <c r="D932" t="s">
        <v>14</v>
      </c>
      <c r="E932">
        <v>36</v>
      </c>
      <c r="F932" t="s">
        <v>15</v>
      </c>
      <c r="G932">
        <v>666.84</v>
      </c>
      <c r="H932">
        <v>682.24</v>
      </c>
      <c r="I932" t="s">
        <v>29</v>
      </c>
      <c r="J932" s="2">
        <v>0.16</v>
      </c>
      <c r="K932" t="s">
        <v>26</v>
      </c>
      <c r="L932" t="s">
        <v>21</v>
      </c>
      <c r="M932" t="s">
        <v>44</v>
      </c>
      <c r="N932">
        <f>SalesData[[#This Row],[Quantity_Sold]]*SalesData[[#This Row],[Unit_Cost]]</f>
        <v>24006.240000000002</v>
      </c>
      <c r="O932">
        <f>SalesData[[#This Row],[Quantity_Sold]]*SalesData[[#This Row],[Unit_Price]]</f>
        <v>24560.639999999999</v>
      </c>
      <c r="P932">
        <f>SalesData[[#This Row],[Gross_sales]]*(1-SalesData[[#This Row],[Discount]])</f>
        <v>20630.937599999997</v>
      </c>
      <c r="Q932" s="2">
        <f>SalesData[[#This Row],[Sales_amount]]-SalesData[[#This Row],[Total_Cost]]</f>
        <v>-3375.3024000000041</v>
      </c>
      <c r="R932" s="2">
        <f>SalesData[[#This Row],[Profit]]/SalesData[[#This Row],[Sales_amount]]</f>
        <v>-0.16360392656124387</v>
      </c>
      <c r="S932" s="2">
        <f>SalesData[[#This Row],[Unit_Price]]-SalesData[[#This Row],[Unit_Cost]]</f>
        <v>15.399999999999977</v>
      </c>
      <c r="T932" s="10">
        <f>SalesData[[#This Row],[Unit_Margin]]/SalesData[[#This Row],[Unit_Price]]</f>
        <v>2.2572701688555314E-2</v>
      </c>
      <c r="U932" s="2" t="str">
        <f>IF(SalesData[[#This Row],[Unit_Margin]]&lt;0, "Negative margin", "Positive margin")</f>
        <v>Positive margin</v>
      </c>
      <c r="V932" s="2" t="str">
        <f>IF(SalesData[[#This Row],[Profit]]&lt;0, "Loss", "Profit")</f>
        <v>Loss</v>
      </c>
      <c r="W932" s="2">
        <f>SalesData[[#This Row],[Unit_Price]]*(1-SalesData[[#This Row],[Discount]])</f>
        <v>573.08159999999998</v>
      </c>
      <c r="X932" s="2">
        <f>SalesData[[#This Row],[Effective_Unit_Price]]-SalesData[[#This Row],[Unit_Cost]]</f>
        <v>-93.758400000000051</v>
      </c>
      <c r="Y932" s="2" t="str">
        <f>IF(SalesData[[#This Row],[Effective_Unit_Margin]]&lt;0,"Loss per Unit","Positive per Unit")</f>
        <v>Loss per Unit</v>
      </c>
    </row>
    <row r="933" spans="1:25" x14ac:dyDescent="0.3">
      <c r="A933">
        <v>1005</v>
      </c>
      <c r="B933" s="1">
        <v>45010</v>
      </c>
      <c r="C933" t="s">
        <v>13</v>
      </c>
      <c r="D933" t="s">
        <v>20</v>
      </c>
      <c r="E933">
        <v>14</v>
      </c>
      <c r="F933" t="s">
        <v>28</v>
      </c>
      <c r="G933">
        <v>1861.2</v>
      </c>
      <c r="H933">
        <v>2075.35</v>
      </c>
      <c r="I933" t="s">
        <v>16</v>
      </c>
      <c r="J933" s="2">
        <v>0.1</v>
      </c>
      <c r="K933" t="s">
        <v>30</v>
      </c>
      <c r="L933" t="s">
        <v>21</v>
      </c>
      <c r="M933" t="s">
        <v>22</v>
      </c>
      <c r="N933">
        <f>SalesData[[#This Row],[Quantity_Sold]]*SalesData[[#This Row],[Unit_Cost]]</f>
        <v>26056.799999999999</v>
      </c>
      <c r="O933">
        <f>SalesData[[#This Row],[Quantity_Sold]]*SalesData[[#This Row],[Unit_Price]]</f>
        <v>29054.899999999998</v>
      </c>
      <c r="P933">
        <f>SalesData[[#This Row],[Gross_sales]]*(1-SalesData[[#This Row],[Discount]])</f>
        <v>26149.41</v>
      </c>
      <c r="Q933" s="2">
        <f>SalesData[[#This Row],[Sales_amount]]-SalesData[[#This Row],[Total_Cost]]</f>
        <v>92.610000000000582</v>
      </c>
      <c r="R933" s="2">
        <f>SalesData[[#This Row],[Profit]]/SalesData[[#This Row],[Sales_amount]]</f>
        <v>3.5415713012263215E-3</v>
      </c>
      <c r="S933" s="2">
        <f>SalesData[[#This Row],[Unit_Price]]-SalesData[[#This Row],[Unit_Cost]]</f>
        <v>214.14999999999986</v>
      </c>
      <c r="T933" s="10">
        <f>SalesData[[#This Row],[Unit_Margin]]/SalesData[[#This Row],[Unit_Price]]</f>
        <v>0.10318741417110361</v>
      </c>
      <c r="U933" s="2" t="str">
        <f>IF(SalesData[[#This Row],[Unit_Margin]]&lt;0, "Negative margin", "Positive margin")</f>
        <v>Positive margin</v>
      </c>
      <c r="V933" s="2" t="str">
        <f>IF(SalesData[[#This Row],[Profit]]&lt;0, "Loss", "Profit")</f>
        <v>Profit</v>
      </c>
      <c r="W933" s="2">
        <f>SalesData[[#This Row],[Unit_Price]]*(1-SalesData[[#This Row],[Discount]])</f>
        <v>1867.8150000000001</v>
      </c>
      <c r="X933" s="2">
        <f>SalesData[[#This Row],[Effective_Unit_Price]]-SalesData[[#This Row],[Unit_Cost]]</f>
        <v>6.6150000000000091</v>
      </c>
      <c r="Y933" s="2" t="str">
        <f>IF(SalesData[[#This Row],[Effective_Unit_Margin]]&lt;0,"Loss per Unit","Positive per Unit")</f>
        <v>Positive per Unit</v>
      </c>
    </row>
    <row r="934" spans="1:25" x14ac:dyDescent="0.3">
      <c r="A934">
        <v>1012</v>
      </c>
      <c r="B934" s="1">
        <v>45244</v>
      </c>
      <c r="C934" t="s">
        <v>23</v>
      </c>
      <c r="D934" t="s">
        <v>14</v>
      </c>
      <c r="E934">
        <v>14</v>
      </c>
      <c r="F934" t="s">
        <v>34</v>
      </c>
      <c r="G934">
        <v>1185.5</v>
      </c>
      <c r="H934">
        <v>1271.45</v>
      </c>
      <c r="I934" t="s">
        <v>16</v>
      </c>
      <c r="J934" s="2">
        <v>0.03</v>
      </c>
      <c r="K934" t="s">
        <v>26</v>
      </c>
      <c r="L934" t="s">
        <v>21</v>
      </c>
      <c r="M934" t="s">
        <v>44</v>
      </c>
      <c r="N934">
        <f>SalesData[[#This Row],[Quantity_Sold]]*SalesData[[#This Row],[Unit_Cost]]</f>
        <v>16597</v>
      </c>
      <c r="O934">
        <f>SalesData[[#This Row],[Quantity_Sold]]*SalesData[[#This Row],[Unit_Price]]</f>
        <v>17800.3</v>
      </c>
      <c r="P934">
        <f>SalesData[[#This Row],[Gross_sales]]*(1-SalesData[[#This Row],[Discount]])</f>
        <v>17266.290999999997</v>
      </c>
      <c r="Q934" s="2">
        <f>SalesData[[#This Row],[Sales_amount]]-SalesData[[#This Row],[Total_Cost]]</f>
        <v>669.29099999999744</v>
      </c>
      <c r="R934" s="2">
        <f>SalesData[[#This Row],[Profit]]/SalesData[[#This Row],[Sales_amount]]</f>
        <v>3.8762870381368969E-2</v>
      </c>
      <c r="S934" s="2">
        <f>SalesData[[#This Row],[Unit_Price]]-SalesData[[#This Row],[Unit_Cost]]</f>
        <v>85.950000000000045</v>
      </c>
      <c r="T934" s="10">
        <f>SalesData[[#This Row],[Unit_Margin]]/SalesData[[#This Row],[Unit_Price]]</f>
        <v>6.7599984269928068E-2</v>
      </c>
      <c r="U934" s="2" t="str">
        <f>IF(SalesData[[#This Row],[Unit_Margin]]&lt;0, "Negative margin", "Positive margin")</f>
        <v>Positive margin</v>
      </c>
      <c r="V934" s="2" t="str">
        <f>IF(SalesData[[#This Row],[Profit]]&lt;0, "Loss", "Profit")</f>
        <v>Profit</v>
      </c>
      <c r="W934" s="2">
        <f>SalesData[[#This Row],[Unit_Price]]*(1-SalesData[[#This Row],[Discount]])</f>
        <v>1233.3064999999999</v>
      </c>
      <c r="X934" s="2">
        <f>SalesData[[#This Row],[Effective_Unit_Price]]-SalesData[[#This Row],[Unit_Cost]]</f>
        <v>47.806499999999915</v>
      </c>
      <c r="Y934" s="2" t="str">
        <f>IF(SalesData[[#This Row],[Effective_Unit_Margin]]&lt;0,"Loss per Unit","Positive per Unit")</f>
        <v>Positive per Unit</v>
      </c>
    </row>
    <row r="935" spans="1:25" x14ac:dyDescent="0.3">
      <c r="A935">
        <v>1090</v>
      </c>
      <c r="B935" s="1">
        <v>45037</v>
      </c>
      <c r="C935" t="s">
        <v>23</v>
      </c>
      <c r="D935" t="s">
        <v>20</v>
      </c>
      <c r="E935">
        <v>35</v>
      </c>
      <c r="F935" t="s">
        <v>34</v>
      </c>
      <c r="G935">
        <v>1130.5999999999999</v>
      </c>
      <c r="H935">
        <v>1466.1799999999901</v>
      </c>
      <c r="I935" t="s">
        <v>16</v>
      </c>
      <c r="J935" s="2">
        <v>0.13</v>
      </c>
      <c r="K935" t="s">
        <v>17</v>
      </c>
      <c r="L935" t="s">
        <v>18</v>
      </c>
      <c r="M935" t="s">
        <v>46</v>
      </c>
      <c r="N935">
        <f>SalesData[[#This Row],[Quantity_Sold]]*SalesData[[#This Row],[Unit_Cost]]</f>
        <v>39571</v>
      </c>
      <c r="O935">
        <f>SalesData[[#This Row],[Quantity_Sold]]*SalesData[[#This Row],[Unit_Price]]</f>
        <v>51316.299999999654</v>
      </c>
      <c r="P935">
        <f>SalesData[[#This Row],[Gross_sales]]*(1-SalesData[[#This Row],[Discount]])</f>
        <v>44645.180999999699</v>
      </c>
      <c r="Q935" s="2">
        <f>SalesData[[#This Row],[Sales_amount]]-SalesData[[#This Row],[Total_Cost]]</f>
        <v>5074.1809999996985</v>
      </c>
      <c r="R935" s="2">
        <f>SalesData[[#This Row],[Profit]]/SalesData[[#This Row],[Sales_amount]]</f>
        <v>0.11365573811873969</v>
      </c>
      <c r="S935" s="2">
        <f>SalesData[[#This Row],[Unit_Price]]-SalesData[[#This Row],[Unit_Cost]]</f>
        <v>335.57999999999015</v>
      </c>
      <c r="T935" s="10">
        <f>SalesData[[#This Row],[Unit_Margin]]/SalesData[[#This Row],[Unit_Price]]</f>
        <v>0.22888049216330356</v>
      </c>
      <c r="U935" s="2" t="str">
        <f>IF(SalesData[[#This Row],[Unit_Margin]]&lt;0, "Negative margin", "Positive margin")</f>
        <v>Positive margin</v>
      </c>
      <c r="V935" s="2" t="str">
        <f>IF(SalesData[[#This Row],[Profit]]&lt;0, "Loss", "Profit")</f>
        <v>Profit</v>
      </c>
      <c r="W935" s="2">
        <f>SalesData[[#This Row],[Unit_Price]]*(1-SalesData[[#This Row],[Discount]])</f>
        <v>1275.5765999999915</v>
      </c>
      <c r="X935" s="2">
        <f>SalesData[[#This Row],[Effective_Unit_Price]]-SalesData[[#This Row],[Unit_Cost]]</f>
        <v>144.97659999999155</v>
      </c>
      <c r="Y935" s="2" t="str">
        <f>IF(SalesData[[#This Row],[Effective_Unit_Margin]]&lt;0,"Loss per Unit","Positive per Unit")</f>
        <v>Positive per Unit</v>
      </c>
    </row>
    <row r="936" spans="1:25" x14ac:dyDescent="0.3">
      <c r="A936">
        <v>1046</v>
      </c>
      <c r="B936" s="1">
        <v>45177</v>
      </c>
      <c r="C936" t="s">
        <v>41</v>
      </c>
      <c r="D936" t="s">
        <v>14</v>
      </c>
      <c r="E936">
        <v>30</v>
      </c>
      <c r="F936" t="s">
        <v>15</v>
      </c>
      <c r="G936">
        <v>320.73</v>
      </c>
      <c r="H936">
        <v>678.04</v>
      </c>
      <c r="I936" t="s">
        <v>16</v>
      </c>
      <c r="J936" s="2">
        <v>0.08</v>
      </c>
      <c r="K936" t="s">
        <v>17</v>
      </c>
      <c r="L936" t="s">
        <v>21</v>
      </c>
      <c r="M936" t="s">
        <v>48</v>
      </c>
      <c r="N936">
        <f>SalesData[[#This Row],[Quantity_Sold]]*SalesData[[#This Row],[Unit_Cost]]</f>
        <v>9621.9000000000015</v>
      </c>
      <c r="O936">
        <f>SalesData[[#This Row],[Quantity_Sold]]*SalesData[[#This Row],[Unit_Price]]</f>
        <v>20341.199999999997</v>
      </c>
      <c r="P936">
        <f>SalesData[[#This Row],[Gross_sales]]*(1-SalesData[[#This Row],[Discount]])</f>
        <v>18713.903999999999</v>
      </c>
      <c r="Q936" s="2">
        <f>SalesData[[#This Row],[Sales_amount]]-SalesData[[#This Row],[Total_Cost]]</f>
        <v>9092.0039999999972</v>
      </c>
      <c r="R936" s="2">
        <f>SalesData[[#This Row],[Profit]]/SalesData[[#This Row],[Sales_amount]]</f>
        <v>0.48584218450623651</v>
      </c>
      <c r="S936" s="2">
        <f>SalesData[[#This Row],[Unit_Price]]-SalesData[[#This Row],[Unit_Cost]]</f>
        <v>357.30999999999995</v>
      </c>
      <c r="T936" s="10">
        <f>SalesData[[#This Row],[Unit_Margin]]/SalesData[[#This Row],[Unit_Price]]</f>
        <v>0.52697480974573763</v>
      </c>
      <c r="U936" s="2" t="str">
        <f>IF(SalesData[[#This Row],[Unit_Margin]]&lt;0, "Negative margin", "Positive margin")</f>
        <v>Positive margin</v>
      </c>
      <c r="V936" s="2" t="str">
        <f>IF(SalesData[[#This Row],[Profit]]&lt;0, "Loss", "Profit")</f>
        <v>Profit</v>
      </c>
      <c r="W936" s="2">
        <f>SalesData[[#This Row],[Unit_Price]]*(1-SalesData[[#This Row],[Discount]])</f>
        <v>623.79679999999996</v>
      </c>
      <c r="X936" s="2">
        <f>SalesData[[#This Row],[Effective_Unit_Price]]-SalesData[[#This Row],[Unit_Cost]]</f>
        <v>303.06679999999994</v>
      </c>
      <c r="Y936" s="2" t="str">
        <f>IF(SalesData[[#This Row],[Effective_Unit_Margin]]&lt;0,"Loss per Unit","Positive per Unit")</f>
        <v>Positive per Unit</v>
      </c>
    </row>
    <row r="937" spans="1:25" x14ac:dyDescent="0.3">
      <c r="A937">
        <v>1034</v>
      </c>
      <c r="B937" s="1">
        <v>44933</v>
      </c>
      <c r="C937" t="s">
        <v>23</v>
      </c>
      <c r="D937" t="s">
        <v>20</v>
      </c>
      <c r="E937">
        <v>28</v>
      </c>
      <c r="F937" t="s">
        <v>15</v>
      </c>
      <c r="G937">
        <v>137.47</v>
      </c>
      <c r="H937">
        <v>234.63</v>
      </c>
      <c r="I937" t="s">
        <v>29</v>
      </c>
      <c r="J937" s="2">
        <v>0.27</v>
      </c>
      <c r="K937" t="s">
        <v>26</v>
      </c>
      <c r="L937" t="s">
        <v>21</v>
      </c>
      <c r="M937" t="s">
        <v>46</v>
      </c>
      <c r="N937">
        <f>SalesData[[#This Row],[Quantity_Sold]]*SalesData[[#This Row],[Unit_Cost]]</f>
        <v>3849.16</v>
      </c>
      <c r="O937">
        <f>SalesData[[#This Row],[Quantity_Sold]]*SalesData[[#This Row],[Unit_Price]]</f>
        <v>6569.6399999999994</v>
      </c>
      <c r="P937">
        <f>SalesData[[#This Row],[Gross_sales]]*(1-SalesData[[#This Row],[Discount]])</f>
        <v>4795.837199999999</v>
      </c>
      <c r="Q937" s="2">
        <f>SalesData[[#This Row],[Sales_amount]]-SalesData[[#This Row],[Total_Cost]]</f>
        <v>946.67719999999917</v>
      </c>
      <c r="R937" s="2">
        <f>SalesData[[#This Row],[Profit]]/SalesData[[#This Row],[Sales_amount]]</f>
        <v>0.19739560800771122</v>
      </c>
      <c r="S937" s="2">
        <f>SalesData[[#This Row],[Unit_Price]]-SalesData[[#This Row],[Unit_Cost]]</f>
        <v>97.16</v>
      </c>
      <c r="T937" s="10">
        <f>SalesData[[#This Row],[Unit_Margin]]/SalesData[[#This Row],[Unit_Price]]</f>
        <v>0.41409879384562931</v>
      </c>
      <c r="U937" s="2" t="str">
        <f>IF(SalesData[[#This Row],[Unit_Margin]]&lt;0, "Negative margin", "Positive margin")</f>
        <v>Positive margin</v>
      </c>
      <c r="V937" s="2" t="str">
        <f>IF(SalesData[[#This Row],[Profit]]&lt;0, "Loss", "Profit")</f>
        <v>Profit</v>
      </c>
      <c r="W937" s="2">
        <f>SalesData[[#This Row],[Unit_Price]]*(1-SalesData[[#This Row],[Discount]])</f>
        <v>171.2799</v>
      </c>
      <c r="X937" s="2">
        <f>SalesData[[#This Row],[Effective_Unit_Price]]-SalesData[[#This Row],[Unit_Cost]]</f>
        <v>33.809899999999999</v>
      </c>
      <c r="Y937" s="2" t="str">
        <f>IF(SalesData[[#This Row],[Effective_Unit_Margin]]&lt;0,"Loss per Unit","Positive per Unit")</f>
        <v>Positive per Unit</v>
      </c>
    </row>
    <row r="938" spans="1:25" x14ac:dyDescent="0.3">
      <c r="A938">
        <v>1049</v>
      </c>
      <c r="B938" s="1">
        <v>45010</v>
      </c>
      <c r="C938" t="s">
        <v>37</v>
      </c>
      <c r="D938" t="s">
        <v>33</v>
      </c>
      <c r="E938">
        <v>17</v>
      </c>
      <c r="F938" t="s">
        <v>34</v>
      </c>
      <c r="G938">
        <v>558.70000000000005</v>
      </c>
      <c r="H938">
        <v>1004.08</v>
      </c>
      <c r="I938" t="s">
        <v>16</v>
      </c>
      <c r="J938" s="2">
        <v>0.03</v>
      </c>
      <c r="K938" t="s">
        <v>30</v>
      </c>
      <c r="L938" t="s">
        <v>18</v>
      </c>
      <c r="M938" t="s">
        <v>47</v>
      </c>
      <c r="N938">
        <f>SalesData[[#This Row],[Quantity_Sold]]*SalesData[[#This Row],[Unit_Cost]]</f>
        <v>9497.9000000000015</v>
      </c>
      <c r="O938">
        <f>SalesData[[#This Row],[Quantity_Sold]]*SalesData[[#This Row],[Unit_Price]]</f>
        <v>17069.36</v>
      </c>
      <c r="P938">
        <f>SalesData[[#This Row],[Gross_sales]]*(1-SalesData[[#This Row],[Discount]])</f>
        <v>16557.279200000001</v>
      </c>
      <c r="Q938" s="2">
        <f>SalesData[[#This Row],[Sales_amount]]-SalesData[[#This Row],[Total_Cost]]</f>
        <v>7059.3791999999994</v>
      </c>
      <c r="R938" s="2">
        <f>SalesData[[#This Row],[Profit]]/SalesData[[#This Row],[Sales_amount]]</f>
        <v>0.42636106540982888</v>
      </c>
      <c r="S938" s="2">
        <f>SalesData[[#This Row],[Unit_Price]]-SalesData[[#This Row],[Unit_Cost]]</f>
        <v>445.38</v>
      </c>
      <c r="T938" s="10">
        <f>SalesData[[#This Row],[Unit_Margin]]/SalesData[[#This Row],[Unit_Price]]</f>
        <v>0.44357023344753405</v>
      </c>
      <c r="U938" s="2" t="str">
        <f>IF(SalesData[[#This Row],[Unit_Margin]]&lt;0, "Negative margin", "Positive margin")</f>
        <v>Positive margin</v>
      </c>
      <c r="V938" s="2" t="str">
        <f>IF(SalesData[[#This Row],[Profit]]&lt;0, "Loss", "Profit")</f>
        <v>Profit</v>
      </c>
      <c r="W938" s="2">
        <f>SalesData[[#This Row],[Unit_Price]]*(1-SalesData[[#This Row],[Discount]])</f>
        <v>973.95759999999996</v>
      </c>
      <c r="X938" s="2">
        <f>SalesData[[#This Row],[Effective_Unit_Price]]-SalesData[[#This Row],[Unit_Cost]]</f>
        <v>415.25759999999991</v>
      </c>
      <c r="Y938" s="2" t="str">
        <f>IF(SalesData[[#This Row],[Effective_Unit_Margin]]&lt;0,"Loss per Unit","Positive per Unit")</f>
        <v>Positive per Unit</v>
      </c>
    </row>
    <row r="939" spans="1:25" x14ac:dyDescent="0.3">
      <c r="A939">
        <v>1078</v>
      </c>
      <c r="B939" s="1">
        <v>45134</v>
      </c>
      <c r="C939" t="s">
        <v>37</v>
      </c>
      <c r="D939" t="s">
        <v>14</v>
      </c>
      <c r="E939">
        <v>3</v>
      </c>
      <c r="F939" t="s">
        <v>28</v>
      </c>
      <c r="G939">
        <v>902.38</v>
      </c>
      <c r="H939">
        <v>1128.9100000000001</v>
      </c>
      <c r="I939" t="s">
        <v>29</v>
      </c>
      <c r="J939" s="2">
        <v>0.01</v>
      </c>
      <c r="K939" t="s">
        <v>26</v>
      </c>
      <c r="L939" t="s">
        <v>21</v>
      </c>
      <c r="M939" t="s">
        <v>39</v>
      </c>
      <c r="N939">
        <f>SalesData[[#This Row],[Quantity_Sold]]*SalesData[[#This Row],[Unit_Cost]]</f>
        <v>2707.14</v>
      </c>
      <c r="O939">
        <f>SalesData[[#This Row],[Quantity_Sold]]*SalesData[[#This Row],[Unit_Price]]</f>
        <v>3386.7300000000005</v>
      </c>
      <c r="P939">
        <f>SalesData[[#This Row],[Gross_sales]]*(1-SalesData[[#This Row],[Discount]])</f>
        <v>3352.8627000000006</v>
      </c>
      <c r="Q939" s="2">
        <f>SalesData[[#This Row],[Sales_amount]]-SalesData[[#This Row],[Total_Cost]]</f>
        <v>645.72270000000071</v>
      </c>
      <c r="R939" s="2">
        <f>SalesData[[#This Row],[Profit]]/SalesData[[#This Row],[Sales_amount]]</f>
        <v>0.1925884707417338</v>
      </c>
      <c r="S939" s="2">
        <f>SalesData[[#This Row],[Unit_Price]]-SalesData[[#This Row],[Unit_Cost]]</f>
        <v>226.53000000000009</v>
      </c>
      <c r="T939" s="10">
        <f>SalesData[[#This Row],[Unit_Margin]]/SalesData[[#This Row],[Unit_Price]]</f>
        <v>0.20066258603431636</v>
      </c>
      <c r="U939" s="2" t="str">
        <f>IF(SalesData[[#This Row],[Unit_Margin]]&lt;0, "Negative margin", "Positive margin")</f>
        <v>Positive margin</v>
      </c>
      <c r="V939" s="2" t="str">
        <f>IF(SalesData[[#This Row],[Profit]]&lt;0, "Loss", "Profit")</f>
        <v>Profit</v>
      </c>
      <c r="W939" s="2">
        <f>SalesData[[#This Row],[Unit_Price]]*(1-SalesData[[#This Row],[Discount]])</f>
        <v>1117.6209000000001</v>
      </c>
      <c r="X939" s="2">
        <f>SalesData[[#This Row],[Effective_Unit_Price]]-SalesData[[#This Row],[Unit_Cost]]</f>
        <v>215.24090000000012</v>
      </c>
      <c r="Y939" s="2" t="str">
        <f>IF(SalesData[[#This Row],[Effective_Unit_Margin]]&lt;0,"Loss per Unit","Positive per Unit")</f>
        <v>Positive per Unit</v>
      </c>
    </row>
    <row r="940" spans="1:25" x14ac:dyDescent="0.3">
      <c r="A940">
        <v>1090</v>
      </c>
      <c r="B940" s="1">
        <v>45240</v>
      </c>
      <c r="C940" t="s">
        <v>41</v>
      </c>
      <c r="D940" t="s">
        <v>14</v>
      </c>
      <c r="E940">
        <v>16</v>
      </c>
      <c r="F940" t="s">
        <v>28</v>
      </c>
      <c r="G940">
        <v>2183.37</v>
      </c>
      <c r="H940">
        <v>2263.3599999999901</v>
      </c>
      <c r="I940" t="s">
        <v>16</v>
      </c>
      <c r="J940" s="2">
        <v>0</v>
      </c>
      <c r="K940" t="s">
        <v>26</v>
      </c>
      <c r="L940" t="s">
        <v>21</v>
      </c>
      <c r="M940" t="s">
        <v>48</v>
      </c>
      <c r="N940">
        <f>SalesData[[#This Row],[Quantity_Sold]]*SalesData[[#This Row],[Unit_Cost]]</f>
        <v>34933.919999999998</v>
      </c>
      <c r="O940">
        <f>SalesData[[#This Row],[Quantity_Sold]]*SalesData[[#This Row],[Unit_Price]]</f>
        <v>36213.759999999842</v>
      </c>
      <c r="P940">
        <f>SalesData[[#This Row],[Gross_sales]]*(1-SalesData[[#This Row],[Discount]])</f>
        <v>36213.759999999842</v>
      </c>
      <c r="Q940" s="2">
        <f>SalesData[[#This Row],[Sales_amount]]-SalesData[[#This Row],[Total_Cost]]</f>
        <v>1279.8399999998437</v>
      </c>
      <c r="R940" s="2">
        <f>SalesData[[#This Row],[Profit]]/SalesData[[#This Row],[Sales_amount]]</f>
        <v>3.5341262547712506E-2</v>
      </c>
      <c r="S940" s="2">
        <f>SalesData[[#This Row],[Unit_Price]]-SalesData[[#This Row],[Unit_Cost]]</f>
        <v>79.989999999990232</v>
      </c>
      <c r="T940" s="10">
        <f>SalesData[[#This Row],[Unit_Margin]]/SalesData[[#This Row],[Unit_Price]]</f>
        <v>3.5341262547712506E-2</v>
      </c>
      <c r="U940" s="2" t="str">
        <f>IF(SalesData[[#This Row],[Unit_Margin]]&lt;0, "Negative margin", "Positive margin")</f>
        <v>Positive margin</v>
      </c>
      <c r="V940" s="2" t="str">
        <f>IF(SalesData[[#This Row],[Profit]]&lt;0, "Loss", "Profit")</f>
        <v>Profit</v>
      </c>
      <c r="W940" s="2">
        <f>SalesData[[#This Row],[Unit_Price]]*(1-SalesData[[#This Row],[Discount]])</f>
        <v>2263.3599999999901</v>
      </c>
      <c r="X940" s="2">
        <f>SalesData[[#This Row],[Effective_Unit_Price]]-SalesData[[#This Row],[Unit_Cost]]</f>
        <v>79.989999999990232</v>
      </c>
      <c r="Y940" s="2" t="str">
        <f>IF(SalesData[[#This Row],[Effective_Unit_Margin]]&lt;0,"Loss per Unit","Positive per Unit")</f>
        <v>Positive per Unit</v>
      </c>
    </row>
    <row r="941" spans="1:25" x14ac:dyDescent="0.3">
      <c r="A941">
        <v>1045</v>
      </c>
      <c r="B941" s="1">
        <v>44948</v>
      </c>
      <c r="C941" t="s">
        <v>13</v>
      </c>
      <c r="D941" t="s">
        <v>33</v>
      </c>
      <c r="E941">
        <v>46</v>
      </c>
      <c r="F941" t="s">
        <v>25</v>
      </c>
      <c r="G941">
        <v>2577.08</v>
      </c>
      <c r="H941">
        <v>2961.56</v>
      </c>
      <c r="I941" t="s">
        <v>16</v>
      </c>
      <c r="J941" s="2">
        <v>0.1</v>
      </c>
      <c r="K941" t="s">
        <v>17</v>
      </c>
      <c r="L941" t="s">
        <v>18</v>
      </c>
      <c r="M941" t="s">
        <v>45</v>
      </c>
      <c r="N941">
        <f>SalesData[[#This Row],[Quantity_Sold]]*SalesData[[#This Row],[Unit_Cost]]</f>
        <v>118545.68</v>
      </c>
      <c r="O941">
        <f>SalesData[[#This Row],[Quantity_Sold]]*SalesData[[#This Row],[Unit_Price]]</f>
        <v>136231.76</v>
      </c>
      <c r="P941">
        <f>SalesData[[#This Row],[Gross_sales]]*(1-SalesData[[#This Row],[Discount]])</f>
        <v>122608.58400000002</v>
      </c>
      <c r="Q941" s="2">
        <f>SalesData[[#This Row],[Sales_amount]]-SalesData[[#This Row],[Total_Cost]]</f>
        <v>4062.9040000000241</v>
      </c>
      <c r="R941" s="2">
        <f>SalesData[[#This Row],[Profit]]/SalesData[[#This Row],[Sales_amount]]</f>
        <v>3.3137190459682851E-2</v>
      </c>
      <c r="S941" s="2">
        <f>SalesData[[#This Row],[Unit_Price]]-SalesData[[#This Row],[Unit_Cost]]</f>
        <v>384.48</v>
      </c>
      <c r="T941" s="10">
        <f>SalesData[[#This Row],[Unit_Margin]]/SalesData[[#This Row],[Unit_Price]]</f>
        <v>0.12982347141371439</v>
      </c>
      <c r="U941" s="2" t="str">
        <f>IF(SalesData[[#This Row],[Unit_Margin]]&lt;0, "Negative margin", "Positive margin")</f>
        <v>Positive margin</v>
      </c>
      <c r="V941" s="2" t="str">
        <f>IF(SalesData[[#This Row],[Profit]]&lt;0, "Loss", "Profit")</f>
        <v>Profit</v>
      </c>
      <c r="W941" s="2">
        <f>SalesData[[#This Row],[Unit_Price]]*(1-SalesData[[#This Row],[Discount]])</f>
        <v>2665.404</v>
      </c>
      <c r="X941" s="2">
        <f>SalesData[[#This Row],[Effective_Unit_Price]]-SalesData[[#This Row],[Unit_Cost]]</f>
        <v>88.324000000000069</v>
      </c>
      <c r="Y941" s="2" t="str">
        <f>IF(SalesData[[#This Row],[Effective_Unit_Margin]]&lt;0,"Loss per Unit","Positive per Unit")</f>
        <v>Positive per Unit</v>
      </c>
    </row>
    <row r="942" spans="1:25" x14ac:dyDescent="0.3">
      <c r="A942">
        <v>1027</v>
      </c>
      <c r="B942" s="1">
        <v>44929</v>
      </c>
      <c r="C942" t="s">
        <v>13</v>
      </c>
      <c r="D942" t="s">
        <v>33</v>
      </c>
      <c r="E942">
        <v>30</v>
      </c>
      <c r="F942" t="s">
        <v>15</v>
      </c>
      <c r="G942">
        <v>745.93</v>
      </c>
      <c r="H942">
        <v>1143.02</v>
      </c>
      <c r="I942" t="s">
        <v>16</v>
      </c>
      <c r="J942" s="2">
        <v>0.2</v>
      </c>
      <c r="K942" t="s">
        <v>30</v>
      </c>
      <c r="L942" t="s">
        <v>18</v>
      </c>
      <c r="M942" t="s">
        <v>45</v>
      </c>
      <c r="N942">
        <f>SalesData[[#This Row],[Quantity_Sold]]*SalesData[[#This Row],[Unit_Cost]]</f>
        <v>22377.899999999998</v>
      </c>
      <c r="O942">
        <f>SalesData[[#This Row],[Quantity_Sold]]*SalesData[[#This Row],[Unit_Price]]</f>
        <v>34290.6</v>
      </c>
      <c r="P942">
        <f>SalesData[[#This Row],[Gross_sales]]*(1-SalesData[[#This Row],[Discount]])</f>
        <v>27432.48</v>
      </c>
      <c r="Q942" s="2">
        <f>SalesData[[#This Row],[Sales_amount]]-SalesData[[#This Row],[Total_Cost]]</f>
        <v>5054.5800000000017</v>
      </c>
      <c r="R942" s="2">
        <f>SalesData[[#This Row],[Profit]]/SalesData[[#This Row],[Sales_amount]]</f>
        <v>0.18425530611887814</v>
      </c>
      <c r="S942" s="2">
        <f>SalesData[[#This Row],[Unit_Price]]-SalesData[[#This Row],[Unit_Cost]]</f>
        <v>397.09000000000003</v>
      </c>
      <c r="T942" s="10">
        <f>SalesData[[#This Row],[Unit_Margin]]/SalesData[[#This Row],[Unit_Price]]</f>
        <v>0.34740424489510247</v>
      </c>
      <c r="U942" s="2" t="str">
        <f>IF(SalesData[[#This Row],[Unit_Margin]]&lt;0, "Negative margin", "Positive margin")</f>
        <v>Positive margin</v>
      </c>
      <c r="V942" s="2" t="str">
        <f>IF(SalesData[[#This Row],[Profit]]&lt;0, "Loss", "Profit")</f>
        <v>Profit</v>
      </c>
      <c r="W942" s="2">
        <f>SalesData[[#This Row],[Unit_Price]]*(1-SalesData[[#This Row],[Discount]])</f>
        <v>914.41600000000005</v>
      </c>
      <c r="X942" s="2">
        <f>SalesData[[#This Row],[Effective_Unit_Price]]-SalesData[[#This Row],[Unit_Cost]]</f>
        <v>168.4860000000001</v>
      </c>
      <c r="Y942" s="2" t="str">
        <f>IF(SalesData[[#This Row],[Effective_Unit_Margin]]&lt;0,"Loss per Unit","Positive per Unit")</f>
        <v>Positive per Unit</v>
      </c>
    </row>
    <row r="943" spans="1:25" x14ac:dyDescent="0.3">
      <c r="A943">
        <v>1073</v>
      </c>
      <c r="B943" s="1">
        <v>45053</v>
      </c>
      <c r="C943" t="s">
        <v>23</v>
      </c>
      <c r="D943" t="s">
        <v>14</v>
      </c>
      <c r="E943">
        <v>29</v>
      </c>
      <c r="F943" t="s">
        <v>28</v>
      </c>
      <c r="G943">
        <v>2152.6799999999998</v>
      </c>
      <c r="H943">
        <v>2475.9299999999998</v>
      </c>
      <c r="I943" t="s">
        <v>16</v>
      </c>
      <c r="J943" s="2">
        <v>0.22</v>
      </c>
      <c r="K943" t="s">
        <v>26</v>
      </c>
      <c r="L943" t="s">
        <v>18</v>
      </c>
      <c r="M943" t="s">
        <v>44</v>
      </c>
      <c r="N943">
        <f>SalesData[[#This Row],[Quantity_Sold]]*SalesData[[#This Row],[Unit_Cost]]</f>
        <v>62427.719999999994</v>
      </c>
      <c r="O943">
        <f>SalesData[[#This Row],[Quantity_Sold]]*SalesData[[#This Row],[Unit_Price]]</f>
        <v>71801.97</v>
      </c>
      <c r="P943">
        <f>SalesData[[#This Row],[Gross_sales]]*(1-SalesData[[#This Row],[Discount]])</f>
        <v>56005.536599999999</v>
      </c>
      <c r="Q943" s="2">
        <f>SalesData[[#This Row],[Sales_amount]]-SalesData[[#This Row],[Total_Cost]]</f>
        <v>-6422.1833999999944</v>
      </c>
      <c r="R943" s="2">
        <f>SalesData[[#This Row],[Profit]]/SalesData[[#This Row],[Sales_amount]]</f>
        <v>-0.11467050920104914</v>
      </c>
      <c r="S943" s="2">
        <f>SalesData[[#This Row],[Unit_Price]]-SalesData[[#This Row],[Unit_Cost]]</f>
        <v>323.25</v>
      </c>
      <c r="T943" s="10">
        <f>SalesData[[#This Row],[Unit_Margin]]/SalesData[[#This Row],[Unit_Price]]</f>
        <v>0.13055700282318161</v>
      </c>
      <c r="U943" s="2" t="str">
        <f>IF(SalesData[[#This Row],[Unit_Margin]]&lt;0, "Negative margin", "Positive margin")</f>
        <v>Positive margin</v>
      </c>
      <c r="V943" s="2" t="str">
        <f>IF(SalesData[[#This Row],[Profit]]&lt;0, "Loss", "Profit")</f>
        <v>Loss</v>
      </c>
      <c r="W943" s="2">
        <f>SalesData[[#This Row],[Unit_Price]]*(1-SalesData[[#This Row],[Discount]])</f>
        <v>1931.2254</v>
      </c>
      <c r="X943" s="2">
        <f>SalesData[[#This Row],[Effective_Unit_Price]]-SalesData[[#This Row],[Unit_Cost]]</f>
        <v>-221.4545999999998</v>
      </c>
      <c r="Y943" s="2" t="str">
        <f>IF(SalesData[[#This Row],[Effective_Unit_Margin]]&lt;0,"Loss per Unit","Positive per Unit")</f>
        <v>Loss per Unit</v>
      </c>
    </row>
    <row r="944" spans="1:25" x14ac:dyDescent="0.3">
      <c r="A944">
        <v>1026</v>
      </c>
      <c r="B944" s="1">
        <v>45223</v>
      </c>
      <c r="C944" t="s">
        <v>23</v>
      </c>
      <c r="D944" t="s">
        <v>33</v>
      </c>
      <c r="E944">
        <v>45</v>
      </c>
      <c r="F944" t="s">
        <v>25</v>
      </c>
      <c r="G944">
        <v>1741.66</v>
      </c>
      <c r="H944">
        <v>2169.86</v>
      </c>
      <c r="I944" t="s">
        <v>16</v>
      </c>
      <c r="J944" s="2">
        <v>0.14000000000000001</v>
      </c>
      <c r="K944" t="s">
        <v>30</v>
      </c>
      <c r="L944" t="s">
        <v>18</v>
      </c>
      <c r="M944" t="s">
        <v>49</v>
      </c>
      <c r="N944">
        <f>SalesData[[#This Row],[Quantity_Sold]]*SalesData[[#This Row],[Unit_Cost]]</f>
        <v>78374.7</v>
      </c>
      <c r="O944">
        <f>SalesData[[#This Row],[Quantity_Sold]]*SalesData[[#This Row],[Unit_Price]]</f>
        <v>97643.700000000012</v>
      </c>
      <c r="P944">
        <f>SalesData[[#This Row],[Gross_sales]]*(1-SalesData[[#This Row],[Discount]])</f>
        <v>83973.582000000009</v>
      </c>
      <c r="Q944" s="2">
        <f>SalesData[[#This Row],[Sales_amount]]-SalesData[[#This Row],[Total_Cost]]</f>
        <v>5598.8820000000123</v>
      </c>
      <c r="R944" s="2">
        <f>SalesData[[#This Row],[Profit]]/SalesData[[#This Row],[Sales_amount]]</f>
        <v>6.6674326218452984E-2</v>
      </c>
      <c r="S944" s="2">
        <f>SalesData[[#This Row],[Unit_Price]]-SalesData[[#This Row],[Unit_Cost]]</f>
        <v>428.20000000000005</v>
      </c>
      <c r="T944" s="10">
        <f>SalesData[[#This Row],[Unit_Margin]]/SalesData[[#This Row],[Unit_Price]]</f>
        <v>0.19733992054786945</v>
      </c>
      <c r="U944" s="2" t="str">
        <f>IF(SalesData[[#This Row],[Unit_Margin]]&lt;0, "Negative margin", "Positive margin")</f>
        <v>Positive margin</v>
      </c>
      <c r="V944" s="2" t="str">
        <f>IF(SalesData[[#This Row],[Profit]]&lt;0, "Loss", "Profit")</f>
        <v>Profit</v>
      </c>
      <c r="W944" s="2">
        <f>SalesData[[#This Row],[Unit_Price]]*(1-SalesData[[#This Row],[Discount]])</f>
        <v>1866.0796</v>
      </c>
      <c r="X944" s="2">
        <f>SalesData[[#This Row],[Effective_Unit_Price]]-SalesData[[#This Row],[Unit_Cost]]</f>
        <v>124.41959999999995</v>
      </c>
      <c r="Y944" s="2" t="str">
        <f>IF(SalesData[[#This Row],[Effective_Unit_Margin]]&lt;0,"Loss per Unit","Positive per Unit")</f>
        <v>Positive per Unit</v>
      </c>
    </row>
    <row r="945" spans="1:25" x14ac:dyDescent="0.3">
      <c r="A945">
        <v>1047</v>
      </c>
      <c r="B945" s="1">
        <v>45114</v>
      </c>
      <c r="C945" t="s">
        <v>23</v>
      </c>
      <c r="D945" t="s">
        <v>24</v>
      </c>
      <c r="E945">
        <v>15</v>
      </c>
      <c r="F945" t="s">
        <v>28</v>
      </c>
      <c r="G945">
        <v>957.95</v>
      </c>
      <c r="H945">
        <v>1329.26</v>
      </c>
      <c r="I945" t="s">
        <v>29</v>
      </c>
      <c r="J945" s="2">
        <v>0.21</v>
      </c>
      <c r="K945" t="s">
        <v>17</v>
      </c>
      <c r="L945" t="s">
        <v>18</v>
      </c>
      <c r="M945" t="s">
        <v>27</v>
      </c>
      <c r="N945">
        <f>SalesData[[#This Row],[Quantity_Sold]]*SalesData[[#This Row],[Unit_Cost]]</f>
        <v>14369.25</v>
      </c>
      <c r="O945">
        <f>SalesData[[#This Row],[Quantity_Sold]]*SalesData[[#This Row],[Unit_Price]]</f>
        <v>19938.900000000001</v>
      </c>
      <c r="P945">
        <f>SalesData[[#This Row],[Gross_sales]]*(1-SalesData[[#This Row],[Discount]])</f>
        <v>15751.731000000002</v>
      </c>
      <c r="Q945" s="2">
        <f>SalesData[[#This Row],[Sales_amount]]-SalesData[[#This Row],[Total_Cost]]</f>
        <v>1382.4810000000016</v>
      </c>
      <c r="R945" s="2">
        <f>SalesData[[#This Row],[Profit]]/SalesData[[#This Row],[Sales_amount]]</f>
        <v>8.776692542552951E-2</v>
      </c>
      <c r="S945" s="2">
        <f>SalesData[[#This Row],[Unit_Price]]-SalesData[[#This Row],[Unit_Cost]]</f>
        <v>371.30999999999995</v>
      </c>
      <c r="T945" s="10">
        <f>SalesData[[#This Row],[Unit_Margin]]/SalesData[[#This Row],[Unit_Price]]</f>
        <v>0.2793358710861682</v>
      </c>
      <c r="U945" s="2" t="str">
        <f>IF(SalesData[[#This Row],[Unit_Margin]]&lt;0, "Negative margin", "Positive margin")</f>
        <v>Positive margin</v>
      </c>
      <c r="V945" s="2" t="str">
        <f>IF(SalesData[[#This Row],[Profit]]&lt;0, "Loss", "Profit")</f>
        <v>Profit</v>
      </c>
      <c r="W945" s="2">
        <f>SalesData[[#This Row],[Unit_Price]]*(1-SalesData[[#This Row],[Discount]])</f>
        <v>1050.1154000000001</v>
      </c>
      <c r="X945" s="2">
        <f>SalesData[[#This Row],[Effective_Unit_Price]]-SalesData[[#This Row],[Unit_Cost]]</f>
        <v>92.165400000000091</v>
      </c>
      <c r="Y945" s="2" t="str">
        <f>IF(SalesData[[#This Row],[Effective_Unit_Margin]]&lt;0,"Loss per Unit","Positive per Unit")</f>
        <v>Positive per Unit</v>
      </c>
    </row>
    <row r="946" spans="1:25" x14ac:dyDescent="0.3">
      <c r="A946">
        <v>1086</v>
      </c>
      <c r="B946" s="1">
        <v>45288</v>
      </c>
      <c r="C946" t="s">
        <v>13</v>
      </c>
      <c r="D946" t="s">
        <v>20</v>
      </c>
      <c r="E946">
        <v>46</v>
      </c>
      <c r="F946" t="s">
        <v>15</v>
      </c>
      <c r="G946">
        <v>83.86</v>
      </c>
      <c r="H946">
        <v>526.14</v>
      </c>
      <c r="I946" t="s">
        <v>16</v>
      </c>
      <c r="J946" s="2">
        <v>0.11</v>
      </c>
      <c r="K946" t="s">
        <v>30</v>
      </c>
      <c r="L946" t="s">
        <v>18</v>
      </c>
      <c r="M946" t="s">
        <v>22</v>
      </c>
      <c r="N946">
        <f>SalesData[[#This Row],[Quantity_Sold]]*SalesData[[#This Row],[Unit_Cost]]</f>
        <v>3857.56</v>
      </c>
      <c r="O946">
        <f>SalesData[[#This Row],[Quantity_Sold]]*SalesData[[#This Row],[Unit_Price]]</f>
        <v>24202.44</v>
      </c>
      <c r="P946">
        <f>SalesData[[#This Row],[Gross_sales]]*(1-SalesData[[#This Row],[Discount]])</f>
        <v>21540.171599999998</v>
      </c>
      <c r="Q946" s="2">
        <f>SalesData[[#This Row],[Sales_amount]]-SalesData[[#This Row],[Total_Cost]]</f>
        <v>17682.611599999997</v>
      </c>
      <c r="R946" s="2">
        <f>SalesData[[#This Row],[Profit]]/SalesData[[#This Row],[Sales_amount]]</f>
        <v>0.82091321872291856</v>
      </c>
      <c r="S946" s="2">
        <f>SalesData[[#This Row],[Unit_Price]]-SalesData[[#This Row],[Unit_Cost]]</f>
        <v>442.28</v>
      </c>
      <c r="T946" s="10">
        <f>SalesData[[#This Row],[Unit_Margin]]/SalesData[[#This Row],[Unit_Price]]</f>
        <v>0.84061276466339752</v>
      </c>
      <c r="U946" s="2" t="str">
        <f>IF(SalesData[[#This Row],[Unit_Margin]]&lt;0, "Negative margin", "Positive margin")</f>
        <v>Positive margin</v>
      </c>
      <c r="V946" s="2" t="str">
        <f>IF(SalesData[[#This Row],[Profit]]&lt;0, "Loss", "Profit")</f>
        <v>Profit</v>
      </c>
      <c r="W946" s="2">
        <f>SalesData[[#This Row],[Unit_Price]]*(1-SalesData[[#This Row],[Discount]])</f>
        <v>468.26459999999997</v>
      </c>
      <c r="X946" s="2">
        <f>SalesData[[#This Row],[Effective_Unit_Price]]-SalesData[[#This Row],[Unit_Cost]]</f>
        <v>384.40459999999996</v>
      </c>
      <c r="Y946" s="2" t="str">
        <f>IF(SalesData[[#This Row],[Effective_Unit_Margin]]&lt;0,"Loss per Unit","Positive per Unit")</f>
        <v>Positive per Unit</v>
      </c>
    </row>
    <row r="947" spans="1:25" x14ac:dyDescent="0.3">
      <c r="A947">
        <v>1056</v>
      </c>
      <c r="B947" s="1">
        <v>44940</v>
      </c>
      <c r="C947" t="s">
        <v>32</v>
      </c>
      <c r="D947" t="s">
        <v>20</v>
      </c>
      <c r="E947">
        <v>25</v>
      </c>
      <c r="F947" t="s">
        <v>25</v>
      </c>
      <c r="G947">
        <v>2361.7399999999998</v>
      </c>
      <c r="H947">
        <v>2584.35</v>
      </c>
      <c r="I947" t="s">
        <v>16</v>
      </c>
      <c r="J947" s="2">
        <v>0.2</v>
      </c>
      <c r="K947" t="s">
        <v>17</v>
      </c>
      <c r="L947" t="s">
        <v>18</v>
      </c>
      <c r="M947" t="s">
        <v>36</v>
      </c>
      <c r="N947">
        <f>SalesData[[#This Row],[Quantity_Sold]]*SalesData[[#This Row],[Unit_Cost]]</f>
        <v>59043.499999999993</v>
      </c>
      <c r="O947">
        <f>SalesData[[#This Row],[Quantity_Sold]]*SalesData[[#This Row],[Unit_Price]]</f>
        <v>64608.75</v>
      </c>
      <c r="P947">
        <f>SalesData[[#This Row],[Gross_sales]]*(1-SalesData[[#This Row],[Discount]])</f>
        <v>51687</v>
      </c>
      <c r="Q947" s="2">
        <f>SalesData[[#This Row],[Sales_amount]]-SalesData[[#This Row],[Total_Cost]]</f>
        <v>-7356.4999999999927</v>
      </c>
      <c r="R947" s="2">
        <f>SalesData[[#This Row],[Profit]]/SalesData[[#This Row],[Sales_amount]]</f>
        <v>-0.14232785806875989</v>
      </c>
      <c r="S947" s="2">
        <f>SalesData[[#This Row],[Unit_Price]]-SalesData[[#This Row],[Unit_Cost]]</f>
        <v>222.61000000000013</v>
      </c>
      <c r="T947" s="10">
        <f>SalesData[[#This Row],[Unit_Margin]]/SalesData[[#This Row],[Unit_Price]]</f>
        <v>8.6137713544992028E-2</v>
      </c>
      <c r="U947" s="2" t="str">
        <f>IF(SalesData[[#This Row],[Unit_Margin]]&lt;0, "Negative margin", "Positive margin")</f>
        <v>Positive margin</v>
      </c>
      <c r="V947" s="2" t="str">
        <f>IF(SalesData[[#This Row],[Profit]]&lt;0, "Loss", "Profit")</f>
        <v>Loss</v>
      </c>
      <c r="W947" s="2">
        <f>SalesData[[#This Row],[Unit_Price]]*(1-SalesData[[#This Row],[Discount]])</f>
        <v>2067.48</v>
      </c>
      <c r="X947" s="2">
        <f>SalesData[[#This Row],[Effective_Unit_Price]]-SalesData[[#This Row],[Unit_Cost]]</f>
        <v>-294.25999999999976</v>
      </c>
      <c r="Y947" s="2" t="str">
        <f>IF(SalesData[[#This Row],[Effective_Unit_Margin]]&lt;0,"Loss per Unit","Positive per Unit")</f>
        <v>Loss per Unit</v>
      </c>
    </row>
    <row r="948" spans="1:25" x14ac:dyDescent="0.3">
      <c r="A948">
        <v>1094</v>
      </c>
      <c r="B948" s="1">
        <v>44938</v>
      </c>
      <c r="C948" t="s">
        <v>37</v>
      </c>
      <c r="D948" t="s">
        <v>20</v>
      </c>
      <c r="E948">
        <v>38</v>
      </c>
      <c r="F948" t="s">
        <v>25</v>
      </c>
      <c r="G948">
        <v>3443.98</v>
      </c>
      <c r="H948">
        <v>3820.3</v>
      </c>
      <c r="I948" t="s">
        <v>16</v>
      </c>
      <c r="J948" s="2">
        <v>0.01</v>
      </c>
      <c r="K948" t="s">
        <v>30</v>
      </c>
      <c r="L948" t="s">
        <v>21</v>
      </c>
      <c r="M948" t="s">
        <v>40</v>
      </c>
      <c r="N948">
        <f>SalesData[[#This Row],[Quantity_Sold]]*SalesData[[#This Row],[Unit_Cost]]</f>
        <v>130871.24</v>
      </c>
      <c r="O948">
        <f>SalesData[[#This Row],[Quantity_Sold]]*SalesData[[#This Row],[Unit_Price]]</f>
        <v>145171.4</v>
      </c>
      <c r="P948">
        <f>SalesData[[#This Row],[Gross_sales]]*(1-SalesData[[#This Row],[Discount]])</f>
        <v>143719.68599999999</v>
      </c>
      <c r="Q948" s="2">
        <f>SalesData[[#This Row],[Sales_amount]]-SalesData[[#This Row],[Total_Cost]]</f>
        <v>12848.445999999982</v>
      </c>
      <c r="R948" s="2">
        <f>SalesData[[#This Row],[Profit]]/SalesData[[#This Row],[Sales_amount]]</f>
        <v>8.9399346447222153E-2</v>
      </c>
      <c r="S948" s="2">
        <f>SalesData[[#This Row],[Unit_Price]]-SalesData[[#This Row],[Unit_Cost]]</f>
        <v>376.32000000000016</v>
      </c>
      <c r="T948" s="10">
        <f>SalesData[[#This Row],[Unit_Margin]]/SalesData[[#This Row],[Unit_Price]]</f>
        <v>9.850535298275008E-2</v>
      </c>
      <c r="U948" s="2" t="str">
        <f>IF(SalesData[[#This Row],[Unit_Margin]]&lt;0, "Negative margin", "Positive margin")</f>
        <v>Positive margin</v>
      </c>
      <c r="V948" s="2" t="str">
        <f>IF(SalesData[[#This Row],[Profit]]&lt;0, "Loss", "Profit")</f>
        <v>Profit</v>
      </c>
      <c r="W948" s="2">
        <f>SalesData[[#This Row],[Unit_Price]]*(1-SalesData[[#This Row],[Discount]])</f>
        <v>3782.0970000000002</v>
      </c>
      <c r="X948" s="2">
        <f>SalesData[[#This Row],[Effective_Unit_Price]]-SalesData[[#This Row],[Unit_Cost]]</f>
        <v>338.11700000000019</v>
      </c>
      <c r="Y948" s="2" t="str">
        <f>IF(SalesData[[#This Row],[Effective_Unit_Margin]]&lt;0,"Loss per Unit","Positive per Unit")</f>
        <v>Positive per Unit</v>
      </c>
    </row>
    <row r="949" spans="1:25" x14ac:dyDescent="0.3">
      <c r="A949">
        <v>1063</v>
      </c>
      <c r="B949" s="1">
        <v>45013</v>
      </c>
      <c r="C949" t="s">
        <v>32</v>
      </c>
      <c r="D949" t="s">
        <v>24</v>
      </c>
      <c r="E949">
        <v>42</v>
      </c>
      <c r="F949" t="s">
        <v>25</v>
      </c>
      <c r="G949">
        <v>1170.07</v>
      </c>
      <c r="H949">
        <v>1669.94999999999</v>
      </c>
      <c r="I949" t="s">
        <v>16</v>
      </c>
      <c r="J949" s="2">
        <v>0.12</v>
      </c>
      <c r="K949" t="s">
        <v>26</v>
      </c>
      <c r="L949" t="s">
        <v>21</v>
      </c>
      <c r="M949" t="s">
        <v>43</v>
      </c>
      <c r="N949">
        <f>SalesData[[#This Row],[Quantity_Sold]]*SalesData[[#This Row],[Unit_Cost]]</f>
        <v>49142.939999999995</v>
      </c>
      <c r="O949">
        <f>SalesData[[#This Row],[Quantity_Sold]]*SalesData[[#This Row],[Unit_Price]]</f>
        <v>70137.899999999587</v>
      </c>
      <c r="P949">
        <f>SalesData[[#This Row],[Gross_sales]]*(1-SalesData[[#This Row],[Discount]])</f>
        <v>61721.351999999635</v>
      </c>
      <c r="Q949" s="2">
        <f>SalesData[[#This Row],[Sales_amount]]-SalesData[[#This Row],[Total_Cost]]</f>
        <v>12578.41199999964</v>
      </c>
      <c r="R949" s="2">
        <f>SalesData[[#This Row],[Profit]]/SalesData[[#This Row],[Sales_amount]]</f>
        <v>0.20379352675229334</v>
      </c>
      <c r="S949" s="2">
        <f>SalesData[[#This Row],[Unit_Price]]-SalesData[[#This Row],[Unit_Cost]]</f>
        <v>499.8799999999901</v>
      </c>
      <c r="T949" s="10">
        <f>SalesData[[#This Row],[Unit_Margin]]/SalesData[[#This Row],[Unit_Price]]</f>
        <v>0.29933830354201807</v>
      </c>
      <c r="U949" s="2" t="str">
        <f>IF(SalesData[[#This Row],[Unit_Margin]]&lt;0, "Negative margin", "Positive margin")</f>
        <v>Positive margin</v>
      </c>
      <c r="V949" s="2" t="str">
        <f>IF(SalesData[[#This Row],[Profit]]&lt;0, "Loss", "Profit")</f>
        <v>Profit</v>
      </c>
      <c r="W949" s="2">
        <f>SalesData[[#This Row],[Unit_Price]]*(1-SalesData[[#This Row],[Discount]])</f>
        <v>1469.5559999999912</v>
      </c>
      <c r="X949" s="2">
        <f>SalesData[[#This Row],[Effective_Unit_Price]]-SalesData[[#This Row],[Unit_Cost]]</f>
        <v>299.48599999999124</v>
      </c>
      <c r="Y949" s="2" t="str">
        <f>IF(SalesData[[#This Row],[Effective_Unit_Margin]]&lt;0,"Loss per Unit","Positive per Unit")</f>
        <v>Positive per Unit</v>
      </c>
    </row>
    <row r="950" spans="1:25" x14ac:dyDescent="0.3">
      <c r="A950">
        <v>1048</v>
      </c>
      <c r="B950" s="1">
        <v>44938</v>
      </c>
      <c r="C950" t="s">
        <v>32</v>
      </c>
      <c r="D950" t="s">
        <v>33</v>
      </c>
      <c r="E950">
        <v>47</v>
      </c>
      <c r="F950" t="s">
        <v>28</v>
      </c>
      <c r="G950">
        <v>702.44</v>
      </c>
      <c r="H950">
        <v>1067.6600000000001</v>
      </c>
      <c r="I950" t="s">
        <v>29</v>
      </c>
      <c r="J950" s="2">
        <v>0.24</v>
      </c>
      <c r="K950" t="s">
        <v>17</v>
      </c>
      <c r="L950" t="s">
        <v>21</v>
      </c>
      <c r="M950" t="s">
        <v>35</v>
      </c>
      <c r="N950">
        <f>SalesData[[#This Row],[Quantity_Sold]]*SalesData[[#This Row],[Unit_Cost]]</f>
        <v>33014.68</v>
      </c>
      <c r="O950">
        <f>SalesData[[#This Row],[Quantity_Sold]]*SalesData[[#This Row],[Unit_Price]]</f>
        <v>50180.020000000004</v>
      </c>
      <c r="P950">
        <f>SalesData[[#This Row],[Gross_sales]]*(1-SalesData[[#This Row],[Discount]])</f>
        <v>38136.815200000005</v>
      </c>
      <c r="Q950" s="2">
        <f>SalesData[[#This Row],[Sales_amount]]-SalesData[[#This Row],[Total_Cost]]</f>
        <v>5122.1352000000043</v>
      </c>
      <c r="R950" s="2">
        <f>SalesData[[#This Row],[Profit]]/SalesData[[#This Row],[Sales_amount]]</f>
        <v>0.13430946378553402</v>
      </c>
      <c r="S950" s="2">
        <f>SalesData[[#This Row],[Unit_Price]]-SalesData[[#This Row],[Unit_Cost]]</f>
        <v>365.22</v>
      </c>
      <c r="T950" s="10">
        <f>SalesData[[#This Row],[Unit_Margin]]/SalesData[[#This Row],[Unit_Price]]</f>
        <v>0.3420751924770058</v>
      </c>
      <c r="U950" s="2" t="str">
        <f>IF(SalesData[[#This Row],[Unit_Margin]]&lt;0, "Negative margin", "Positive margin")</f>
        <v>Positive margin</v>
      </c>
      <c r="V950" s="2" t="str">
        <f>IF(SalesData[[#This Row],[Profit]]&lt;0, "Loss", "Profit")</f>
        <v>Profit</v>
      </c>
      <c r="W950" s="2">
        <f>SalesData[[#This Row],[Unit_Price]]*(1-SalesData[[#This Row],[Discount]])</f>
        <v>811.42160000000013</v>
      </c>
      <c r="X950" s="2">
        <f>SalesData[[#This Row],[Effective_Unit_Price]]-SalesData[[#This Row],[Unit_Cost]]</f>
        <v>108.98160000000007</v>
      </c>
      <c r="Y950" s="2" t="str">
        <f>IF(SalesData[[#This Row],[Effective_Unit_Margin]]&lt;0,"Loss per Unit","Positive per Unit")</f>
        <v>Positive per Unit</v>
      </c>
    </row>
    <row r="951" spans="1:25" x14ac:dyDescent="0.3">
      <c r="A951">
        <v>1061</v>
      </c>
      <c r="B951" s="1">
        <v>44951</v>
      </c>
      <c r="C951" t="s">
        <v>13</v>
      </c>
      <c r="D951" t="s">
        <v>33</v>
      </c>
      <c r="E951">
        <v>38</v>
      </c>
      <c r="F951" t="s">
        <v>15</v>
      </c>
      <c r="G951">
        <v>4440.8599999999997</v>
      </c>
      <c r="H951">
        <v>4506.8099999999904</v>
      </c>
      <c r="I951" t="s">
        <v>16</v>
      </c>
      <c r="J951" s="2">
        <v>0.24</v>
      </c>
      <c r="K951" t="s">
        <v>26</v>
      </c>
      <c r="L951" t="s">
        <v>18</v>
      </c>
      <c r="M951" t="s">
        <v>45</v>
      </c>
      <c r="N951">
        <f>SalesData[[#This Row],[Quantity_Sold]]*SalesData[[#This Row],[Unit_Cost]]</f>
        <v>168752.68</v>
      </c>
      <c r="O951">
        <f>SalesData[[#This Row],[Quantity_Sold]]*SalesData[[#This Row],[Unit_Price]]</f>
        <v>171258.77999999962</v>
      </c>
      <c r="P951">
        <f>SalesData[[#This Row],[Gross_sales]]*(1-SalesData[[#This Row],[Discount]])</f>
        <v>130156.67279999971</v>
      </c>
      <c r="Q951" s="2">
        <f>SalesData[[#This Row],[Sales_amount]]-SalesData[[#This Row],[Total_Cost]]</f>
        <v>-38596.007200000284</v>
      </c>
      <c r="R951" s="2">
        <f>SalesData[[#This Row],[Profit]]/SalesData[[#This Row],[Sales_amount]]</f>
        <v>-0.29653498641062659</v>
      </c>
      <c r="S951" s="2">
        <f>SalesData[[#This Row],[Unit_Price]]-SalesData[[#This Row],[Unit_Cost]]</f>
        <v>65.949999999990723</v>
      </c>
      <c r="T951" s="10">
        <f>SalesData[[#This Row],[Unit_Margin]]/SalesData[[#This Row],[Unit_Price]]</f>
        <v>1.4633410327923934E-2</v>
      </c>
      <c r="U951" s="2" t="str">
        <f>IF(SalesData[[#This Row],[Unit_Margin]]&lt;0, "Negative margin", "Positive margin")</f>
        <v>Positive margin</v>
      </c>
      <c r="V951" s="2" t="str">
        <f>IF(SalesData[[#This Row],[Profit]]&lt;0, "Loss", "Profit")</f>
        <v>Loss</v>
      </c>
      <c r="W951" s="2">
        <f>SalesData[[#This Row],[Unit_Price]]*(1-SalesData[[#This Row],[Discount]])</f>
        <v>3425.1755999999928</v>
      </c>
      <c r="X951" s="2">
        <f>SalesData[[#This Row],[Effective_Unit_Price]]-SalesData[[#This Row],[Unit_Cost]]</f>
        <v>-1015.6844000000069</v>
      </c>
      <c r="Y951" s="2" t="str">
        <f>IF(SalesData[[#This Row],[Effective_Unit_Margin]]&lt;0,"Loss per Unit","Positive per Unit")</f>
        <v>Loss per Unit</v>
      </c>
    </row>
    <row r="952" spans="1:25" x14ac:dyDescent="0.3">
      <c r="A952">
        <v>1081</v>
      </c>
      <c r="B952" s="1">
        <v>45227</v>
      </c>
      <c r="C952" t="s">
        <v>32</v>
      </c>
      <c r="D952" t="s">
        <v>14</v>
      </c>
      <c r="E952">
        <v>23</v>
      </c>
      <c r="F952" t="s">
        <v>25</v>
      </c>
      <c r="G952">
        <v>1411.37</v>
      </c>
      <c r="H952">
        <v>1675.35</v>
      </c>
      <c r="I952" t="s">
        <v>29</v>
      </c>
      <c r="J952" s="2">
        <v>0.21</v>
      </c>
      <c r="K952" t="s">
        <v>17</v>
      </c>
      <c r="L952" t="s">
        <v>21</v>
      </c>
      <c r="M952" t="s">
        <v>52</v>
      </c>
      <c r="N952">
        <f>SalesData[[#This Row],[Quantity_Sold]]*SalesData[[#This Row],[Unit_Cost]]</f>
        <v>32461.51</v>
      </c>
      <c r="O952">
        <f>SalesData[[#This Row],[Quantity_Sold]]*SalesData[[#This Row],[Unit_Price]]</f>
        <v>38533.049999999996</v>
      </c>
      <c r="P952">
        <f>SalesData[[#This Row],[Gross_sales]]*(1-SalesData[[#This Row],[Discount]])</f>
        <v>30441.109499999999</v>
      </c>
      <c r="Q952" s="2">
        <f>SalesData[[#This Row],[Sales_amount]]-SalesData[[#This Row],[Total_Cost]]</f>
        <v>-2020.4004999999997</v>
      </c>
      <c r="R952" s="2">
        <f>SalesData[[#This Row],[Profit]]/SalesData[[#This Row],[Sales_amount]]</f>
        <v>-6.6370790460183446E-2</v>
      </c>
      <c r="S952" s="2">
        <f>SalesData[[#This Row],[Unit_Price]]-SalesData[[#This Row],[Unit_Cost]]</f>
        <v>263.98</v>
      </c>
      <c r="T952" s="10">
        <f>SalesData[[#This Row],[Unit_Margin]]/SalesData[[#This Row],[Unit_Price]]</f>
        <v>0.15756707553645508</v>
      </c>
      <c r="U952" s="2" t="str">
        <f>IF(SalesData[[#This Row],[Unit_Margin]]&lt;0, "Negative margin", "Positive margin")</f>
        <v>Positive margin</v>
      </c>
      <c r="V952" s="2" t="str">
        <f>IF(SalesData[[#This Row],[Profit]]&lt;0, "Loss", "Profit")</f>
        <v>Loss</v>
      </c>
      <c r="W952" s="2">
        <f>SalesData[[#This Row],[Unit_Price]]*(1-SalesData[[#This Row],[Discount]])</f>
        <v>1323.5264999999999</v>
      </c>
      <c r="X952" s="2">
        <f>SalesData[[#This Row],[Effective_Unit_Price]]-SalesData[[#This Row],[Unit_Cost]]</f>
        <v>-87.843499999999949</v>
      </c>
      <c r="Y952" s="2" t="str">
        <f>IF(SalesData[[#This Row],[Effective_Unit_Margin]]&lt;0,"Loss per Unit","Positive per Unit")</f>
        <v>Loss per Unit</v>
      </c>
    </row>
    <row r="953" spans="1:25" x14ac:dyDescent="0.3">
      <c r="A953">
        <v>1026</v>
      </c>
      <c r="B953" s="1">
        <v>45169</v>
      </c>
      <c r="C953" t="s">
        <v>41</v>
      </c>
      <c r="D953" t="s">
        <v>33</v>
      </c>
      <c r="E953">
        <v>25</v>
      </c>
      <c r="F953" t="s">
        <v>34</v>
      </c>
      <c r="G953">
        <v>1156.8800000000001</v>
      </c>
      <c r="H953">
        <v>1454.68</v>
      </c>
      <c r="I953" t="s">
        <v>16</v>
      </c>
      <c r="J953" s="2">
        <v>0.06</v>
      </c>
      <c r="K953" t="s">
        <v>30</v>
      </c>
      <c r="L953" t="s">
        <v>18</v>
      </c>
      <c r="M953" t="s">
        <v>51</v>
      </c>
      <c r="N953">
        <f>SalesData[[#This Row],[Quantity_Sold]]*SalesData[[#This Row],[Unit_Cost]]</f>
        <v>28922.000000000004</v>
      </c>
      <c r="O953">
        <f>SalesData[[#This Row],[Quantity_Sold]]*SalesData[[#This Row],[Unit_Price]]</f>
        <v>36367</v>
      </c>
      <c r="P953">
        <f>SalesData[[#This Row],[Gross_sales]]*(1-SalesData[[#This Row],[Discount]])</f>
        <v>34184.979999999996</v>
      </c>
      <c r="Q953" s="2">
        <f>SalesData[[#This Row],[Sales_amount]]-SalesData[[#This Row],[Total_Cost]]</f>
        <v>5262.9799999999923</v>
      </c>
      <c r="R953" s="2">
        <f>SalesData[[#This Row],[Profit]]/SalesData[[#This Row],[Sales_amount]]</f>
        <v>0.15395591865199257</v>
      </c>
      <c r="S953" s="2">
        <f>SalesData[[#This Row],[Unit_Price]]-SalesData[[#This Row],[Unit_Cost]]</f>
        <v>297.79999999999995</v>
      </c>
      <c r="T953" s="10">
        <f>SalesData[[#This Row],[Unit_Margin]]/SalesData[[#This Row],[Unit_Price]]</f>
        <v>0.20471856353287318</v>
      </c>
      <c r="U953" s="2" t="str">
        <f>IF(SalesData[[#This Row],[Unit_Margin]]&lt;0, "Negative margin", "Positive margin")</f>
        <v>Positive margin</v>
      </c>
      <c r="V953" s="2" t="str">
        <f>IF(SalesData[[#This Row],[Profit]]&lt;0, "Loss", "Profit")</f>
        <v>Profit</v>
      </c>
      <c r="W953" s="2">
        <f>SalesData[[#This Row],[Unit_Price]]*(1-SalesData[[#This Row],[Discount]])</f>
        <v>1367.3992000000001</v>
      </c>
      <c r="X953" s="2">
        <f>SalesData[[#This Row],[Effective_Unit_Price]]-SalesData[[#This Row],[Unit_Cost]]</f>
        <v>210.51919999999996</v>
      </c>
      <c r="Y953" s="2" t="str">
        <f>IF(SalesData[[#This Row],[Effective_Unit_Margin]]&lt;0,"Loss per Unit","Positive per Unit")</f>
        <v>Positive per Unit</v>
      </c>
    </row>
    <row r="954" spans="1:25" x14ac:dyDescent="0.3">
      <c r="A954">
        <v>1036</v>
      </c>
      <c r="B954" s="1">
        <v>45048</v>
      </c>
      <c r="C954" t="s">
        <v>23</v>
      </c>
      <c r="D954" t="s">
        <v>14</v>
      </c>
      <c r="E954">
        <v>42</v>
      </c>
      <c r="F954" t="s">
        <v>15</v>
      </c>
      <c r="G954">
        <v>4292.63</v>
      </c>
      <c r="H954">
        <v>4387.99</v>
      </c>
      <c r="I954" t="s">
        <v>29</v>
      </c>
      <c r="J954" s="2">
        <v>7.0000000000000007E-2</v>
      </c>
      <c r="K954" t="s">
        <v>30</v>
      </c>
      <c r="L954" t="s">
        <v>21</v>
      </c>
      <c r="M954" t="s">
        <v>44</v>
      </c>
      <c r="N954">
        <f>SalesData[[#This Row],[Quantity_Sold]]*SalesData[[#This Row],[Unit_Cost]]</f>
        <v>180290.46</v>
      </c>
      <c r="O954">
        <f>SalesData[[#This Row],[Quantity_Sold]]*SalesData[[#This Row],[Unit_Price]]</f>
        <v>184295.58</v>
      </c>
      <c r="P954">
        <f>SalesData[[#This Row],[Gross_sales]]*(1-SalesData[[#This Row],[Discount]])</f>
        <v>171394.88939999999</v>
      </c>
      <c r="Q954" s="2">
        <f>SalesData[[#This Row],[Sales_amount]]-SalesData[[#This Row],[Total_Cost]]</f>
        <v>-8895.5706000000064</v>
      </c>
      <c r="R954" s="2">
        <f>SalesData[[#This Row],[Profit]]/SalesData[[#This Row],[Sales_amount]]</f>
        <v>-5.1901025935724356E-2</v>
      </c>
      <c r="S954" s="2">
        <f>SalesData[[#This Row],[Unit_Price]]-SalesData[[#This Row],[Unit_Cost]]</f>
        <v>95.359999999999673</v>
      </c>
      <c r="T954" s="10">
        <f>SalesData[[#This Row],[Unit_Margin]]/SalesData[[#This Row],[Unit_Price]]</f>
        <v>2.1732045879776316E-2</v>
      </c>
      <c r="U954" s="2" t="str">
        <f>IF(SalesData[[#This Row],[Unit_Margin]]&lt;0, "Negative margin", "Positive margin")</f>
        <v>Positive margin</v>
      </c>
      <c r="V954" s="2" t="str">
        <f>IF(SalesData[[#This Row],[Profit]]&lt;0, "Loss", "Profit")</f>
        <v>Loss</v>
      </c>
      <c r="W954" s="2">
        <f>SalesData[[#This Row],[Unit_Price]]*(1-SalesData[[#This Row],[Discount]])</f>
        <v>4080.8306999999995</v>
      </c>
      <c r="X954" s="2">
        <f>SalesData[[#This Row],[Effective_Unit_Price]]-SalesData[[#This Row],[Unit_Cost]]</f>
        <v>-211.79930000000058</v>
      </c>
      <c r="Y954" s="2" t="str">
        <f>IF(SalesData[[#This Row],[Effective_Unit_Margin]]&lt;0,"Loss per Unit","Positive per Unit")</f>
        <v>Loss per Unit</v>
      </c>
    </row>
    <row r="955" spans="1:25" x14ac:dyDescent="0.3">
      <c r="A955">
        <v>1001</v>
      </c>
      <c r="B955" s="1">
        <v>45073</v>
      </c>
      <c r="C955" t="s">
        <v>41</v>
      </c>
      <c r="D955" t="s">
        <v>24</v>
      </c>
      <c r="E955">
        <v>7</v>
      </c>
      <c r="F955" t="s">
        <v>34</v>
      </c>
      <c r="G955">
        <v>4094.68</v>
      </c>
      <c r="H955">
        <v>4576.5</v>
      </c>
      <c r="I955" t="s">
        <v>29</v>
      </c>
      <c r="J955" s="2">
        <v>0.3</v>
      </c>
      <c r="K955" t="s">
        <v>17</v>
      </c>
      <c r="L955" t="s">
        <v>21</v>
      </c>
      <c r="M955" t="s">
        <v>42</v>
      </c>
      <c r="N955">
        <f>SalesData[[#This Row],[Quantity_Sold]]*SalesData[[#This Row],[Unit_Cost]]</f>
        <v>28662.76</v>
      </c>
      <c r="O955">
        <f>SalesData[[#This Row],[Quantity_Sold]]*SalesData[[#This Row],[Unit_Price]]</f>
        <v>32035.5</v>
      </c>
      <c r="P955">
        <f>SalesData[[#This Row],[Gross_sales]]*(1-SalesData[[#This Row],[Discount]])</f>
        <v>22424.85</v>
      </c>
      <c r="Q955" s="2">
        <f>SalesData[[#This Row],[Sales_amount]]-SalesData[[#This Row],[Total_Cost]]</f>
        <v>-6237.91</v>
      </c>
      <c r="R955" s="2">
        <f>SalesData[[#This Row],[Profit]]/SalesData[[#This Row],[Sales_amount]]</f>
        <v>-0.27816953067690531</v>
      </c>
      <c r="S955" s="2">
        <f>SalesData[[#This Row],[Unit_Price]]-SalesData[[#This Row],[Unit_Cost]]</f>
        <v>481.82000000000016</v>
      </c>
      <c r="T955" s="10">
        <f>SalesData[[#This Row],[Unit_Margin]]/SalesData[[#This Row],[Unit_Price]]</f>
        <v>0.10528132852616633</v>
      </c>
      <c r="U955" s="2" t="str">
        <f>IF(SalesData[[#This Row],[Unit_Margin]]&lt;0, "Negative margin", "Positive margin")</f>
        <v>Positive margin</v>
      </c>
      <c r="V955" s="2" t="str">
        <f>IF(SalesData[[#This Row],[Profit]]&lt;0, "Loss", "Profit")</f>
        <v>Loss</v>
      </c>
      <c r="W955" s="2">
        <f>SalesData[[#This Row],[Unit_Price]]*(1-SalesData[[#This Row],[Discount]])</f>
        <v>3203.5499999999997</v>
      </c>
      <c r="X955" s="2">
        <f>SalesData[[#This Row],[Effective_Unit_Price]]-SalesData[[#This Row],[Unit_Cost]]</f>
        <v>-891.13000000000011</v>
      </c>
      <c r="Y955" s="2" t="str">
        <f>IF(SalesData[[#This Row],[Effective_Unit_Margin]]&lt;0,"Loss per Unit","Positive per Unit")</f>
        <v>Loss per Unit</v>
      </c>
    </row>
    <row r="956" spans="1:25" x14ac:dyDescent="0.3">
      <c r="A956">
        <v>1008</v>
      </c>
      <c r="B956" s="1">
        <v>44981</v>
      </c>
      <c r="C956" t="s">
        <v>37</v>
      </c>
      <c r="D956" t="s">
        <v>20</v>
      </c>
      <c r="E956">
        <v>22</v>
      </c>
      <c r="F956" t="s">
        <v>34</v>
      </c>
      <c r="G956">
        <v>2269.3200000000002</v>
      </c>
      <c r="H956">
        <v>2365.35</v>
      </c>
      <c r="I956" t="s">
        <v>29</v>
      </c>
      <c r="J956" s="2">
        <v>0.03</v>
      </c>
      <c r="K956" t="s">
        <v>17</v>
      </c>
      <c r="L956" t="s">
        <v>21</v>
      </c>
      <c r="M956" t="s">
        <v>40</v>
      </c>
      <c r="N956">
        <f>SalesData[[#This Row],[Quantity_Sold]]*SalesData[[#This Row],[Unit_Cost]]</f>
        <v>49925.04</v>
      </c>
      <c r="O956">
        <f>SalesData[[#This Row],[Quantity_Sold]]*SalesData[[#This Row],[Unit_Price]]</f>
        <v>52037.7</v>
      </c>
      <c r="P956">
        <f>SalesData[[#This Row],[Gross_sales]]*(1-SalesData[[#This Row],[Discount]])</f>
        <v>50476.568999999996</v>
      </c>
      <c r="Q956" s="2">
        <f>SalesData[[#This Row],[Sales_amount]]-SalesData[[#This Row],[Total_Cost]]</f>
        <v>551.52899999999499</v>
      </c>
      <c r="R956" s="2">
        <f>SalesData[[#This Row],[Profit]]/SalesData[[#This Row],[Sales_amount]]</f>
        <v>1.0926435986566263E-2</v>
      </c>
      <c r="S956" s="2">
        <f>SalesData[[#This Row],[Unit_Price]]-SalesData[[#This Row],[Unit_Cost]]</f>
        <v>96.029999999999745</v>
      </c>
      <c r="T956" s="10">
        <f>SalesData[[#This Row],[Unit_Margin]]/SalesData[[#This Row],[Unit_Price]]</f>
        <v>4.0598642906969261E-2</v>
      </c>
      <c r="U956" s="2" t="str">
        <f>IF(SalesData[[#This Row],[Unit_Margin]]&lt;0, "Negative margin", "Positive margin")</f>
        <v>Positive margin</v>
      </c>
      <c r="V956" s="2" t="str">
        <f>IF(SalesData[[#This Row],[Profit]]&lt;0, "Loss", "Profit")</f>
        <v>Profit</v>
      </c>
      <c r="W956" s="2">
        <f>SalesData[[#This Row],[Unit_Price]]*(1-SalesData[[#This Row],[Discount]])</f>
        <v>2294.3894999999998</v>
      </c>
      <c r="X956" s="2">
        <f>SalesData[[#This Row],[Effective_Unit_Price]]-SalesData[[#This Row],[Unit_Cost]]</f>
        <v>25.069499999999607</v>
      </c>
      <c r="Y956" s="2" t="str">
        <f>IF(SalesData[[#This Row],[Effective_Unit_Margin]]&lt;0,"Loss per Unit","Positive per Unit")</f>
        <v>Positive per Unit</v>
      </c>
    </row>
    <row r="957" spans="1:25" x14ac:dyDescent="0.3">
      <c r="A957">
        <v>1099</v>
      </c>
      <c r="B957" s="1">
        <v>45164</v>
      </c>
      <c r="C957" t="s">
        <v>23</v>
      </c>
      <c r="D957" t="s">
        <v>20</v>
      </c>
      <c r="E957">
        <v>17</v>
      </c>
      <c r="F957" t="s">
        <v>25</v>
      </c>
      <c r="G957">
        <v>2471.73</v>
      </c>
      <c r="H957">
        <v>2568.73</v>
      </c>
      <c r="I957" t="s">
        <v>29</v>
      </c>
      <c r="J957" s="2">
        <v>0.05</v>
      </c>
      <c r="K957" t="s">
        <v>17</v>
      </c>
      <c r="L957" t="s">
        <v>21</v>
      </c>
      <c r="M957" t="s">
        <v>46</v>
      </c>
      <c r="N957">
        <f>SalesData[[#This Row],[Quantity_Sold]]*SalesData[[#This Row],[Unit_Cost]]</f>
        <v>42019.41</v>
      </c>
      <c r="O957">
        <f>SalesData[[#This Row],[Quantity_Sold]]*SalesData[[#This Row],[Unit_Price]]</f>
        <v>43668.41</v>
      </c>
      <c r="P957">
        <f>SalesData[[#This Row],[Gross_sales]]*(1-SalesData[[#This Row],[Discount]])</f>
        <v>41484.989500000003</v>
      </c>
      <c r="Q957" s="2">
        <f>SalesData[[#This Row],[Sales_amount]]-SalesData[[#This Row],[Total_Cost]]</f>
        <v>-534.42050000000017</v>
      </c>
      <c r="R957" s="2">
        <f>SalesData[[#This Row],[Profit]]/SalesData[[#This Row],[Sales_amount]]</f>
        <v>-1.2882261908249974E-2</v>
      </c>
      <c r="S957" s="2">
        <f>SalesData[[#This Row],[Unit_Price]]-SalesData[[#This Row],[Unit_Cost]]</f>
        <v>97</v>
      </c>
      <c r="T957" s="10">
        <f>SalesData[[#This Row],[Unit_Margin]]/SalesData[[#This Row],[Unit_Price]]</f>
        <v>3.7761851187162528E-2</v>
      </c>
      <c r="U957" s="2" t="str">
        <f>IF(SalesData[[#This Row],[Unit_Margin]]&lt;0, "Negative margin", "Positive margin")</f>
        <v>Positive margin</v>
      </c>
      <c r="V957" s="2" t="str">
        <f>IF(SalesData[[#This Row],[Profit]]&lt;0, "Loss", "Profit")</f>
        <v>Loss</v>
      </c>
      <c r="W957" s="2">
        <f>SalesData[[#This Row],[Unit_Price]]*(1-SalesData[[#This Row],[Discount]])</f>
        <v>2440.2934999999998</v>
      </c>
      <c r="X957" s="2">
        <f>SalesData[[#This Row],[Effective_Unit_Price]]-SalesData[[#This Row],[Unit_Cost]]</f>
        <v>-31.436500000000251</v>
      </c>
      <c r="Y957" s="2" t="str">
        <f>IF(SalesData[[#This Row],[Effective_Unit_Margin]]&lt;0,"Loss per Unit","Positive per Unit")</f>
        <v>Loss per Unit</v>
      </c>
    </row>
    <row r="958" spans="1:25" x14ac:dyDescent="0.3">
      <c r="A958">
        <v>1052</v>
      </c>
      <c r="B958" s="1">
        <v>45282</v>
      </c>
      <c r="C958" t="s">
        <v>32</v>
      </c>
      <c r="D958" t="s">
        <v>20</v>
      </c>
      <c r="E958">
        <v>18</v>
      </c>
      <c r="F958" t="s">
        <v>25</v>
      </c>
      <c r="G958">
        <v>1127.8599999999999</v>
      </c>
      <c r="H958">
        <v>1586.29</v>
      </c>
      <c r="I958" t="s">
        <v>29</v>
      </c>
      <c r="J958" s="2">
        <v>0.04</v>
      </c>
      <c r="K958" t="s">
        <v>30</v>
      </c>
      <c r="L958" t="s">
        <v>18</v>
      </c>
      <c r="M958" t="s">
        <v>36</v>
      </c>
      <c r="N958">
        <f>SalesData[[#This Row],[Quantity_Sold]]*SalesData[[#This Row],[Unit_Cost]]</f>
        <v>20301.48</v>
      </c>
      <c r="O958">
        <f>SalesData[[#This Row],[Quantity_Sold]]*SalesData[[#This Row],[Unit_Price]]</f>
        <v>28553.22</v>
      </c>
      <c r="P958">
        <f>SalesData[[#This Row],[Gross_sales]]*(1-SalesData[[#This Row],[Discount]])</f>
        <v>27411.091199999999</v>
      </c>
      <c r="Q958" s="2">
        <f>SalesData[[#This Row],[Sales_amount]]-SalesData[[#This Row],[Total_Cost]]</f>
        <v>7109.6111999999994</v>
      </c>
      <c r="R958" s="2">
        <f>SalesData[[#This Row],[Profit]]/SalesData[[#This Row],[Sales_amount]]</f>
        <v>0.25936987141905538</v>
      </c>
      <c r="S958" s="2">
        <f>SalesData[[#This Row],[Unit_Price]]-SalesData[[#This Row],[Unit_Cost]]</f>
        <v>458.43000000000006</v>
      </c>
      <c r="T958" s="10">
        <f>SalesData[[#This Row],[Unit_Margin]]/SalesData[[#This Row],[Unit_Price]]</f>
        <v>0.28899507656229317</v>
      </c>
      <c r="U958" s="2" t="str">
        <f>IF(SalesData[[#This Row],[Unit_Margin]]&lt;0, "Negative margin", "Positive margin")</f>
        <v>Positive margin</v>
      </c>
      <c r="V958" s="2" t="str">
        <f>IF(SalesData[[#This Row],[Profit]]&lt;0, "Loss", "Profit")</f>
        <v>Profit</v>
      </c>
      <c r="W958" s="2">
        <f>SalesData[[#This Row],[Unit_Price]]*(1-SalesData[[#This Row],[Discount]])</f>
        <v>1522.8383999999999</v>
      </c>
      <c r="X958" s="2">
        <f>SalesData[[#This Row],[Effective_Unit_Price]]-SalesData[[#This Row],[Unit_Cost]]</f>
        <v>394.97839999999997</v>
      </c>
      <c r="Y958" s="2" t="str">
        <f>IF(SalesData[[#This Row],[Effective_Unit_Margin]]&lt;0,"Loss per Unit","Positive per Unit")</f>
        <v>Positive per Unit</v>
      </c>
    </row>
    <row r="959" spans="1:25" x14ac:dyDescent="0.3">
      <c r="A959">
        <v>1079</v>
      </c>
      <c r="B959" s="1">
        <v>45099</v>
      </c>
      <c r="C959" t="s">
        <v>37</v>
      </c>
      <c r="D959" t="s">
        <v>33</v>
      </c>
      <c r="E959">
        <v>49</v>
      </c>
      <c r="F959" t="s">
        <v>28</v>
      </c>
      <c r="G959">
        <v>437.59</v>
      </c>
      <c r="H959">
        <v>675.54</v>
      </c>
      <c r="I959" t="s">
        <v>16</v>
      </c>
      <c r="J959" s="2">
        <v>0.1</v>
      </c>
      <c r="K959" t="s">
        <v>17</v>
      </c>
      <c r="L959" t="s">
        <v>18</v>
      </c>
      <c r="M959" t="s">
        <v>47</v>
      </c>
      <c r="N959">
        <f>SalesData[[#This Row],[Quantity_Sold]]*SalesData[[#This Row],[Unit_Cost]]</f>
        <v>21441.91</v>
      </c>
      <c r="O959">
        <f>SalesData[[#This Row],[Quantity_Sold]]*SalesData[[#This Row],[Unit_Price]]</f>
        <v>33101.46</v>
      </c>
      <c r="P959">
        <f>SalesData[[#This Row],[Gross_sales]]*(1-SalesData[[#This Row],[Discount]])</f>
        <v>29791.313999999998</v>
      </c>
      <c r="Q959" s="2">
        <f>SalesData[[#This Row],[Sales_amount]]-SalesData[[#This Row],[Total_Cost]]</f>
        <v>8349.4039999999986</v>
      </c>
      <c r="R959" s="2">
        <f>SalesData[[#This Row],[Profit]]/SalesData[[#This Row],[Sales_amount]]</f>
        <v>0.28026303237245592</v>
      </c>
      <c r="S959" s="2">
        <f>SalesData[[#This Row],[Unit_Price]]-SalesData[[#This Row],[Unit_Cost]]</f>
        <v>237.95</v>
      </c>
      <c r="T959" s="10">
        <f>SalesData[[#This Row],[Unit_Margin]]/SalesData[[#This Row],[Unit_Price]]</f>
        <v>0.35223672913521037</v>
      </c>
      <c r="U959" s="2" t="str">
        <f>IF(SalesData[[#This Row],[Unit_Margin]]&lt;0, "Negative margin", "Positive margin")</f>
        <v>Positive margin</v>
      </c>
      <c r="V959" s="2" t="str">
        <f>IF(SalesData[[#This Row],[Profit]]&lt;0, "Loss", "Profit")</f>
        <v>Profit</v>
      </c>
      <c r="W959" s="2">
        <f>SalesData[[#This Row],[Unit_Price]]*(1-SalesData[[#This Row],[Discount]])</f>
        <v>607.98599999999999</v>
      </c>
      <c r="X959" s="2">
        <f>SalesData[[#This Row],[Effective_Unit_Price]]-SalesData[[#This Row],[Unit_Cost]]</f>
        <v>170.39600000000002</v>
      </c>
      <c r="Y959" s="2" t="str">
        <f>IF(SalesData[[#This Row],[Effective_Unit_Margin]]&lt;0,"Loss per Unit","Positive per Unit")</f>
        <v>Positive per Unit</v>
      </c>
    </row>
    <row r="960" spans="1:25" x14ac:dyDescent="0.3">
      <c r="A960">
        <v>1047</v>
      </c>
      <c r="B960" s="1">
        <v>45147</v>
      </c>
      <c r="C960" t="s">
        <v>23</v>
      </c>
      <c r="D960" t="s">
        <v>14</v>
      </c>
      <c r="E960">
        <v>41</v>
      </c>
      <c r="F960" t="s">
        <v>28</v>
      </c>
      <c r="G960">
        <v>2888.49</v>
      </c>
      <c r="H960">
        <v>2929.45</v>
      </c>
      <c r="I960" t="s">
        <v>29</v>
      </c>
      <c r="J960" s="2">
        <v>0.06</v>
      </c>
      <c r="K960" t="s">
        <v>17</v>
      </c>
      <c r="L960" t="s">
        <v>21</v>
      </c>
      <c r="M960" t="s">
        <v>44</v>
      </c>
      <c r="N960">
        <f>SalesData[[#This Row],[Quantity_Sold]]*SalesData[[#This Row],[Unit_Cost]]</f>
        <v>118428.09</v>
      </c>
      <c r="O960">
        <f>SalesData[[#This Row],[Quantity_Sold]]*SalesData[[#This Row],[Unit_Price]]</f>
        <v>120107.45</v>
      </c>
      <c r="P960">
        <f>SalesData[[#This Row],[Gross_sales]]*(1-SalesData[[#This Row],[Discount]])</f>
        <v>112901.003</v>
      </c>
      <c r="Q960" s="2">
        <f>SalesData[[#This Row],[Sales_amount]]-SalesData[[#This Row],[Total_Cost]]</f>
        <v>-5527.0869999999995</v>
      </c>
      <c r="R960" s="2">
        <f>SalesData[[#This Row],[Profit]]/SalesData[[#This Row],[Sales_amount]]</f>
        <v>-4.8955162958118269E-2</v>
      </c>
      <c r="S960" s="2">
        <f>SalesData[[#This Row],[Unit_Price]]-SalesData[[#This Row],[Unit_Cost]]</f>
        <v>40.960000000000036</v>
      </c>
      <c r="T960" s="10">
        <f>SalesData[[#This Row],[Unit_Margin]]/SalesData[[#This Row],[Unit_Price]]</f>
        <v>1.3982146819368838E-2</v>
      </c>
      <c r="U960" s="2" t="str">
        <f>IF(SalesData[[#This Row],[Unit_Margin]]&lt;0, "Negative margin", "Positive margin")</f>
        <v>Positive margin</v>
      </c>
      <c r="V960" s="2" t="str">
        <f>IF(SalesData[[#This Row],[Profit]]&lt;0, "Loss", "Profit")</f>
        <v>Loss</v>
      </c>
      <c r="W960" s="2">
        <f>SalesData[[#This Row],[Unit_Price]]*(1-SalesData[[#This Row],[Discount]])</f>
        <v>2753.6829999999995</v>
      </c>
      <c r="X960" s="2">
        <f>SalesData[[#This Row],[Effective_Unit_Price]]-SalesData[[#This Row],[Unit_Cost]]</f>
        <v>-134.80700000000024</v>
      </c>
      <c r="Y960" s="2" t="str">
        <f>IF(SalesData[[#This Row],[Effective_Unit_Margin]]&lt;0,"Loss per Unit","Positive per Unit")</f>
        <v>Loss per Unit</v>
      </c>
    </row>
    <row r="961" spans="1:25" x14ac:dyDescent="0.3">
      <c r="A961">
        <v>1056</v>
      </c>
      <c r="B961" s="1">
        <v>45045</v>
      </c>
      <c r="C961" t="s">
        <v>32</v>
      </c>
      <c r="D961" t="s">
        <v>14</v>
      </c>
      <c r="E961">
        <v>10</v>
      </c>
      <c r="F961" t="s">
        <v>28</v>
      </c>
      <c r="G961">
        <v>536.80999999999995</v>
      </c>
      <c r="H961">
        <v>839.92</v>
      </c>
      <c r="I961" t="s">
        <v>16</v>
      </c>
      <c r="J961" s="2">
        <v>0.15</v>
      </c>
      <c r="K961" t="s">
        <v>26</v>
      </c>
      <c r="L961" t="s">
        <v>18</v>
      </c>
      <c r="M961" t="s">
        <v>52</v>
      </c>
      <c r="N961">
        <f>SalesData[[#This Row],[Quantity_Sold]]*SalesData[[#This Row],[Unit_Cost]]</f>
        <v>5368.0999999999995</v>
      </c>
      <c r="O961">
        <f>SalesData[[#This Row],[Quantity_Sold]]*SalesData[[#This Row],[Unit_Price]]</f>
        <v>8399.1999999999989</v>
      </c>
      <c r="P961">
        <f>SalesData[[#This Row],[Gross_sales]]*(1-SalesData[[#This Row],[Discount]])</f>
        <v>7139.3199999999988</v>
      </c>
      <c r="Q961" s="2">
        <f>SalesData[[#This Row],[Sales_amount]]-SalesData[[#This Row],[Total_Cost]]</f>
        <v>1771.2199999999993</v>
      </c>
      <c r="R961" s="2">
        <f>SalesData[[#This Row],[Profit]]/SalesData[[#This Row],[Sales_amount]]</f>
        <v>0.24809365597844046</v>
      </c>
      <c r="S961" s="2">
        <f>SalesData[[#This Row],[Unit_Price]]-SalesData[[#This Row],[Unit_Cost]]</f>
        <v>303.11</v>
      </c>
      <c r="T961" s="10">
        <f>SalesData[[#This Row],[Unit_Margin]]/SalesData[[#This Row],[Unit_Price]]</f>
        <v>0.36087960758167448</v>
      </c>
      <c r="U961" s="2" t="str">
        <f>IF(SalesData[[#This Row],[Unit_Margin]]&lt;0, "Negative margin", "Positive margin")</f>
        <v>Positive margin</v>
      </c>
      <c r="V961" s="2" t="str">
        <f>IF(SalesData[[#This Row],[Profit]]&lt;0, "Loss", "Profit")</f>
        <v>Profit</v>
      </c>
      <c r="W961" s="2">
        <f>SalesData[[#This Row],[Unit_Price]]*(1-SalesData[[#This Row],[Discount]])</f>
        <v>713.9319999999999</v>
      </c>
      <c r="X961" s="2">
        <f>SalesData[[#This Row],[Effective_Unit_Price]]-SalesData[[#This Row],[Unit_Cost]]</f>
        <v>177.12199999999996</v>
      </c>
      <c r="Y961" s="2" t="str">
        <f>IF(SalesData[[#This Row],[Effective_Unit_Margin]]&lt;0,"Loss per Unit","Positive per Unit")</f>
        <v>Positive per Unit</v>
      </c>
    </row>
    <row r="962" spans="1:25" x14ac:dyDescent="0.3">
      <c r="A962">
        <v>1086</v>
      </c>
      <c r="B962" s="1">
        <v>45235</v>
      </c>
      <c r="C962" t="s">
        <v>41</v>
      </c>
      <c r="D962" t="s">
        <v>24</v>
      </c>
      <c r="E962">
        <v>10</v>
      </c>
      <c r="F962" t="s">
        <v>15</v>
      </c>
      <c r="G962">
        <v>2273.91</v>
      </c>
      <c r="H962">
        <v>2578.7999999999902</v>
      </c>
      <c r="I962" t="s">
        <v>29</v>
      </c>
      <c r="J962" s="2">
        <v>0.14000000000000001</v>
      </c>
      <c r="K962" t="s">
        <v>17</v>
      </c>
      <c r="L962" t="s">
        <v>18</v>
      </c>
      <c r="M962" t="s">
        <v>42</v>
      </c>
      <c r="N962">
        <f>SalesData[[#This Row],[Quantity_Sold]]*SalesData[[#This Row],[Unit_Cost]]</f>
        <v>22739.1</v>
      </c>
      <c r="O962">
        <f>SalesData[[#This Row],[Quantity_Sold]]*SalesData[[#This Row],[Unit_Price]]</f>
        <v>25787.999999999902</v>
      </c>
      <c r="P962">
        <f>SalesData[[#This Row],[Gross_sales]]*(1-SalesData[[#This Row],[Discount]])</f>
        <v>22177.679999999917</v>
      </c>
      <c r="Q962" s="2">
        <f>SalesData[[#This Row],[Sales_amount]]-SalesData[[#This Row],[Total_Cost]]</f>
        <v>-561.42000000008193</v>
      </c>
      <c r="R962" s="2">
        <f>SalesData[[#This Row],[Profit]]/SalesData[[#This Row],[Sales_amount]]</f>
        <v>-2.5314640665754218E-2</v>
      </c>
      <c r="S962" s="2">
        <f>SalesData[[#This Row],[Unit_Price]]-SalesData[[#This Row],[Unit_Cost]]</f>
        <v>304.88999999999032</v>
      </c>
      <c r="T962" s="10">
        <f>SalesData[[#This Row],[Unit_Margin]]/SalesData[[#This Row],[Unit_Price]]</f>
        <v>0.11822940902745133</v>
      </c>
      <c r="U962" s="2" t="str">
        <f>IF(SalesData[[#This Row],[Unit_Margin]]&lt;0, "Negative margin", "Positive margin")</f>
        <v>Positive margin</v>
      </c>
      <c r="V962" s="2" t="str">
        <f>IF(SalesData[[#This Row],[Profit]]&lt;0, "Loss", "Profit")</f>
        <v>Loss</v>
      </c>
      <c r="W962" s="2">
        <f>SalesData[[#This Row],[Unit_Price]]*(1-SalesData[[#This Row],[Discount]])</f>
        <v>2217.7679999999914</v>
      </c>
      <c r="X962" s="2">
        <f>SalesData[[#This Row],[Effective_Unit_Price]]-SalesData[[#This Row],[Unit_Cost]]</f>
        <v>-56.142000000008466</v>
      </c>
      <c r="Y962" s="2" t="str">
        <f>IF(SalesData[[#This Row],[Effective_Unit_Margin]]&lt;0,"Loss per Unit","Positive per Unit")</f>
        <v>Loss per Unit</v>
      </c>
    </row>
    <row r="963" spans="1:25" x14ac:dyDescent="0.3">
      <c r="A963">
        <v>1014</v>
      </c>
      <c r="B963" s="1">
        <v>45109</v>
      </c>
      <c r="C963" t="s">
        <v>23</v>
      </c>
      <c r="D963" t="s">
        <v>33</v>
      </c>
      <c r="E963">
        <v>7</v>
      </c>
      <c r="F963" t="s">
        <v>28</v>
      </c>
      <c r="G963">
        <v>4705.46</v>
      </c>
      <c r="H963">
        <v>4747.07</v>
      </c>
      <c r="I963" t="s">
        <v>29</v>
      </c>
      <c r="J963" s="2">
        <v>0.27</v>
      </c>
      <c r="K963" t="s">
        <v>26</v>
      </c>
      <c r="L963" t="s">
        <v>21</v>
      </c>
      <c r="M963" t="s">
        <v>49</v>
      </c>
      <c r="N963">
        <f>SalesData[[#This Row],[Quantity_Sold]]*SalesData[[#This Row],[Unit_Cost]]</f>
        <v>32938.22</v>
      </c>
      <c r="O963">
        <f>SalesData[[#This Row],[Quantity_Sold]]*SalesData[[#This Row],[Unit_Price]]</f>
        <v>33229.49</v>
      </c>
      <c r="P963">
        <f>SalesData[[#This Row],[Gross_sales]]*(1-SalesData[[#This Row],[Discount]])</f>
        <v>24257.527699999999</v>
      </c>
      <c r="Q963" s="2">
        <f>SalesData[[#This Row],[Sales_amount]]-SalesData[[#This Row],[Total_Cost]]</f>
        <v>-8680.6923000000024</v>
      </c>
      <c r="R963" s="2">
        <f>SalesData[[#This Row],[Profit]]/SalesData[[#This Row],[Sales_amount]]</f>
        <v>-0.35785560702461872</v>
      </c>
      <c r="S963" s="2">
        <f>SalesData[[#This Row],[Unit_Price]]-SalesData[[#This Row],[Unit_Cost]]</f>
        <v>41.609999999999673</v>
      </c>
      <c r="T963" s="10">
        <f>SalesData[[#This Row],[Unit_Margin]]/SalesData[[#This Row],[Unit_Price]]</f>
        <v>8.7654068720283609E-3</v>
      </c>
      <c r="U963" s="2" t="str">
        <f>IF(SalesData[[#This Row],[Unit_Margin]]&lt;0, "Negative margin", "Positive margin")</f>
        <v>Positive margin</v>
      </c>
      <c r="V963" s="2" t="str">
        <f>IF(SalesData[[#This Row],[Profit]]&lt;0, "Loss", "Profit")</f>
        <v>Loss</v>
      </c>
      <c r="W963" s="2">
        <f>SalesData[[#This Row],[Unit_Price]]*(1-SalesData[[#This Row],[Discount]])</f>
        <v>3465.3610999999996</v>
      </c>
      <c r="X963" s="2">
        <f>SalesData[[#This Row],[Effective_Unit_Price]]-SalesData[[#This Row],[Unit_Cost]]</f>
        <v>-1240.0989000000004</v>
      </c>
      <c r="Y963" s="2" t="str">
        <f>IF(SalesData[[#This Row],[Effective_Unit_Margin]]&lt;0,"Loss per Unit","Positive per Unit")</f>
        <v>Loss per Unit</v>
      </c>
    </row>
    <row r="964" spans="1:25" x14ac:dyDescent="0.3">
      <c r="A964">
        <v>1090</v>
      </c>
      <c r="B964" s="1">
        <v>45214</v>
      </c>
      <c r="C964" t="s">
        <v>32</v>
      </c>
      <c r="D964" t="s">
        <v>24</v>
      </c>
      <c r="E964">
        <v>48</v>
      </c>
      <c r="F964" t="s">
        <v>34</v>
      </c>
      <c r="G964">
        <v>4766.53</v>
      </c>
      <c r="H964">
        <v>5253.07</v>
      </c>
      <c r="I964" t="s">
        <v>16</v>
      </c>
      <c r="J964" s="2">
        <v>0.01</v>
      </c>
      <c r="K964" t="s">
        <v>26</v>
      </c>
      <c r="L964" t="s">
        <v>18</v>
      </c>
      <c r="M964" t="s">
        <v>43</v>
      </c>
      <c r="N964">
        <f>SalesData[[#This Row],[Quantity_Sold]]*SalesData[[#This Row],[Unit_Cost]]</f>
        <v>228793.44</v>
      </c>
      <c r="O964">
        <f>SalesData[[#This Row],[Quantity_Sold]]*SalesData[[#This Row],[Unit_Price]]</f>
        <v>252147.36</v>
      </c>
      <c r="P964">
        <f>SalesData[[#This Row],[Gross_sales]]*(1-SalesData[[#This Row],[Discount]])</f>
        <v>249625.88639999999</v>
      </c>
      <c r="Q964" s="2">
        <f>SalesData[[#This Row],[Sales_amount]]-SalesData[[#This Row],[Total_Cost]]</f>
        <v>20832.446399999986</v>
      </c>
      <c r="R964" s="2">
        <f>SalesData[[#This Row],[Profit]]/SalesData[[#This Row],[Sales_amount]]</f>
        <v>8.3454671710681952E-2</v>
      </c>
      <c r="S964" s="2">
        <f>SalesData[[#This Row],[Unit_Price]]-SalesData[[#This Row],[Unit_Cost]]</f>
        <v>486.53999999999996</v>
      </c>
      <c r="T964" s="10">
        <f>SalesData[[#This Row],[Unit_Margin]]/SalesData[[#This Row],[Unit_Price]]</f>
        <v>9.2620124993575179E-2</v>
      </c>
      <c r="U964" s="2" t="str">
        <f>IF(SalesData[[#This Row],[Unit_Margin]]&lt;0, "Negative margin", "Positive margin")</f>
        <v>Positive margin</v>
      </c>
      <c r="V964" s="2" t="str">
        <f>IF(SalesData[[#This Row],[Profit]]&lt;0, "Loss", "Profit")</f>
        <v>Profit</v>
      </c>
      <c r="W964" s="2">
        <f>SalesData[[#This Row],[Unit_Price]]*(1-SalesData[[#This Row],[Discount]])</f>
        <v>5200.5392999999995</v>
      </c>
      <c r="X964" s="2">
        <f>SalesData[[#This Row],[Effective_Unit_Price]]-SalesData[[#This Row],[Unit_Cost]]</f>
        <v>434.00929999999971</v>
      </c>
      <c r="Y964" s="2" t="str">
        <f>IF(SalesData[[#This Row],[Effective_Unit_Margin]]&lt;0,"Loss per Unit","Positive per Unit")</f>
        <v>Positive per Unit</v>
      </c>
    </row>
    <row r="965" spans="1:25" x14ac:dyDescent="0.3">
      <c r="A965">
        <v>1028</v>
      </c>
      <c r="B965" s="1">
        <v>45233</v>
      </c>
      <c r="C965" t="s">
        <v>41</v>
      </c>
      <c r="D965" t="s">
        <v>14</v>
      </c>
      <c r="E965">
        <v>38</v>
      </c>
      <c r="F965" t="s">
        <v>28</v>
      </c>
      <c r="G965">
        <v>1234.69</v>
      </c>
      <c r="H965">
        <v>1511.26</v>
      </c>
      <c r="I965" t="s">
        <v>29</v>
      </c>
      <c r="J965" s="2">
        <v>0.1</v>
      </c>
      <c r="K965" t="s">
        <v>26</v>
      </c>
      <c r="L965" t="s">
        <v>18</v>
      </c>
      <c r="M965" t="s">
        <v>48</v>
      </c>
      <c r="N965">
        <f>SalesData[[#This Row],[Quantity_Sold]]*SalesData[[#This Row],[Unit_Cost]]</f>
        <v>46918.22</v>
      </c>
      <c r="O965">
        <f>SalesData[[#This Row],[Quantity_Sold]]*SalesData[[#This Row],[Unit_Price]]</f>
        <v>57427.88</v>
      </c>
      <c r="P965">
        <f>SalesData[[#This Row],[Gross_sales]]*(1-SalesData[[#This Row],[Discount]])</f>
        <v>51685.091999999997</v>
      </c>
      <c r="Q965" s="2">
        <f>SalesData[[#This Row],[Sales_amount]]-SalesData[[#This Row],[Total_Cost]]</f>
        <v>4766.8719999999958</v>
      </c>
      <c r="R965" s="2">
        <f>SalesData[[#This Row],[Profit]]/SalesData[[#This Row],[Sales_amount]]</f>
        <v>9.222914801041654E-2</v>
      </c>
      <c r="S965" s="2">
        <f>SalesData[[#This Row],[Unit_Price]]-SalesData[[#This Row],[Unit_Cost]]</f>
        <v>276.56999999999994</v>
      </c>
      <c r="T965" s="10">
        <f>SalesData[[#This Row],[Unit_Margin]]/SalesData[[#This Row],[Unit_Price]]</f>
        <v>0.18300623320937492</v>
      </c>
      <c r="U965" s="2" t="str">
        <f>IF(SalesData[[#This Row],[Unit_Margin]]&lt;0, "Negative margin", "Positive margin")</f>
        <v>Positive margin</v>
      </c>
      <c r="V965" s="2" t="str">
        <f>IF(SalesData[[#This Row],[Profit]]&lt;0, "Loss", "Profit")</f>
        <v>Profit</v>
      </c>
      <c r="W965" s="2">
        <f>SalesData[[#This Row],[Unit_Price]]*(1-SalesData[[#This Row],[Discount]])</f>
        <v>1360.134</v>
      </c>
      <c r="X965" s="2">
        <f>SalesData[[#This Row],[Effective_Unit_Price]]-SalesData[[#This Row],[Unit_Cost]]</f>
        <v>125.44399999999996</v>
      </c>
      <c r="Y965" s="2" t="str">
        <f>IF(SalesData[[#This Row],[Effective_Unit_Margin]]&lt;0,"Loss per Unit","Positive per Unit")</f>
        <v>Positive per Unit</v>
      </c>
    </row>
    <row r="966" spans="1:25" x14ac:dyDescent="0.3">
      <c r="A966">
        <v>1087</v>
      </c>
      <c r="B966" s="1">
        <v>45226</v>
      </c>
      <c r="C966" t="s">
        <v>37</v>
      </c>
      <c r="D966" t="s">
        <v>14</v>
      </c>
      <c r="E966">
        <v>27</v>
      </c>
      <c r="F966" t="s">
        <v>25</v>
      </c>
      <c r="G966">
        <v>3139.36</v>
      </c>
      <c r="H966">
        <v>3423.66</v>
      </c>
      <c r="I966" t="s">
        <v>29</v>
      </c>
      <c r="J966" s="2">
        <v>0.18</v>
      </c>
      <c r="K966" t="s">
        <v>30</v>
      </c>
      <c r="L966" t="s">
        <v>18</v>
      </c>
      <c r="M966" t="s">
        <v>39</v>
      </c>
      <c r="N966">
        <f>SalesData[[#This Row],[Quantity_Sold]]*SalesData[[#This Row],[Unit_Cost]]</f>
        <v>84762.72</v>
      </c>
      <c r="O966">
        <f>SalesData[[#This Row],[Quantity_Sold]]*SalesData[[#This Row],[Unit_Price]]</f>
        <v>92438.819999999992</v>
      </c>
      <c r="P966">
        <f>SalesData[[#This Row],[Gross_sales]]*(1-SalesData[[#This Row],[Discount]])</f>
        <v>75799.832399999999</v>
      </c>
      <c r="Q966" s="2">
        <f>SalesData[[#This Row],[Sales_amount]]-SalesData[[#This Row],[Total_Cost]]</f>
        <v>-8962.8876000000018</v>
      </c>
      <c r="R966" s="2">
        <f>SalesData[[#This Row],[Profit]]/SalesData[[#This Row],[Sales_amount]]</f>
        <v>-0.11824416118365985</v>
      </c>
      <c r="S966" s="2">
        <f>SalesData[[#This Row],[Unit_Price]]-SalesData[[#This Row],[Unit_Cost]]</f>
        <v>284.29999999999973</v>
      </c>
      <c r="T966" s="10">
        <f>SalesData[[#This Row],[Unit_Margin]]/SalesData[[#This Row],[Unit_Price]]</f>
        <v>8.3039787829398873E-2</v>
      </c>
      <c r="U966" s="2" t="str">
        <f>IF(SalesData[[#This Row],[Unit_Margin]]&lt;0, "Negative margin", "Positive margin")</f>
        <v>Positive margin</v>
      </c>
      <c r="V966" s="2" t="str">
        <f>IF(SalesData[[#This Row],[Profit]]&lt;0, "Loss", "Profit")</f>
        <v>Loss</v>
      </c>
      <c r="W966" s="2">
        <f>SalesData[[#This Row],[Unit_Price]]*(1-SalesData[[#This Row],[Discount]])</f>
        <v>2807.4012000000002</v>
      </c>
      <c r="X966" s="2">
        <f>SalesData[[#This Row],[Effective_Unit_Price]]-SalesData[[#This Row],[Unit_Cost]]</f>
        <v>-331.95879999999988</v>
      </c>
      <c r="Y966" s="2" t="str">
        <f>IF(SalesData[[#This Row],[Effective_Unit_Margin]]&lt;0,"Loss per Unit","Positive per Unit")</f>
        <v>Loss per Unit</v>
      </c>
    </row>
    <row r="967" spans="1:25" x14ac:dyDescent="0.3">
      <c r="A967">
        <v>1078</v>
      </c>
      <c r="B967" s="1">
        <v>45008</v>
      </c>
      <c r="C967" t="s">
        <v>37</v>
      </c>
      <c r="D967" t="s">
        <v>20</v>
      </c>
      <c r="E967">
        <v>33</v>
      </c>
      <c r="F967" t="s">
        <v>28</v>
      </c>
      <c r="G967">
        <v>2396.6799999999998</v>
      </c>
      <c r="H967">
        <v>2661.54</v>
      </c>
      <c r="I967" t="s">
        <v>29</v>
      </c>
      <c r="J967" s="2">
        <v>0.18</v>
      </c>
      <c r="K967" t="s">
        <v>26</v>
      </c>
      <c r="L967" t="s">
        <v>18</v>
      </c>
      <c r="M967" t="s">
        <v>40</v>
      </c>
      <c r="N967">
        <f>SalesData[[#This Row],[Quantity_Sold]]*SalesData[[#This Row],[Unit_Cost]]</f>
        <v>79090.439999999988</v>
      </c>
      <c r="O967">
        <f>SalesData[[#This Row],[Quantity_Sold]]*SalesData[[#This Row],[Unit_Price]]</f>
        <v>87830.819999999992</v>
      </c>
      <c r="P967">
        <f>SalesData[[#This Row],[Gross_sales]]*(1-SalesData[[#This Row],[Discount]])</f>
        <v>72021.272400000002</v>
      </c>
      <c r="Q967" s="2">
        <f>SalesData[[#This Row],[Sales_amount]]-SalesData[[#This Row],[Total_Cost]]</f>
        <v>-7069.1675999999861</v>
      </c>
      <c r="R967" s="2">
        <f>SalesData[[#This Row],[Profit]]/SalesData[[#This Row],[Sales_amount]]</f>
        <v>-9.8153883768373779E-2</v>
      </c>
      <c r="S967" s="2">
        <f>SalesData[[#This Row],[Unit_Price]]-SalesData[[#This Row],[Unit_Cost]]</f>
        <v>264.86000000000013</v>
      </c>
      <c r="T967" s="10">
        <f>SalesData[[#This Row],[Unit_Margin]]/SalesData[[#This Row],[Unit_Price]]</f>
        <v>9.951381530993339E-2</v>
      </c>
      <c r="U967" s="2" t="str">
        <f>IF(SalesData[[#This Row],[Unit_Margin]]&lt;0, "Negative margin", "Positive margin")</f>
        <v>Positive margin</v>
      </c>
      <c r="V967" s="2" t="str">
        <f>IF(SalesData[[#This Row],[Profit]]&lt;0, "Loss", "Profit")</f>
        <v>Loss</v>
      </c>
      <c r="W967" s="2">
        <f>SalesData[[#This Row],[Unit_Price]]*(1-SalesData[[#This Row],[Discount]])</f>
        <v>2182.4628000000002</v>
      </c>
      <c r="X967" s="2">
        <f>SalesData[[#This Row],[Effective_Unit_Price]]-SalesData[[#This Row],[Unit_Cost]]</f>
        <v>-214.21719999999959</v>
      </c>
      <c r="Y967" s="2" t="str">
        <f>IF(SalesData[[#This Row],[Effective_Unit_Margin]]&lt;0,"Loss per Unit","Positive per Unit")</f>
        <v>Loss per Unit</v>
      </c>
    </row>
    <row r="968" spans="1:25" x14ac:dyDescent="0.3">
      <c r="A968">
        <v>1088</v>
      </c>
      <c r="B968" s="1">
        <v>45137</v>
      </c>
      <c r="C968" t="s">
        <v>37</v>
      </c>
      <c r="D968" t="s">
        <v>33</v>
      </c>
      <c r="E968">
        <v>1</v>
      </c>
      <c r="F968" t="s">
        <v>15</v>
      </c>
      <c r="G968">
        <v>4384.6400000000003</v>
      </c>
      <c r="H968">
        <v>4693.8999999999996</v>
      </c>
      <c r="I968" t="s">
        <v>29</v>
      </c>
      <c r="J968" s="2">
        <v>0.14000000000000001</v>
      </c>
      <c r="K968" t="s">
        <v>17</v>
      </c>
      <c r="L968" t="s">
        <v>21</v>
      </c>
      <c r="M968" t="s">
        <v>47</v>
      </c>
      <c r="N968">
        <f>SalesData[[#This Row],[Quantity_Sold]]*SalesData[[#This Row],[Unit_Cost]]</f>
        <v>4384.6400000000003</v>
      </c>
      <c r="O968">
        <f>SalesData[[#This Row],[Quantity_Sold]]*SalesData[[#This Row],[Unit_Price]]</f>
        <v>4693.8999999999996</v>
      </c>
      <c r="P968">
        <f>SalesData[[#This Row],[Gross_sales]]*(1-SalesData[[#This Row],[Discount]])</f>
        <v>4036.7539999999995</v>
      </c>
      <c r="Q968" s="2">
        <f>SalesData[[#This Row],[Sales_amount]]-SalesData[[#This Row],[Total_Cost]]</f>
        <v>-347.88600000000088</v>
      </c>
      <c r="R968" s="2">
        <f>SalesData[[#This Row],[Profit]]/SalesData[[#This Row],[Sales_amount]]</f>
        <v>-8.6179638392629557E-2</v>
      </c>
      <c r="S968" s="2">
        <f>SalesData[[#This Row],[Unit_Price]]-SalesData[[#This Row],[Unit_Cost]]</f>
        <v>309.25999999999931</v>
      </c>
      <c r="T968" s="10">
        <f>SalesData[[#This Row],[Unit_Margin]]/SalesData[[#This Row],[Unit_Price]]</f>
        <v>6.5885510982338635E-2</v>
      </c>
      <c r="U968" s="2" t="str">
        <f>IF(SalesData[[#This Row],[Unit_Margin]]&lt;0, "Negative margin", "Positive margin")</f>
        <v>Positive margin</v>
      </c>
      <c r="V968" s="2" t="str">
        <f>IF(SalesData[[#This Row],[Profit]]&lt;0, "Loss", "Profit")</f>
        <v>Loss</v>
      </c>
      <c r="W968" s="2">
        <f>SalesData[[#This Row],[Unit_Price]]*(1-SalesData[[#This Row],[Discount]])</f>
        <v>4036.7539999999995</v>
      </c>
      <c r="X968" s="2">
        <f>SalesData[[#This Row],[Effective_Unit_Price]]-SalesData[[#This Row],[Unit_Cost]]</f>
        <v>-347.88600000000088</v>
      </c>
      <c r="Y968" s="2" t="str">
        <f>IF(SalesData[[#This Row],[Effective_Unit_Margin]]&lt;0,"Loss per Unit","Positive per Unit")</f>
        <v>Loss per Unit</v>
      </c>
    </row>
    <row r="969" spans="1:25" x14ac:dyDescent="0.3">
      <c r="A969">
        <v>1002</v>
      </c>
      <c r="B969" s="1">
        <v>45076</v>
      </c>
      <c r="C969" t="s">
        <v>37</v>
      </c>
      <c r="D969" t="s">
        <v>14</v>
      </c>
      <c r="E969">
        <v>44</v>
      </c>
      <c r="F969" t="s">
        <v>15</v>
      </c>
      <c r="G969">
        <v>1393.58</v>
      </c>
      <c r="H969">
        <v>1533.09</v>
      </c>
      <c r="I969" t="s">
        <v>16</v>
      </c>
      <c r="J969" s="2">
        <v>0.24</v>
      </c>
      <c r="K969" t="s">
        <v>30</v>
      </c>
      <c r="L969" t="s">
        <v>21</v>
      </c>
      <c r="M969" t="s">
        <v>39</v>
      </c>
      <c r="N969">
        <f>SalesData[[#This Row],[Quantity_Sold]]*SalesData[[#This Row],[Unit_Cost]]</f>
        <v>61317.52</v>
      </c>
      <c r="O969">
        <f>SalesData[[#This Row],[Quantity_Sold]]*SalesData[[#This Row],[Unit_Price]]</f>
        <v>67455.959999999992</v>
      </c>
      <c r="P969">
        <f>SalesData[[#This Row],[Gross_sales]]*(1-SalesData[[#This Row],[Discount]])</f>
        <v>51266.529599999994</v>
      </c>
      <c r="Q969" s="2">
        <f>SalesData[[#This Row],[Sales_amount]]-SalesData[[#This Row],[Total_Cost]]</f>
        <v>-10050.990400000002</v>
      </c>
      <c r="R969" s="2">
        <f>SalesData[[#This Row],[Profit]]/SalesData[[#This Row],[Sales_amount]]</f>
        <v>-0.19605365290807597</v>
      </c>
      <c r="S969" s="2">
        <f>SalesData[[#This Row],[Unit_Price]]-SalesData[[#This Row],[Unit_Cost]]</f>
        <v>139.51</v>
      </c>
      <c r="T969" s="10">
        <f>SalesData[[#This Row],[Unit_Margin]]/SalesData[[#This Row],[Unit_Price]]</f>
        <v>9.0999223789862305E-2</v>
      </c>
      <c r="U969" s="2" t="str">
        <f>IF(SalesData[[#This Row],[Unit_Margin]]&lt;0, "Negative margin", "Positive margin")</f>
        <v>Positive margin</v>
      </c>
      <c r="V969" s="2" t="str">
        <f>IF(SalesData[[#This Row],[Profit]]&lt;0, "Loss", "Profit")</f>
        <v>Loss</v>
      </c>
      <c r="W969" s="2">
        <f>SalesData[[#This Row],[Unit_Price]]*(1-SalesData[[#This Row],[Discount]])</f>
        <v>1165.1484</v>
      </c>
      <c r="X969" s="2">
        <f>SalesData[[#This Row],[Effective_Unit_Price]]-SalesData[[#This Row],[Unit_Cost]]</f>
        <v>-228.43159999999989</v>
      </c>
      <c r="Y969" s="2" t="str">
        <f>IF(SalesData[[#This Row],[Effective_Unit_Margin]]&lt;0,"Loss per Unit","Positive per Unit")</f>
        <v>Loss per Unit</v>
      </c>
    </row>
    <row r="970" spans="1:25" x14ac:dyDescent="0.3">
      <c r="A970">
        <v>1026</v>
      </c>
      <c r="B970" s="1">
        <v>44963</v>
      </c>
      <c r="C970" t="s">
        <v>13</v>
      </c>
      <c r="D970" t="s">
        <v>20</v>
      </c>
      <c r="E970">
        <v>34</v>
      </c>
      <c r="F970" t="s">
        <v>34</v>
      </c>
      <c r="G970">
        <v>68.33</v>
      </c>
      <c r="H970">
        <v>219.07999999999899</v>
      </c>
      <c r="I970" t="s">
        <v>29</v>
      </c>
      <c r="J970" s="2">
        <v>0.02</v>
      </c>
      <c r="K970" t="s">
        <v>30</v>
      </c>
      <c r="L970" t="s">
        <v>18</v>
      </c>
      <c r="M970" t="s">
        <v>22</v>
      </c>
      <c r="N970">
        <f>SalesData[[#This Row],[Quantity_Sold]]*SalesData[[#This Row],[Unit_Cost]]</f>
        <v>2323.2199999999998</v>
      </c>
      <c r="O970">
        <f>SalesData[[#This Row],[Quantity_Sold]]*SalesData[[#This Row],[Unit_Price]]</f>
        <v>7448.7199999999657</v>
      </c>
      <c r="P970">
        <f>SalesData[[#This Row],[Gross_sales]]*(1-SalesData[[#This Row],[Discount]])</f>
        <v>7299.7455999999665</v>
      </c>
      <c r="Q970" s="2">
        <f>SalesData[[#This Row],[Sales_amount]]-SalesData[[#This Row],[Total_Cost]]</f>
        <v>4976.5255999999663</v>
      </c>
      <c r="R970" s="2">
        <f>SalesData[[#This Row],[Profit]]/SalesData[[#This Row],[Sales_amount]]</f>
        <v>0.68173959377433502</v>
      </c>
      <c r="S970" s="2">
        <f>SalesData[[#This Row],[Unit_Price]]-SalesData[[#This Row],[Unit_Cost]]</f>
        <v>150.74999999999898</v>
      </c>
      <c r="T970" s="10">
        <f>SalesData[[#This Row],[Unit_Margin]]/SalesData[[#This Row],[Unit_Price]]</f>
        <v>0.68810480189884826</v>
      </c>
      <c r="U970" s="2" t="str">
        <f>IF(SalesData[[#This Row],[Unit_Margin]]&lt;0, "Negative margin", "Positive margin")</f>
        <v>Positive margin</v>
      </c>
      <c r="V970" s="2" t="str">
        <f>IF(SalesData[[#This Row],[Profit]]&lt;0, "Loss", "Profit")</f>
        <v>Profit</v>
      </c>
      <c r="W970" s="2">
        <f>SalesData[[#This Row],[Unit_Price]]*(1-SalesData[[#This Row],[Discount]])</f>
        <v>214.698399999999</v>
      </c>
      <c r="X970" s="2">
        <f>SalesData[[#This Row],[Effective_Unit_Price]]-SalesData[[#This Row],[Unit_Cost]]</f>
        <v>146.36839999999899</v>
      </c>
      <c r="Y970" s="2" t="str">
        <f>IF(SalesData[[#This Row],[Effective_Unit_Margin]]&lt;0,"Loss per Unit","Positive per Unit")</f>
        <v>Positive per Unit</v>
      </c>
    </row>
    <row r="971" spans="1:25" x14ac:dyDescent="0.3">
      <c r="A971">
        <v>1014</v>
      </c>
      <c r="B971" s="1">
        <v>45278</v>
      </c>
      <c r="C971" t="s">
        <v>23</v>
      </c>
      <c r="D971" t="s">
        <v>33</v>
      </c>
      <c r="E971">
        <v>4</v>
      </c>
      <c r="F971" t="s">
        <v>15</v>
      </c>
      <c r="G971">
        <v>854.68</v>
      </c>
      <c r="H971">
        <v>1115.24</v>
      </c>
      <c r="I971" t="s">
        <v>29</v>
      </c>
      <c r="J971" s="2">
        <v>0.24</v>
      </c>
      <c r="K971" t="s">
        <v>30</v>
      </c>
      <c r="L971" t="s">
        <v>21</v>
      </c>
      <c r="M971" t="s">
        <v>49</v>
      </c>
      <c r="N971">
        <f>SalesData[[#This Row],[Quantity_Sold]]*SalesData[[#This Row],[Unit_Cost]]</f>
        <v>3418.72</v>
      </c>
      <c r="O971">
        <f>SalesData[[#This Row],[Quantity_Sold]]*SalesData[[#This Row],[Unit_Price]]</f>
        <v>4460.96</v>
      </c>
      <c r="P971">
        <f>SalesData[[#This Row],[Gross_sales]]*(1-SalesData[[#This Row],[Discount]])</f>
        <v>3390.3296</v>
      </c>
      <c r="Q971" s="2">
        <f>SalesData[[#This Row],[Sales_amount]]-SalesData[[#This Row],[Total_Cost]]</f>
        <v>-28.390399999999772</v>
      </c>
      <c r="R971" s="2">
        <f>SalesData[[#This Row],[Profit]]/SalesData[[#This Row],[Sales_amount]]</f>
        <v>-8.3739350887889405E-3</v>
      </c>
      <c r="S971" s="2">
        <f>SalesData[[#This Row],[Unit_Price]]-SalesData[[#This Row],[Unit_Cost]]</f>
        <v>260.56000000000006</v>
      </c>
      <c r="T971" s="10">
        <f>SalesData[[#This Row],[Unit_Margin]]/SalesData[[#This Row],[Unit_Price]]</f>
        <v>0.2336358093325204</v>
      </c>
      <c r="U971" s="2" t="str">
        <f>IF(SalesData[[#This Row],[Unit_Margin]]&lt;0, "Negative margin", "Positive margin")</f>
        <v>Positive margin</v>
      </c>
      <c r="V971" s="2" t="str">
        <f>IF(SalesData[[#This Row],[Profit]]&lt;0, "Loss", "Profit")</f>
        <v>Loss</v>
      </c>
      <c r="W971" s="2">
        <f>SalesData[[#This Row],[Unit_Price]]*(1-SalesData[[#This Row],[Discount]])</f>
        <v>847.58240000000001</v>
      </c>
      <c r="X971" s="2">
        <f>SalesData[[#This Row],[Effective_Unit_Price]]-SalesData[[#This Row],[Unit_Cost]]</f>
        <v>-7.0975999999999431</v>
      </c>
      <c r="Y971" s="2" t="str">
        <f>IF(SalesData[[#This Row],[Effective_Unit_Margin]]&lt;0,"Loss per Unit","Positive per Unit")</f>
        <v>Loss per Unit</v>
      </c>
    </row>
    <row r="972" spans="1:25" x14ac:dyDescent="0.3">
      <c r="A972">
        <v>1059</v>
      </c>
      <c r="B972" s="1">
        <v>45238</v>
      </c>
      <c r="C972" t="s">
        <v>23</v>
      </c>
      <c r="D972" t="s">
        <v>24</v>
      </c>
      <c r="E972">
        <v>17</v>
      </c>
      <c r="F972" t="s">
        <v>28</v>
      </c>
      <c r="G972">
        <v>1780.14</v>
      </c>
      <c r="H972">
        <v>2185.42</v>
      </c>
      <c r="I972" t="s">
        <v>16</v>
      </c>
      <c r="J972" s="2">
        <v>0.15</v>
      </c>
      <c r="K972" t="s">
        <v>30</v>
      </c>
      <c r="L972" t="s">
        <v>21</v>
      </c>
      <c r="M972" t="s">
        <v>27</v>
      </c>
      <c r="N972">
        <f>SalesData[[#This Row],[Quantity_Sold]]*SalesData[[#This Row],[Unit_Cost]]</f>
        <v>30262.38</v>
      </c>
      <c r="O972">
        <f>SalesData[[#This Row],[Quantity_Sold]]*SalesData[[#This Row],[Unit_Price]]</f>
        <v>37152.14</v>
      </c>
      <c r="P972">
        <f>SalesData[[#This Row],[Gross_sales]]*(1-SalesData[[#This Row],[Discount]])</f>
        <v>31579.319</v>
      </c>
      <c r="Q972" s="2">
        <f>SalesData[[#This Row],[Sales_amount]]-SalesData[[#This Row],[Total_Cost]]</f>
        <v>1316.9389999999985</v>
      </c>
      <c r="R972" s="2">
        <f>SalesData[[#This Row],[Profit]]/SalesData[[#This Row],[Sales_amount]]</f>
        <v>4.1702577563499661E-2</v>
      </c>
      <c r="S972" s="2">
        <f>SalesData[[#This Row],[Unit_Price]]-SalesData[[#This Row],[Unit_Cost]]</f>
        <v>405.28</v>
      </c>
      <c r="T972" s="10">
        <f>SalesData[[#This Row],[Unit_Margin]]/SalesData[[#This Row],[Unit_Price]]</f>
        <v>0.18544719092897474</v>
      </c>
      <c r="U972" s="2" t="str">
        <f>IF(SalesData[[#This Row],[Unit_Margin]]&lt;0, "Negative margin", "Positive margin")</f>
        <v>Positive margin</v>
      </c>
      <c r="V972" s="2" t="str">
        <f>IF(SalesData[[#This Row],[Profit]]&lt;0, "Loss", "Profit")</f>
        <v>Profit</v>
      </c>
      <c r="W972" s="2">
        <f>SalesData[[#This Row],[Unit_Price]]*(1-SalesData[[#This Row],[Discount]])</f>
        <v>1857.607</v>
      </c>
      <c r="X972" s="2">
        <f>SalesData[[#This Row],[Effective_Unit_Price]]-SalesData[[#This Row],[Unit_Cost]]</f>
        <v>77.466999999999871</v>
      </c>
      <c r="Y972" s="2" t="str">
        <f>IF(SalesData[[#This Row],[Effective_Unit_Margin]]&lt;0,"Loss per Unit","Positive per Unit")</f>
        <v>Positive per Unit</v>
      </c>
    </row>
    <row r="973" spans="1:25" x14ac:dyDescent="0.3">
      <c r="A973">
        <v>1056</v>
      </c>
      <c r="B973" s="1">
        <v>45287</v>
      </c>
      <c r="C973" t="s">
        <v>13</v>
      </c>
      <c r="D973" t="s">
        <v>33</v>
      </c>
      <c r="E973">
        <v>4</v>
      </c>
      <c r="F973" t="s">
        <v>25</v>
      </c>
      <c r="G973">
        <v>1612.82</v>
      </c>
      <c r="H973">
        <v>1647.25</v>
      </c>
      <c r="I973" t="s">
        <v>16</v>
      </c>
      <c r="J973" s="2">
        <v>0.04</v>
      </c>
      <c r="K973" t="s">
        <v>30</v>
      </c>
      <c r="L973" t="s">
        <v>21</v>
      </c>
      <c r="M973" t="s">
        <v>45</v>
      </c>
      <c r="N973">
        <f>SalesData[[#This Row],[Quantity_Sold]]*SalesData[[#This Row],[Unit_Cost]]</f>
        <v>6451.28</v>
      </c>
      <c r="O973">
        <f>SalesData[[#This Row],[Quantity_Sold]]*SalesData[[#This Row],[Unit_Price]]</f>
        <v>6589</v>
      </c>
      <c r="P973">
        <f>SalesData[[#This Row],[Gross_sales]]*(1-SalesData[[#This Row],[Discount]])</f>
        <v>6325.44</v>
      </c>
      <c r="Q973" s="2">
        <f>SalesData[[#This Row],[Sales_amount]]-SalesData[[#This Row],[Total_Cost]]</f>
        <v>-125.84000000000015</v>
      </c>
      <c r="R973" s="2">
        <f>SalesData[[#This Row],[Profit]]/SalesData[[#This Row],[Sales_amount]]</f>
        <v>-1.9894268224819166E-2</v>
      </c>
      <c r="S973" s="2">
        <f>SalesData[[#This Row],[Unit_Price]]-SalesData[[#This Row],[Unit_Cost]]</f>
        <v>34.430000000000064</v>
      </c>
      <c r="T973" s="10">
        <f>SalesData[[#This Row],[Unit_Margin]]/SalesData[[#This Row],[Unit_Price]]</f>
        <v>2.090150250417366E-2</v>
      </c>
      <c r="U973" s="2" t="str">
        <f>IF(SalesData[[#This Row],[Unit_Margin]]&lt;0, "Negative margin", "Positive margin")</f>
        <v>Positive margin</v>
      </c>
      <c r="V973" s="2" t="str">
        <f>IF(SalesData[[#This Row],[Profit]]&lt;0, "Loss", "Profit")</f>
        <v>Loss</v>
      </c>
      <c r="W973" s="2">
        <f>SalesData[[#This Row],[Unit_Price]]*(1-SalesData[[#This Row],[Discount]])</f>
        <v>1581.36</v>
      </c>
      <c r="X973" s="2">
        <f>SalesData[[#This Row],[Effective_Unit_Price]]-SalesData[[#This Row],[Unit_Cost]]</f>
        <v>-31.460000000000036</v>
      </c>
      <c r="Y973" s="2" t="str">
        <f>IF(SalesData[[#This Row],[Effective_Unit_Margin]]&lt;0,"Loss per Unit","Positive per Unit")</f>
        <v>Loss per Unit</v>
      </c>
    </row>
    <row r="974" spans="1:25" x14ac:dyDescent="0.3">
      <c r="A974">
        <v>1007</v>
      </c>
      <c r="B974" s="1">
        <v>44985</v>
      </c>
      <c r="C974" t="s">
        <v>32</v>
      </c>
      <c r="D974" t="s">
        <v>33</v>
      </c>
      <c r="E974">
        <v>43</v>
      </c>
      <c r="F974" t="s">
        <v>15</v>
      </c>
      <c r="G974">
        <v>3967.25</v>
      </c>
      <c r="H974">
        <v>4272.92</v>
      </c>
      <c r="I974" t="s">
        <v>29</v>
      </c>
      <c r="J974" s="2">
        <v>0.27</v>
      </c>
      <c r="K974" t="s">
        <v>30</v>
      </c>
      <c r="L974" t="s">
        <v>18</v>
      </c>
      <c r="M974" t="s">
        <v>35</v>
      </c>
      <c r="N974">
        <f>SalesData[[#This Row],[Quantity_Sold]]*SalesData[[#This Row],[Unit_Cost]]</f>
        <v>170591.75</v>
      </c>
      <c r="O974">
        <f>SalesData[[#This Row],[Quantity_Sold]]*SalesData[[#This Row],[Unit_Price]]</f>
        <v>183735.56</v>
      </c>
      <c r="P974">
        <f>SalesData[[#This Row],[Gross_sales]]*(1-SalesData[[#This Row],[Discount]])</f>
        <v>134126.95879999999</v>
      </c>
      <c r="Q974" s="2">
        <f>SalesData[[#This Row],[Sales_amount]]-SalesData[[#This Row],[Total_Cost]]</f>
        <v>-36464.791200000007</v>
      </c>
      <c r="R974" s="2">
        <f>SalesData[[#This Row],[Profit]]/SalesData[[#This Row],[Sales_amount]]</f>
        <v>-0.27186772537185128</v>
      </c>
      <c r="S974" s="2">
        <f>SalesData[[#This Row],[Unit_Price]]-SalesData[[#This Row],[Unit_Cost]]</f>
        <v>305.67000000000007</v>
      </c>
      <c r="T974" s="10">
        <f>SalesData[[#This Row],[Unit_Margin]]/SalesData[[#This Row],[Unit_Price]]</f>
        <v>7.1536560478548644E-2</v>
      </c>
      <c r="U974" s="2" t="str">
        <f>IF(SalesData[[#This Row],[Unit_Margin]]&lt;0, "Negative margin", "Positive margin")</f>
        <v>Positive margin</v>
      </c>
      <c r="V974" s="2" t="str">
        <f>IF(SalesData[[#This Row],[Profit]]&lt;0, "Loss", "Profit")</f>
        <v>Loss</v>
      </c>
      <c r="W974" s="2">
        <f>SalesData[[#This Row],[Unit_Price]]*(1-SalesData[[#This Row],[Discount]])</f>
        <v>3119.2316000000001</v>
      </c>
      <c r="X974" s="2">
        <f>SalesData[[#This Row],[Effective_Unit_Price]]-SalesData[[#This Row],[Unit_Cost]]</f>
        <v>-848.01839999999993</v>
      </c>
      <c r="Y974" s="2" t="str">
        <f>IF(SalesData[[#This Row],[Effective_Unit_Margin]]&lt;0,"Loss per Unit","Positive per Unit")</f>
        <v>Loss per Unit</v>
      </c>
    </row>
    <row r="975" spans="1:25" x14ac:dyDescent="0.3">
      <c r="A975">
        <v>1003</v>
      </c>
      <c r="B975" s="1">
        <v>45057</v>
      </c>
      <c r="C975" t="s">
        <v>32</v>
      </c>
      <c r="D975" t="s">
        <v>14</v>
      </c>
      <c r="E975">
        <v>26</v>
      </c>
      <c r="F975" t="s">
        <v>34</v>
      </c>
      <c r="G975">
        <v>3418.78</v>
      </c>
      <c r="H975">
        <v>3824.1</v>
      </c>
      <c r="I975" t="s">
        <v>29</v>
      </c>
      <c r="J975" s="2">
        <v>0.19</v>
      </c>
      <c r="K975" t="s">
        <v>30</v>
      </c>
      <c r="L975" t="s">
        <v>18</v>
      </c>
      <c r="M975" t="s">
        <v>52</v>
      </c>
      <c r="N975">
        <f>SalesData[[#This Row],[Quantity_Sold]]*SalesData[[#This Row],[Unit_Cost]]</f>
        <v>88888.28</v>
      </c>
      <c r="O975">
        <f>SalesData[[#This Row],[Quantity_Sold]]*SalesData[[#This Row],[Unit_Price]]</f>
        <v>99426.599999999991</v>
      </c>
      <c r="P975">
        <f>SalesData[[#This Row],[Gross_sales]]*(1-SalesData[[#This Row],[Discount]])</f>
        <v>80535.546000000002</v>
      </c>
      <c r="Q975" s="2">
        <f>SalesData[[#This Row],[Sales_amount]]-SalesData[[#This Row],[Total_Cost]]</f>
        <v>-8352.7339999999967</v>
      </c>
      <c r="R975" s="2">
        <f>SalesData[[#This Row],[Profit]]/SalesData[[#This Row],[Sales_amount]]</f>
        <v>-0.10371487392660127</v>
      </c>
      <c r="S975" s="2">
        <f>SalesData[[#This Row],[Unit_Price]]-SalesData[[#This Row],[Unit_Cost]]</f>
        <v>405.31999999999971</v>
      </c>
      <c r="T975" s="10">
        <f>SalesData[[#This Row],[Unit_Margin]]/SalesData[[#This Row],[Unit_Price]]</f>
        <v>0.10599095211945286</v>
      </c>
      <c r="U975" s="2" t="str">
        <f>IF(SalesData[[#This Row],[Unit_Margin]]&lt;0, "Negative margin", "Positive margin")</f>
        <v>Positive margin</v>
      </c>
      <c r="V975" s="2" t="str">
        <f>IF(SalesData[[#This Row],[Profit]]&lt;0, "Loss", "Profit")</f>
        <v>Loss</v>
      </c>
      <c r="W975" s="2">
        <f>SalesData[[#This Row],[Unit_Price]]*(1-SalesData[[#This Row],[Discount]])</f>
        <v>3097.5210000000002</v>
      </c>
      <c r="X975" s="2">
        <f>SalesData[[#This Row],[Effective_Unit_Price]]-SalesData[[#This Row],[Unit_Cost]]</f>
        <v>-321.25900000000001</v>
      </c>
      <c r="Y975" s="2" t="str">
        <f>IF(SalesData[[#This Row],[Effective_Unit_Margin]]&lt;0,"Loss per Unit","Positive per Unit")</f>
        <v>Loss per Unit</v>
      </c>
    </row>
    <row r="976" spans="1:25" x14ac:dyDescent="0.3">
      <c r="A976">
        <v>1023</v>
      </c>
      <c r="B976" s="1">
        <v>45128</v>
      </c>
      <c r="C976" t="s">
        <v>37</v>
      </c>
      <c r="D976" t="s">
        <v>14</v>
      </c>
      <c r="E976">
        <v>4</v>
      </c>
      <c r="F976" t="s">
        <v>28</v>
      </c>
      <c r="G976">
        <v>1532.8</v>
      </c>
      <c r="H976">
        <v>1619.69</v>
      </c>
      <c r="I976" t="s">
        <v>16</v>
      </c>
      <c r="J976" s="2">
        <v>0.05</v>
      </c>
      <c r="K976" t="s">
        <v>26</v>
      </c>
      <c r="L976" t="s">
        <v>21</v>
      </c>
      <c r="M976" t="s">
        <v>39</v>
      </c>
      <c r="N976">
        <f>SalesData[[#This Row],[Quantity_Sold]]*SalesData[[#This Row],[Unit_Cost]]</f>
        <v>6131.2</v>
      </c>
      <c r="O976">
        <f>SalesData[[#This Row],[Quantity_Sold]]*SalesData[[#This Row],[Unit_Price]]</f>
        <v>6478.76</v>
      </c>
      <c r="P976">
        <f>SalesData[[#This Row],[Gross_sales]]*(1-SalesData[[#This Row],[Discount]])</f>
        <v>6154.8220000000001</v>
      </c>
      <c r="Q976" s="2">
        <f>SalesData[[#This Row],[Sales_amount]]-SalesData[[#This Row],[Total_Cost]]</f>
        <v>23.622000000000298</v>
      </c>
      <c r="R976" s="2">
        <f>SalesData[[#This Row],[Profit]]/SalesData[[#This Row],[Sales_amount]]</f>
        <v>3.837966394479044E-3</v>
      </c>
      <c r="S976" s="2">
        <f>SalesData[[#This Row],[Unit_Price]]-SalesData[[#This Row],[Unit_Cost]]</f>
        <v>86.8900000000001</v>
      </c>
      <c r="T976" s="10">
        <f>SalesData[[#This Row],[Unit_Margin]]/SalesData[[#This Row],[Unit_Price]]</f>
        <v>5.3646068074755103E-2</v>
      </c>
      <c r="U976" s="2" t="str">
        <f>IF(SalesData[[#This Row],[Unit_Margin]]&lt;0, "Negative margin", "Positive margin")</f>
        <v>Positive margin</v>
      </c>
      <c r="V976" s="2" t="str">
        <f>IF(SalesData[[#This Row],[Profit]]&lt;0, "Loss", "Profit")</f>
        <v>Profit</v>
      </c>
      <c r="W976" s="2">
        <f>SalesData[[#This Row],[Unit_Price]]*(1-SalesData[[#This Row],[Discount]])</f>
        <v>1538.7055</v>
      </c>
      <c r="X976" s="2">
        <f>SalesData[[#This Row],[Effective_Unit_Price]]-SalesData[[#This Row],[Unit_Cost]]</f>
        <v>5.9055000000000746</v>
      </c>
      <c r="Y976" s="2" t="str">
        <f>IF(SalesData[[#This Row],[Effective_Unit_Margin]]&lt;0,"Loss per Unit","Positive per Unit")</f>
        <v>Positive per Unit</v>
      </c>
    </row>
    <row r="977" spans="1:25" x14ac:dyDescent="0.3">
      <c r="A977">
        <v>1018</v>
      </c>
      <c r="B977" s="1">
        <v>45169</v>
      </c>
      <c r="C977" t="s">
        <v>41</v>
      </c>
      <c r="D977" t="s">
        <v>33</v>
      </c>
      <c r="E977">
        <v>1</v>
      </c>
      <c r="F977" t="s">
        <v>34</v>
      </c>
      <c r="G977">
        <v>2315.83</v>
      </c>
      <c r="H977">
        <v>2333.19</v>
      </c>
      <c r="I977" t="s">
        <v>29</v>
      </c>
      <c r="J977" s="2">
        <v>0.01</v>
      </c>
      <c r="K977" t="s">
        <v>17</v>
      </c>
      <c r="L977" t="s">
        <v>21</v>
      </c>
      <c r="M977" t="s">
        <v>51</v>
      </c>
      <c r="N977">
        <f>SalesData[[#This Row],[Quantity_Sold]]*SalesData[[#This Row],[Unit_Cost]]</f>
        <v>2315.83</v>
      </c>
      <c r="O977">
        <f>SalesData[[#This Row],[Quantity_Sold]]*SalesData[[#This Row],[Unit_Price]]</f>
        <v>2333.19</v>
      </c>
      <c r="P977">
        <f>SalesData[[#This Row],[Gross_sales]]*(1-SalesData[[#This Row],[Discount]])</f>
        <v>2309.8580999999999</v>
      </c>
      <c r="Q977" s="2">
        <f>SalesData[[#This Row],[Sales_amount]]-SalesData[[#This Row],[Total_Cost]]</f>
        <v>-5.9719000000000051</v>
      </c>
      <c r="R977" s="2">
        <f>SalesData[[#This Row],[Profit]]/SalesData[[#This Row],[Sales_amount]]</f>
        <v>-2.5853969124770069E-3</v>
      </c>
      <c r="S977" s="2">
        <f>SalesData[[#This Row],[Unit_Price]]-SalesData[[#This Row],[Unit_Cost]]</f>
        <v>17.360000000000127</v>
      </c>
      <c r="T977" s="10">
        <f>SalesData[[#This Row],[Unit_Margin]]/SalesData[[#This Row],[Unit_Price]]</f>
        <v>7.4404570566478203E-3</v>
      </c>
      <c r="U977" s="2" t="str">
        <f>IF(SalesData[[#This Row],[Unit_Margin]]&lt;0, "Negative margin", "Positive margin")</f>
        <v>Positive margin</v>
      </c>
      <c r="V977" s="2" t="str">
        <f>IF(SalesData[[#This Row],[Profit]]&lt;0, "Loss", "Profit")</f>
        <v>Loss</v>
      </c>
      <c r="W977" s="2">
        <f>SalesData[[#This Row],[Unit_Price]]*(1-SalesData[[#This Row],[Discount]])</f>
        <v>2309.8580999999999</v>
      </c>
      <c r="X977" s="2">
        <f>SalesData[[#This Row],[Effective_Unit_Price]]-SalesData[[#This Row],[Unit_Cost]]</f>
        <v>-5.9719000000000051</v>
      </c>
      <c r="Y977" s="2" t="str">
        <f>IF(SalesData[[#This Row],[Effective_Unit_Margin]]&lt;0,"Loss per Unit","Positive per Unit")</f>
        <v>Loss per Unit</v>
      </c>
    </row>
    <row r="978" spans="1:25" x14ac:dyDescent="0.3">
      <c r="A978">
        <v>1038</v>
      </c>
      <c r="B978" s="1">
        <v>44961</v>
      </c>
      <c r="C978" t="s">
        <v>32</v>
      </c>
      <c r="D978" t="s">
        <v>14</v>
      </c>
      <c r="E978">
        <v>7</v>
      </c>
      <c r="F978" t="s">
        <v>15</v>
      </c>
      <c r="G978">
        <v>523.02</v>
      </c>
      <c r="H978">
        <v>686.25</v>
      </c>
      <c r="I978" t="s">
        <v>16</v>
      </c>
      <c r="J978" s="2">
        <v>0.04</v>
      </c>
      <c r="K978" t="s">
        <v>17</v>
      </c>
      <c r="L978" t="s">
        <v>18</v>
      </c>
      <c r="M978" t="s">
        <v>52</v>
      </c>
      <c r="N978">
        <f>SalesData[[#This Row],[Quantity_Sold]]*SalesData[[#This Row],[Unit_Cost]]</f>
        <v>3661.14</v>
      </c>
      <c r="O978">
        <f>SalesData[[#This Row],[Quantity_Sold]]*SalesData[[#This Row],[Unit_Price]]</f>
        <v>4803.75</v>
      </c>
      <c r="P978">
        <f>SalesData[[#This Row],[Gross_sales]]*(1-SalesData[[#This Row],[Discount]])</f>
        <v>4611.5999999999995</v>
      </c>
      <c r="Q978" s="2">
        <f>SalesData[[#This Row],[Sales_amount]]-SalesData[[#This Row],[Total_Cost]]</f>
        <v>950.45999999999958</v>
      </c>
      <c r="R978" s="2">
        <f>SalesData[[#This Row],[Profit]]/SalesData[[#This Row],[Sales_amount]]</f>
        <v>0.20610200364298717</v>
      </c>
      <c r="S978" s="2">
        <f>SalesData[[#This Row],[Unit_Price]]-SalesData[[#This Row],[Unit_Cost]]</f>
        <v>163.23000000000002</v>
      </c>
      <c r="T978" s="10">
        <f>SalesData[[#This Row],[Unit_Margin]]/SalesData[[#This Row],[Unit_Price]]</f>
        <v>0.23785792349726778</v>
      </c>
      <c r="U978" s="2" t="str">
        <f>IF(SalesData[[#This Row],[Unit_Margin]]&lt;0, "Negative margin", "Positive margin")</f>
        <v>Positive margin</v>
      </c>
      <c r="V978" s="2" t="str">
        <f>IF(SalesData[[#This Row],[Profit]]&lt;0, "Loss", "Profit")</f>
        <v>Profit</v>
      </c>
      <c r="W978" s="2">
        <f>SalesData[[#This Row],[Unit_Price]]*(1-SalesData[[#This Row],[Discount]])</f>
        <v>658.8</v>
      </c>
      <c r="X978" s="2">
        <f>SalesData[[#This Row],[Effective_Unit_Price]]-SalesData[[#This Row],[Unit_Cost]]</f>
        <v>135.77999999999997</v>
      </c>
      <c r="Y978" s="2" t="str">
        <f>IF(SalesData[[#This Row],[Effective_Unit_Margin]]&lt;0,"Loss per Unit","Positive per Unit")</f>
        <v>Positive per Unit</v>
      </c>
    </row>
    <row r="979" spans="1:25" x14ac:dyDescent="0.3">
      <c r="A979">
        <v>1099</v>
      </c>
      <c r="B979" s="1">
        <v>45019</v>
      </c>
      <c r="C979" t="s">
        <v>41</v>
      </c>
      <c r="D979" t="s">
        <v>14</v>
      </c>
      <c r="E979">
        <v>30</v>
      </c>
      <c r="F979" t="s">
        <v>15</v>
      </c>
      <c r="G979">
        <v>4495.82</v>
      </c>
      <c r="H979">
        <v>4794.0099999999902</v>
      </c>
      <c r="I979" t="s">
        <v>29</v>
      </c>
      <c r="J979" s="2">
        <v>0.18</v>
      </c>
      <c r="K979" t="s">
        <v>26</v>
      </c>
      <c r="L979" t="s">
        <v>21</v>
      </c>
      <c r="M979" t="s">
        <v>48</v>
      </c>
      <c r="N979">
        <f>SalesData[[#This Row],[Quantity_Sold]]*SalesData[[#This Row],[Unit_Cost]]</f>
        <v>134874.59999999998</v>
      </c>
      <c r="O979">
        <f>SalesData[[#This Row],[Quantity_Sold]]*SalesData[[#This Row],[Unit_Price]]</f>
        <v>143820.2999999997</v>
      </c>
      <c r="P979">
        <f>SalesData[[#This Row],[Gross_sales]]*(1-SalesData[[#This Row],[Discount]])</f>
        <v>117932.64599999976</v>
      </c>
      <c r="Q979" s="2">
        <f>SalesData[[#This Row],[Sales_amount]]-SalesData[[#This Row],[Total_Cost]]</f>
        <v>-16941.954000000216</v>
      </c>
      <c r="R979" s="2">
        <f>SalesData[[#This Row],[Profit]]/SalesData[[#This Row],[Sales_amount]]</f>
        <v>-0.14365788078731187</v>
      </c>
      <c r="S979" s="2">
        <f>SalesData[[#This Row],[Unit_Price]]-SalesData[[#This Row],[Unit_Cost]]</f>
        <v>298.1899999999905</v>
      </c>
      <c r="T979" s="10">
        <f>SalesData[[#This Row],[Unit_Margin]]/SalesData[[#This Row],[Unit_Price]]</f>
        <v>6.2200537754404164E-2</v>
      </c>
      <c r="U979" s="2" t="str">
        <f>IF(SalesData[[#This Row],[Unit_Margin]]&lt;0, "Negative margin", "Positive margin")</f>
        <v>Positive margin</v>
      </c>
      <c r="V979" s="2" t="str">
        <f>IF(SalesData[[#This Row],[Profit]]&lt;0, "Loss", "Profit")</f>
        <v>Loss</v>
      </c>
      <c r="W979" s="2">
        <f>SalesData[[#This Row],[Unit_Price]]*(1-SalesData[[#This Row],[Discount]])</f>
        <v>3931.0881999999924</v>
      </c>
      <c r="X979" s="2">
        <f>SalesData[[#This Row],[Effective_Unit_Price]]-SalesData[[#This Row],[Unit_Cost]]</f>
        <v>-564.7318000000073</v>
      </c>
      <c r="Y979" s="2" t="str">
        <f>IF(SalesData[[#This Row],[Effective_Unit_Margin]]&lt;0,"Loss per Unit","Positive per Unit")</f>
        <v>Loss per Unit</v>
      </c>
    </row>
    <row r="980" spans="1:25" x14ac:dyDescent="0.3">
      <c r="A980">
        <v>1015</v>
      </c>
      <c r="B980" s="1">
        <v>45133</v>
      </c>
      <c r="C980" t="s">
        <v>23</v>
      </c>
      <c r="D980" t="s">
        <v>14</v>
      </c>
      <c r="E980">
        <v>9</v>
      </c>
      <c r="F980" t="s">
        <v>34</v>
      </c>
      <c r="G980">
        <v>4680.3500000000004</v>
      </c>
      <c r="H980">
        <v>4758.1099999999997</v>
      </c>
      <c r="I980" t="s">
        <v>16</v>
      </c>
      <c r="J980" s="2">
        <v>0.05</v>
      </c>
      <c r="K980" t="s">
        <v>26</v>
      </c>
      <c r="L980" t="s">
        <v>18</v>
      </c>
      <c r="M980" t="s">
        <v>44</v>
      </c>
      <c r="N980">
        <f>SalesData[[#This Row],[Quantity_Sold]]*SalesData[[#This Row],[Unit_Cost]]</f>
        <v>42123.15</v>
      </c>
      <c r="O980">
        <f>SalesData[[#This Row],[Quantity_Sold]]*SalesData[[#This Row],[Unit_Price]]</f>
        <v>42822.99</v>
      </c>
      <c r="P980">
        <f>SalesData[[#This Row],[Gross_sales]]*(1-SalesData[[#This Row],[Discount]])</f>
        <v>40681.840499999998</v>
      </c>
      <c r="Q980" s="2">
        <f>SalesData[[#This Row],[Sales_amount]]-SalesData[[#This Row],[Total_Cost]]</f>
        <v>-1441.309500000003</v>
      </c>
      <c r="R980" s="2">
        <f>SalesData[[#This Row],[Profit]]/SalesData[[#This Row],[Sales_amount]]</f>
        <v>-3.5428817435140453E-2</v>
      </c>
      <c r="S980" s="2">
        <f>SalesData[[#This Row],[Unit_Price]]-SalesData[[#This Row],[Unit_Cost]]</f>
        <v>77.759999999999309</v>
      </c>
      <c r="T980" s="10">
        <f>SalesData[[#This Row],[Unit_Margin]]/SalesData[[#This Row],[Unit_Price]]</f>
        <v>1.6342623436616497E-2</v>
      </c>
      <c r="U980" s="2" t="str">
        <f>IF(SalesData[[#This Row],[Unit_Margin]]&lt;0, "Negative margin", "Positive margin")</f>
        <v>Positive margin</v>
      </c>
      <c r="V980" s="2" t="str">
        <f>IF(SalesData[[#This Row],[Profit]]&lt;0, "Loss", "Profit")</f>
        <v>Loss</v>
      </c>
      <c r="W980" s="2">
        <f>SalesData[[#This Row],[Unit_Price]]*(1-SalesData[[#This Row],[Discount]])</f>
        <v>4520.2044999999998</v>
      </c>
      <c r="X980" s="2">
        <f>SalesData[[#This Row],[Effective_Unit_Price]]-SalesData[[#This Row],[Unit_Cost]]</f>
        <v>-160.14550000000054</v>
      </c>
      <c r="Y980" s="2" t="str">
        <f>IF(SalesData[[#This Row],[Effective_Unit_Margin]]&lt;0,"Loss per Unit","Positive per Unit")</f>
        <v>Loss per Unit</v>
      </c>
    </row>
    <row r="981" spans="1:25" x14ac:dyDescent="0.3">
      <c r="A981">
        <v>1064</v>
      </c>
      <c r="B981" s="1">
        <v>45279</v>
      </c>
      <c r="C981" t="s">
        <v>41</v>
      </c>
      <c r="D981" t="s">
        <v>20</v>
      </c>
      <c r="E981">
        <v>35</v>
      </c>
      <c r="F981" t="s">
        <v>28</v>
      </c>
      <c r="G981">
        <v>4900.03</v>
      </c>
      <c r="H981">
        <v>5118.83</v>
      </c>
      <c r="I981" t="s">
        <v>16</v>
      </c>
      <c r="J981" s="2">
        <v>7.0000000000000007E-2</v>
      </c>
      <c r="K981" t="s">
        <v>30</v>
      </c>
      <c r="L981" t="s">
        <v>21</v>
      </c>
      <c r="M981" t="s">
        <v>50</v>
      </c>
      <c r="N981">
        <f>SalesData[[#This Row],[Quantity_Sold]]*SalesData[[#This Row],[Unit_Cost]]</f>
        <v>171501.05</v>
      </c>
      <c r="O981">
        <f>SalesData[[#This Row],[Quantity_Sold]]*SalesData[[#This Row],[Unit_Price]]</f>
        <v>179159.05</v>
      </c>
      <c r="P981">
        <f>SalesData[[#This Row],[Gross_sales]]*(1-SalesData[[#This Row],[Discount]])</f>
        <v>166617.91649999999</v>
      </c>
      <c r="Q981" s="2">
        <f>SalesData[[#This Row],[Sales_amount]]-SalesData[[#This Row],[Total_Cost]]</f>
        <v>-4883.1334999999963</v>
      </c>
      <c r="R981" s="2">
        <f>SalesData[[#This Row],[Profit]]/SalesData[[#This Row],[Sales_amount]]</f>
        <v>-2.9307373436037395E-2</v>
      </c>
      <c r="S981" s="2">
        <f>SalesData[[#This Row],[Unit_Price]]-SalesData[[#This Row],[Unit_Cost]]</f>
        <v>218.80000000000018</v>
      </c>
      <c r="T981" s="10">
        <f>SalesData[[#This Row],[Unit_Margin]]/SalesData[[#This Row],[Unit_Price]]</f>
        <v>4.274414270448524E-2</v>
      </c>
      <c r="U981" s="2" t="str">
        <f>IF(SalesData[[#This Row],[Unit_Margin]]&lt;0, "Negative margin", "Positive margin")</f>
        <v>Positive margin</v>
      </c>
      <c r="V981" s="2" t="str">
        <f>IF(SalesData[[#This Row],[Profit]]&lt;0, "Loss", "Profit")</f>
        <v>Loss</v>
      </c>
      <c r="W981" s="2">
        <f>SalesData[[#This Row],[Unit_Price]]*(1-SalesData[[#This Row],[Discount]])</f>
        <v>4760.5118999999995</v>
      </c>
      <c r="X981" s="2">
        <f>SalesData[[#This Row],[Effective_Unit_Price]]-SalesData[[#This Row],[Unit_Cost]]</f>
        <v>-139.51810000000023</v>
      </c>
      <c r="Y981" s="2" t="str">
        <f>IF(SalesData[[#This Row],[Effective_Unit_Margin]]&lt;0,"Loss per Unit","Positive per Unit")</f>
        <v>Loss per Unit</v>
      </c>
    </row>
    <row r="982" spans="1:25" x14ac:dyDescent="0.3">
      <c r="A982">
        <v>1089</v>
      </c>
      <c r="B982" s="1">
        <v>45258</v>
      </c>
      <c r="C982" t="s">
        <v>23</v>
      </c>
      <c r="D982" t="s">
        <v>20</v>
      </c>
      <c r="E982">
        <v>8</v>
      </c>
      <c r="F982" t="s">
        <v>15</v>
      </c>
      <c r="G982">
        <v>4349.34</v>
      </c>
      <c r="H982">
        <v>4629.9799999999996</v>
      </c>
      <c r="I982" t="s">
        <v>16</v>
      </c>
      <c r="J982" s="2">
        <v>0.01</v>
      </c>
      <c r="K982" t="s">
        <v>30</v>
      </c>
      <c r="L982" t="s">
        <v>18</v>
      </c>
      <c r="M982" t="s">
        <v>46</v>
      </c>
      <c r="N982">
        <f>SalesData[[#This Row],[Quantity_Sold]]*SalesData[[#This Row],[Unit_Cost]]</f>
        <v>34794.720000000001</v>
      </c>
      <c r="O982">
        <f>SalesData[[#This Row],[Quantity_Sold]]*SalesData[[#This Row],[Unit_Price]]</f>
        <v>37039.839999999997</v>
      </c>
      <c r="P982">
        <f>SalesData[[#This Row],[Gross_sales]]*(1-SalesData[[#This Row],[Discount]])</f>
        <v>36669.441599999998</v>
      </c>
      <c r="Q982" s="2">
        <f>SalesData[[#This Row],[Sales_amount]]-SalesData[[#This Row],[Total_Cost]]</f>
        <v>1874.7215999999971</v>
      </c>
      <c r="R982" s="2">
        <f>SalesData[[#This Row],[Profit]]/SalesData[[#This Row],[Sales_amount]]</f>
        <v>5.1124901776524387E-2</v>
      </c>
      <c r="S982" s="2">
        <f>SalesData[[#This Row],[Unit_Price]]-SalesData[[#This Row],[Unit_Cost]]</f>
        <v>280.63999999999942</v>
      </c>
      <c r="T982" s="10">
        <f>SalesData[[#This Row],[Unit_Margin]]/SalesData[[#This Row],[Unit_Price]]</f>
        <v>6.0613652758759094E-2</v>
      </c>
      <c r="U982" s="2" t="str">
        <f>IF(SalesData[[#This Row],[Unit_Margin]]&lt;0, "Negative margin", "Positive margin")</f>
        <v>Positive margin</v>
      </c>
      <c r="V982" s="2" t="str">
        <f>IF(SalesData[[#This Row],[Profit]]&lt;0, "Loss", "Profit")</f>
        <v>Profit</v>
      </c>
      <c r="W982" s="2">
        <f>SalesData[[#This Row],[Unit_Price]]*(1-SalesData[[#This Row],[Discount]])</f>
        <v>4583.6801999999998</v>
      </c>
      <c r="X982" s="2">
        <f>SalesData[[#This Row],[Effective_Unit_Price]]-SalesData[[#This Row],[Unit_Cost]]</f>
        <v>234.34019999999964</v>
      </c>
      <c r="Y982" s="2" t="str">
        <f>IF(SalesData[[#This Row],[Effective_Unit_Margin]]&lt;0,"Loss per Unit","Positive per Unit")</f>
        <v>Positive per Unit</v>
      </c>
    </row>
    <row r="983" spans="1:25" x14ac:dyDescent="0.3">
      <c r="A983">
        <v>1028</v>
      </c>
      <c r="B983" s="1">
        <v>45231</v>
      </c>
      <c r="C983" t="s">
        <v>13</v>
      </c>
      <c r="D983" t="s">
        <v>33</v>
      </c>
      <c r="E983">
        <v>24</v>
      </c>
      <c r="F983" t="s">
        <v>25</v>
      </c>
      <c r="G983">
        <v>911.11</v>
      </c>
      <c r="H983">
        <v>1214.56</v>
      </c>
      <c r="I983" t="s">
        <v>29</v>
      </c>
      <c r="J983" s="2">
        <v>0.22</v>
      </c>
      <c r="K983" t="s">
        <v>26</v>
      </c>
      <c r="L983" t="s">
        <v>18</v>
      </c>
      <c r="M983" t="s">
        <v>45</v>
      </c>
      <c r="N983">
        <f>SalesData[[#This Row],[Quantity_Sold]]*SalesData[[#This Row],[Unit_Cost]]</f>
        <v>21866.639999999999</v>
      </c>
      <c r="O983">
        <f>SalesData[[#This Row],[Quantity_Sold]]*SalesData[[#This Row],[Unit_Price]]</f>
        <v>29149.439999999999</v>
      </c>
      <c r="P983">
        <f>SalesData[[#This Row],[Gross_sales]]*(1-SalesData[[#This Row],[Discount]])</f>
        <v>22736.563200000001</v>
      </c>
      <c r="Q983" s="2">
        <f>SalesData[[#This Row],[Sales_amount]]-SalesData[[#This Row],[Total_Cost]]</f>
        <v>869.92320000000109</v>
      </c>
      <c r="R983" s="2">
        <f>SalesData[[#This Row],[Profit]]/SalesData[[#This Row],[Sales_amount]]</f>
        <v>3.8260980445804629E-2</v>
      </c>
      <c r="S983" s="2">
        <f>SalesData[[#This Row],[Unit_Price]]-SalesData[[#This Row],[Unit_Cost]]</f>
        <v>303.44999999999993</v>
      </c>
      <c r="T983" s="10">
        <f>SalesData[[#This Row],[Unit_Margin]]/SalesData[[#This Row],[Unit_Price]]</f>
        <v>0.24984356474772754</v>
      </c>
      <c r="U983" s="2" t="str">
        <f>IF(SalesData[[#This Row],[Unit_Margin]]&lt;0, "Negative margin", "Positive margin")</f>
        <v>Positive margin</v>
      </c>
      <c r="V983" s="2" t="str">
        <f>IF(SalesData[[#This Row],[Profit]]&lt;0, "Loss", "Profit")</f>
        <v>Profit</v>
      </c>
      <c r="W983" s="2">
        <f>SalesData[[#This Row],[Unit_Price]]*(1-SalesData[[#This Row],[Discount]])</f>
        <v>947.35680000000002</v>
      </c>
      <c r="X983" s="2">
        <f>SalesData[[#This Row],[Effective_Unit_Price]]-SalesData[[#This Row],[Unit_Cost]]</f>
        <v>36.246800000000007</v>
      </c>
      <c r="Y983" s="2" t="str">
        <f>IF(SalesData[[#This Row],[Effective_Unit_Margin]]&lt;0,"Loss per Unit","Positive per Unit")</f>
        <v>Positive per Unit</v>
      </c>
    </row>
    <row r="984" spans="1:25" x14ac:dyDescent="0.3">
      <c r="A984">
        <v>1074</v>
      </c>
      <c r="B984" s="1">
        <v>45276</v>
      </c>
      <c r="C984" t="s">
        <v>13</v>
      </c>
      <c r="D984" t="s">
        <v>14</v>
      </c>
      <c r="E984">
        <v>19</v>
      </c>
      <c r="F984" t="s">
        <v>15</v>
      </c>
      <c r="G984">
        <v>278.67</v>
      </c>
      <c r="H984">
        <v>423.13</v>
      </c>
      <c r="I984" t="s">
        <v>29</v>
      </c>
      <c r="J984" s="2">
        <v>0.24</v>
      </c>
      <c r="K984" t="s">
        <v>30</v>
      </c>
      <c r="L984" t="s">
        <v>18</v>
      </c>
      <c r="M984" t="s">
        <v>19</v>
      </c>
      <c r="N984">
        <f>SalesData[[#This Row],[Quantity_Sold]]*SalesData[[#This Row],[Unit_Cost]]</f>
        <v>5294.7300000000005</v>
      </c>
      <c r="O984">
        <f>SalesData[[#This Row],[Quantity_Sold]]*SalesData[[#This Row],[Unit_Price]]</f>
        <v>8039.47</v>
      </c>
      <c r="P984">
        <f>SalesData[[#This Row],[Gross_sales]]*(1-SalesData[[#This Row],[Discount]])</f>
        <v>6109.9972000000007</v>
      </c>
      <c r="Q984" s="2">
        <f>SalesData[[#This Row],[Sales_amount]]-SalesData[[#This Row],[Total_Cost]]</f>
        <v>815.26720000000023</v>
      </c>
      <c r="R984" s="2">
        <f>SalesData[[#This Row],[Profit]]/SalesData[[#This Row],[Sales_amount]]</f>
        <v>0.1334316814416871</v>
      </c>
      <c r="S984" s="2">
        <f>SalesData[[#This Row],[Unit_Price]]-SalesData[[#This Row],[Unit_Cost]]</f>
        <v>144.45999999999998</v>
      </c>
      <c r="T984" s="10">
        <f>SalesData[[#This Row],[Unit_Margin]]/SalesData[[#This Row],[Unit_Price]]</f>
        <v>0.34140807789568212</v>
      </c>
      <c r="U984" s="2" t="str">
        <f>IF(SalesData[[#This Row],[Unit_Margin]]&lt;0, "Negative margin", "Positive margin")</f>
        <v>Positive margin</v>
      </c>
      <c r="V984" s="2" t="str">
        <f>IF(SalesData[[#This Row],[Profit]]&lt;0, "Loss", "Profit")</f>
        <v>Profit</v>
      </c>
      <c r="W984" s="2">
        <f>SalesData[[#This Row],[Unit_Price]]*(1-SalesData[[#This Row],[Discount]])</f>
        <v>321.5788</v>
      </c>
      <c r="X984" s="2">
        <f>SalesData[[#This Row],[Effective_Unit_Price]]-SalesData[[#This Row],[Unit_Cost]]</f>
        <v>42.908799999999985</v>
      </c>
      <c r="Y984" s="2" t="str">
        <f>IF(SalesData[[#This Row],[Effective_Unit_Margin]]&lt;0,"Loss per Unit","Positive per Unit")</f>
        <v>Positive per Unit</v>
      </c>
    </row>
    <row r="985" spans="1:25" x14ac:dyDescent="0.3">
      <c r="A985">
        <v>1039</v>
      </c>
      <c r="B985" s="1">
        <v>45139</v>
      </c>
      <c r="C985" t="s">
        <v>37</v>
      </c>
      <c r="D985" t="s">
        <v>20</v>
      </c>
      <c r="E985">
        <v>36</v>
      </c>
      <c r="F985" t="s">
        <v>28</v>
      </c>
      <c r="G985">
        <v>2919</v>
      </c>
      <c r="H985">
        <v>3125.01</v>
      </c>
      <c r="I985" t="s">
        <v>29</v>
      </c>
      <c r="J985" s="2">
        <v>0.24</v>
      </c>
      <c r="K985" t="s">
        <v>17</v>
      </c>
      <c r="L985" t="s">
        <v>18</v>
      </c>
      <c r="M985" t="s">
        <v>40</v>
      </c>
      <c r="N985">
        <f>SalesData[[#This Row],[Quantity_Sold]]*SalesData[[#This Row],[Unit_Cost]]</f>
        <v>105084</v>
      </c>
      <c r="O985">
        <f>SalesData[[#This Row],[Quantity_Sold]]*SalesData[[#This Row],[Unit_Price]]</f>
        <v>112500.36000000002</v>
      </c>
      <c r="P985">
        <f>SalesData[[#This Row],[Gross_sales]]*(1-SalesData[[#This Row],[Discount]])</f>
        <v>85500.273600000015</v>
      </c>
      <c r="Q985" s="2">
        <f>SalesData[[#This Row],[Sales_amount]]-SalesData[[#This Row],[Total_Cost]]</f>
        <v>-19583.726399999985</v>
      </c>
      <c r="R985" s="2">
        <f>SalesData[[#This Row],[Profit]]/SalesData[[#This Row],[Sales_amount]]</f>
        <v>-0.22904869862311156</v>
      </c>
      <c r="S985" s="2">
        <f>SalesData[[#This Row],[Unit_Price]]-SalesData[[#This Row],[Unit_Cost]]</f>
        <v>206.01000000000022</v>
      </c>
      <c r="T985" s="10">
        <f>SalesData[[#This Row],[Unit_Margin]]/SalesData[[#This Row],[Unit_Price]]</f>
        <v>6.5922989046435121E-2</v>
      </c>
      <c r="U985" s="2" t="str">
        <f>IF(SalesData[[#This Row],[Unit_Margin]]&lt;0, "Negative margin", "Positive margin")</f>
        <v>Positive margin</v>
      </c>
      <c r="V985" s="2" t="str">
        <f>IF(SalesData[[#This Row],[Profit]]&lt;0, "Loss", "Profit")</f>
        <v>Loss</v>
      </c>
      <c r="W985" s="2">
        <f>SalesData[[#This Row],[Unit_Price]]*(1-SalesData[[#This Row],[Discount]])</f>
        <v>2375.0076000000004</v>
      </c>
      <c r="X985" s="2">
        <f>SalesData[[#This Row],[Effective_Unit_Price]]-SalesData[[#This Row],[Unit_Cost]]</f>
        <v>-543.99239999999963</v>
      </c>
      <c r="Y985" s="2" t="str">
        <f>IF(SalesData[[#This Row],[Effective_Unit_Margin]]&lt;0,"Loss per Unit","Positive per Unit")</f>
        <v>Loss per Unit</v>
      </c>
    </row>
    <row r="986" spans="1:25" x14ac:dyDescent="0.3">
      <c r="A986">
        <v>1057</v>
      </c>
      <c r="B986" s="1">
        <v>45085</v>
      </c>
      <c r="C986" t="s">
        <v>32</v>
      </c>
      <c r="D986" t="s">
        <v>33</v>
      </c>
      <c r="E986">
        <v>43</v>
      </c>
      <c r="F986" t="s">
        <v>15</v>
      </c>
      <c r="G986">
        <v>4567.3900000000003</v>
      </c>
      <c r="H986">
        <v>4958.78</v>
      </c>
      <c r="I986" t="s">
        <v>29</v>
      </c>
      <c r="J986" s="2">
        <v>0.04</v>
      </c>
      <c r="K986" t="s">
        <v>17</v>
      </c>
      <c r="L986" t="s">
        <v>21</v>
      </c>
      <c r="M986" t="s">
        <v>35</v>
      </c>
      <c r="N986">
        <f>SalesData[[#This Row],[Quantity_Sold]]*SalesData[[#This Row],[Unit_Cost]]</f>
        <v>196397.77000000002</v>
      </c>
      <c r="O986">
        <f>SalesData[[#This Row],[Quantity_Sold]]*SalesData[[#This Row],[Unit_Price]]</f>
        <v>213227.53999999998</v>
      </c>
      <c r="P986">
        <f>SalesData[[#This Row],[Gross_sales]]*(1-SalesData[[#This Row],[Discount]])</f>
        <v>204698.43839999998</v>
      </c>
      <c r="Q986" s="2">
        <f>SalesData[[#This Row],[Sales_amount]]-SalesData[[#This Row],[Total_Cost]]</f>
        <v>8300.6683999999659</v>
      </c>
      <c r="R986" s="2">
        <f>SalesData[[#This Row],[Profit]]/SalesData[[#This Row],[Sales_amount]]</f>
        <v>4.0550716775765917E-2</v>
      </c>
      <c r="S986" s="2">
        <f>SalesData[[#This Row],[Unit_Price]]-SalesData[[#This Row],[Unit_Cost]]</f>
        <v>391.38999999999942</v>
      </c>
      <c r="T986" s="10">
        <f>SalesData[[#This Row],[Unit_Margin]]/SalesData[[#This Row],[Unit_Price]]</f>
        <v>7.8928688104735328E-2</v>
      </c>
      <c r="U986" s="2" t="str">
        <f>IF(SalesData[[#This Row],[Unit_Margin]]&lt;0, "Negative margin", "Positive margin")</f>
        <v>Positive margin</v>
      </c>
      <c r="V986" s="2" t="str">
        <f>IF(SalesData[[#This Row],[Profit]]&lt;0, "Loss", "Profit")</f>
        <v>Profit</v>
      </c>
      <c r="W986" s="2">
        <f>SalesData[[#This Row],[Unit_Price]]*(1-SalesData[[#This Row],[Discount]])</f>
        <v>4760.4287999999997</v>
      </c>
      <c r="X986" s="2">
        <f>SalesData[[#This Row],[Effective_Unit_Price]]-SalesData[[#This Row],[Unit_Cost]]</f>
        <v>193.03879999999936</v>
      </c>
      <c r="Y986" s="2" t="str">
        <f>IF(SalesData[[#This Row],[Effective_Unit_Margin]]&lt;0,"Loss per Unit","Positive per Unit")</f>
        <v>Positive per Unit</v>
      </c>
    </row>
    <row r="987" spans="1:25" x14ac:dyDescent="0.3">
      <c r="A987">
        <v>1017</v>
      </c>
      <c r="B987" s="1">
        <v>44950</v>
      </c>
      <c r="C987" t="s">
        <v>37</v>
      </c>
      <c r="D987" t="s">
        <v>14</v>
      </c>
      <c r="E987">
        <v>27</v>
      </c>
      <c r="F987" t="s">
        <v>34</v>
      </c>
      <c r="G987">
        <v>927.89</v>
      </c>
      <c r="H987">
        <v>1399.09</v>
      </c>
      <c r="I987" t="s">
        <v>16</v>
      </c>
      <c r="J987" s="2">
        <v>0.27</v>
      </c>
      <c r="K987" t="s">
        <v>30</v>
      </c>
      <c r="L987" t="s">
        <v>18</v>
      </c>
      <c r="M987" t="s">
        <v>39</v>
      </c>
      <c r="N987">
        <f>SalesData[[#This Row],[Quantity_Sold]]*SalesData[[#This Row],[Unit_Cost]]</f>
        <v>25053.03</v>
      </c>
      <c r="O987">
        <f>SalesData[[#This Row],[Quantity_Sold]]*SalesData[[#This Row],[Unit_Price]]</f>
        <v>37775.43</v>
      </c>
      <c r="P987">
        <f>SalesData[[#This Row],[Gross_sales]]*(1-SalesData[[#This Row],[Discount]])</f>
        <v>27576.063900000001</v>
      </c>
      <c r="Q987" s="2">
        <f>SalesData[[#This Row],[Sales_amount]]-SalesData[[#This Row],[Total_Cost]]</f>
        <v>2523.0339000000022</v>
      </c>
      <c r="R987" s="2">
        <f>SalesData[[#This Row],[Profit]]/SalesData[[#This Row],[Sales_amount]]</f>
        <v>9.149361958071188E-2</v>
      </c>
      <c r="S987" s="2">
        <f>SalesData[[#This Row],[Unit_Price]]-SalesData[[#This Row],[Unit_Cost]]</f>
        <v>471.19999999999993</v>
      </c>
      <c r="T987" s="10">
        <f>SalesData[[#This Row],[Unit_Margin]]/SalesData[[#This Row],[Unit_Price]]</f>
        <v>0.33679034229391958</v>
      </c>
      <c r="U987" s="2" t="str">
        <f>IF(SalesData[[#This Row],[Unit_Margin]]&lt;0, "Negative margin", "Positive margin")</f>
        <v>Positive margin</v>
      </c>
      <c r="V987" s="2" t="str">
        <f>IF(SalesData[[#This Row],[Profit]]&lt;0, "Loss", "Profit")</f>
        <v>Profit</v>
      </c>
      <c r="W987" s="2">
        <f>SalesData[[#This Row],[Unit_Price]]*(1-SalesData[[#This Row],[Discount]])</f>
        <v>1021.3356999999999</v>
      </c>
      <c r="X987" s="2">
        <f>SalesData[[#This Row],[Effective_Unit_Price]]-SalesData[[#This Row],[Unit_Cost]]</f>
        <v>93.445699999999874</v>
      </c>
      <c r="Y987" s="2" t="str">
        <f>IF(SalesData[[#This Row],[Effective_Unit_Margin]]&lt;0,"Loss per Unit","Positive per Unit")</f>
        <v>Positive per Unit</v>
      </c>
    </row>
    <row r="988" spans="1:25" x14ac:dyDescent="0.3">
      <c r="A988">
        <v>1086</v>
      </c>
      <c r="B988" s="1">
        <v>45219</v>
      </c>
      <c r="C988" t="s">
        <v>23</v>
      </c>
      <c r="D988" t="s">
        <v>24</v>
      </c>
      <c r="E988">
        <v>32</v>
      </c>
      <c r="F988" t="s">
        <v>15</v>
      </c>
      <c r="G988">
        <v>84.86</v>
      </c>
      <c r="H988">
        <v>517.17999999999995</v>
      </c>
      <c r="I988" t="s">
        <v>16</v>
      </c>
      <c r="J988" s="2">
        <v>0.2</v>
      </c>
      <c r="K988" t="s">
        <v>30</v>
      </c>
      <c r="L988" t="s">
        <v>21</v>
      </c>
      <c r="M988" t="s">
        <v>27</v>
      </c>
      <c r="N988">
        <f>SalesData[[#This Row],[Quantity_Sold]]*SalesData[[#This Row],[Unit_Cost]]</f>
        <v>2715.52</v>
      </c>
      <c r="O988">
        <f>SalesData[[#This Row],[Quantity_Sold]]*SalesData[[#This Row],[Unit_Price]]</f>
        <v>16549.759999999998</v>
      </c>
      <c r="P988">
        <f>SalesData[[#This Row],[Gross_sales]]*(1-SalesData[[#This Row],[Discount]])</f>
        <v>13239.807999999999</v>
      </c>
      <c r="Q988" s="2">
        <f>SalesData[[#This Row],[Sales_amount]]-SalesData[[#This Row],[Total_Cost]]</f>
        <v>10524.287999999999</v>
      </c>
      <c r="R988" s="2">
        <f>SalesData[[#This Row],[Profit]]/SalesData[[#This Row],[Sales_amount]]</f>
        <v>0.79489732781623412</v>
      </c>
      <c r="S988" s="2">
        <f>SalesData[[#This Row],[Unit_Price]]-SalesData[[#This Row],[Unit_Cost]]</f>
        <v>432.31999999999994</v>
      </c>
      <c r="T988" s="10">
        <f>SalesData[[#This Row],[Unit_Margin]]/SalesData[[#This Row],[Unit_Price]]</f>
        <v>0.83591786225298736</v>
      </c>
      <c r="U988" s="2" t="str">
        <f>IF(SalesData[[#This Row],[Unit_Margin]]&lt;0, "Negative margin", "Positive margin")</f>
        <v>Positive margin</v>
      </c>
      <c r="V988" s="2" t="str">
        <f>IF(SalesData[[#This Row],[Profit]]&lt;0, "Loss", "Profit")</f>
        <v>Profit</v>
      </c>
      <c r="W988" s="2">
        <f>SalesData[[#This Row],[Unit_Price]]*(1-SalesData[[#This Row],[Discount]])</f>
        <v>413.74399999999997</v>
      </c>
      <c r="X988" s="2">
        <f>SalesData[[#This Row],[Effective_Unit_Price]]-SalesData[[#This Row],[Unit_Cost]]</f>
        <v>328.88399999999996</v>
      </c>
      <c r="Y988" s="2" t="str">
        <f>IF(SalesData[[#This Row],[Effective_Unit_Margin]]&lt;0,"Loss per Unit","Positive per Unit")</f>
        <v>Positive per Unit</v>
      </c>
    </row>
    <row r="989" spans="1:25" x14ac:dyDescent="0.3">
      <c r="A989">
        <v>1090</v>
      </c>
      <c r="B989" s="1">
        <v>44930</v>
      </c>
      <c r="C989" t="s">
        <v>37</v>
      </c>
      <c r="D989" t="s">
        <v>14</v>
      </c>
      <c r="E989">
        <v>14</v>
      </c>
      <c r="F989" t="s">
        <v>15</v>
      </c>
      <c r="G989">
        <v>4037.21</v>
      </c>
      <c r="H989">
        <v>4323.71</v>
      </c>
      <c r="I989" t="s">
        <v>16</v>
      </c>
      <c r="J989" s="2">
        <v>0.27</v>
      </c>
      <c r="K989" t="s">
        <v>30</v>
      </c>
      <c r="L989" t="s">
        <v>18</v>
      </c>
      <c r="M989" t="s">
        <v>39</v>
      </c>
      <c r="N989">
        <f>SalesData[[#This Row],[Quantity_Sold]]*SalesData[[#This Row],[Unit_Cost]]</f>
        <v>56520.94</v>
      </c>
      <c r="O989">
        <f>SalesData[[#This Row],[Quantity_Sold]]*SalesData[[#This Row],[Unit_Price]]</f>
        <v>60531.94</v>
      </c>
      <c r="P989">
        <f>SalesData[[#This Row],[Gross_sales]]*(1-SalesData[[#This Row],[Discount]])</f>
        <v>44188.316200000001</v>
      </c>
      <c r="Q989" s="2">
        <f>SalesData[[#This Row],[Sales_amount]]-SalesData[[#This Row],[Total_Cost]]</f>
        <v>-12332.623800000001</v>
      </c>
      <c r="R989" s="2">
        <f>SalesData[[#This Row],[Profit]]/SalesData[[#This Row],[Sales_amount]]</f>
        <v>-0.27909241312073352</v>
      </c>
      <c r="S989" s="2">
        <f>SalesData[[#This Row],[Unit_Price]]-SalesData[[#This Row],[Unit_Cost]]</f>
        <v>286.5</v>
      </c>
      <c r="T989" s="10">
        <f>SalesData[[#This Row],[Unit_Margin]]/SalesData[[#This Row],[Unit_Price]]</f>
        <v>6.6262538421864553E-2</v>
      </c>
      <c r="U989" s="2" t="str">
        <f>IF(SalesData[[#This Row],[Unit_Margin]]&lt;0, "Negative margin", "Positive margin")</f>
        <v>Positive margin</v>
      </c>
      <c r="V989" s="2" t="str">
        <f>IF(SalesData[[#This Row],[Profit]]&lt;0, "Loss", "Profit")</f>
        <v>Loss</v>
      </c>
      <c r="W989" s="2">
        <f>SalesData[[#This Row],[Unit_Price]]*(1-SalesData[[#This Row],[Discount]])</f>
        <v>3156.3083000000001</v>
      </c>
      <c r="X989" s="2">
        <f>SalesData[[#This Row],[Effective_Unit_Price]]-SalesData[[#This Row],[Unit_Cost]]</f>
        <v>-880.90169999999989</v>
      </c>
      <c r="Y989" s="2" t="str">
        <f>IF(SalesData[[#This Row],[Effective_Unit_Margin]]&lt;0,"Loss per Unit","Positive per Unit")</f>
        <v>Loss per Unit</v>
      </c>
    </row>
    <row r="990" spans="1:25" x14ac:dyDescent="0.3">
      <c r="A990">
        <v>1044</v>
      </c>
      <c r="B990" s="1">
        <v>45146</v>
      </c>
      <c r="C990" t="s">
        <v>41</v>
      </c>
      <c r="D990" t="s">
        <v>14</v>
      </c>
      <c r="E990">
        <v>18</v>
      </c>
      <c r="F990" t="s">
        <v>28</v>
      </c>
      <c r="G990">
        <v>430.14</v>
      </c>
      <c r="H990">
        <v>641.17999999999995</v>
      </c>
      <c r="I990" t="s">
        <v>29</v>
      </c>
      <c r="J990" s="2">
        <v>0.13</v>
      </c>
      <c r="K990" t="s">
        <v>17</v>
      </c>
      <c r="L990" t="s">
        <v>18</v>
      </c>
      <c r="M990" t="s">
        <v>48</v>
      </c>
      <c r="N990">
        <f>SalesData[[#This Row],[Quantity_Sold]]*SalesData[[#This Row],[Unit_Cost]]</f>
        <v>7742.5199999999995</v>
      </c>
      <c r="O990">
        <f>SalesData[[#This Row],[Quantity_Sold]]*SalesData[[#This Row],[Unit_Price]]</f>
        <v>11541.24</v>
      </c>
      <c r="P990">
        <f>SalesData[[#This Row],[Gross_sales]]*(1-SalesData[[#This Row],[Discount]])</f>
        <v>10040.8788</v>
      </c>
      <c r="Q990" s="2">
        <f>SalesData[[#This Row],[Sales_amount]]-SalesData[[#This Row],[Total_Cost]]</f>
        <v>2298.3588000000009</v>
      </c>
      <c r="R990" s="2">
        <f>SalesData[[#This Row],[Profit]]/SalesData[[#This Row],[Sales_amount]]</f>
        <v>0.22890016359922608</v>
      </c>
      <c r="S990" s="2">
        <f>SalesData[[#This Row],[Unit_Price]]-SalesData[[#This Row],[Unit_Cost]]</f>
        <v>211.03999999999996</v>
      </c>
      <c r="T990" s="10">
        <f>SalesData[[#This Row],[Unit_Margin]]/SalesData[[#This Row],[Unit_Price]]</f>
        <v>0.32914314233132658</v>
      </c>
      <c r="U990" s="2" t="str">
        <f>IF(SalesData[[#This Row],[Unit_Margin]]&lt;0, "Negative margin", "Positive margin")</f>
        <v>Positive margin</v>
      </c>
      <c r="V990" s="2" t="str">
        <f>IF(SalesData[[#This Row],[Profit]]&lt;0, "Loss", "Profit")</f>
        <v>Profit</v>
      </c>
      <c r="W990" s="2">
        <f>SalesData[[#This Row],[Unit_Price]]*(1-SalesData[[#This Row],[Discount]])</f>
        <v>557.82659999999998</v>
      </c>
      <c r="X990" s="2">
        <f>SalesData[[#This Row],[Effective_Unit_Price]]-SalesData[[#This Row],[Unit_Cost]]</f>
        <v>127.6866</v>
      </c>
      <c r="Y990" s="2" t="str">
        <f>IF(SalesData[[#This Row],[Effective_Unit_Margin]]&lt;0,"Loss per Unit","Positive per Unit")</f>
        <v>Positive per Unit</v>
      </c>
    </row>
    <row r="991" spans="1:25" x14ac:dyDescent="0.3">
      <c r="A991">
        <v>1025</v>
      </c>
      <c r="B991" s="1">
        <v>45290</v>
      </c>
      <c r="C991" t="s">
        <v>23</v>
      </c>
      <c r="D991" t="s">
        <v>20</v>
      </c>
      <c r="E991">
        <v>28</v>
      </c>
      <c r="F991" t="s">
        <v>34</v>
      </c>
      <c r="G991">
        <v>2097.84</v>
      </c>
      <c r="H991">
        <v>2270.9899999999998</v>
      </c>
      <c r="I991" t="s">
        <v>29</v>
      </c>
      <c r="J991" s="2">
        <v>0.13</v>
      </c>
      <c r="K991" t="s">
        <v>30</v>
      </c>
      <c r="L991" t="s">
        <v>21</v>
      </c>
      <c r="M991" t="s">
        <v>46</v>
      </c>
      <c r="N991">
        <f>SalesData[[#This Row],[Quantity_Sold]]*SalesData[[#This Row],[Unit_Cost]]</f>
        <v>58739.520000000004</v>
      </c>
      <c r="O991">
        <f>SalesData[[#This Row],[Quantity_Sold]]*SalesData[[#This Row],[Unit_Price]]</f>
        <v>63587.719999999994</v>
      </c>
      <c r="P991">
        <f>SalesData[[#This Row],[Gross_sales]]*(1-SalesData[[#This Row],[Discount]])</f>
        <v>55321.316399999996</v>
      </c>
      <c r="Q991" s="2">
        <f>SalesData[[#This Row],[Sales_amount]]-SalesData[[#This Row],[Total_Cost]]</f>
        <v>-3418.203600000008</v>
      </c>
      <c r="R991" s="2">
        <f>SalesData[[#This Row],[Profit]]/SalesData[[#This Row],[Sales_amount]]</f>
        <v>-6.1788182610925869E-2</v>
      </c>
      <c r="S991" s="2">
        <f>SalesData[[#This Row],[Unit_Price]]-SalesData[[#This Row],[Unit_Cost]]</f>
        <v>173.14999999999964</v>
      </c>
      <c r="T991" s="10">
        <f>SalesData[[#This Row],[Unit_Margin]]/SalesData[[#This Row],[Unit_Price]]</f>
        <v>7.6244281128494462E-2</v>
      </c>
      <c r="U991" s="2" t="str">
        <f>IF(SalesData[[#This Row],[Unit_Margin]]&lt;0, "Negative margin", "Positive margin")</f>
        <v>Positive margin</v>
      </c>
      <c r="V991" s="2" t="str">
        <f>IF(SalesData[[#This Row],[Profit]]&lt;0, "Loss", "Profit")</f>
        <v>Loss</v>
      </c>
      <c r="W991" s="2">
        <f>SalesData[[#This Row],[Unit_Price]]*(1-SalesData[[#This Row],[Discount]])</f>
        <v>1975.7612999999999</v>
      </c>
      <c r="X991" s="2">
        <f>SalesData[[#This Row],[Effective_Unit_Price]]-SalesData[[#This Row],[Unit_Cost]]</f>
        <v>-122.07870000000025</v>
      </c>
      <c r="Y991" s="2" t="str">
        <f>IF(SalesData[[#This Row],[Effective_Unit_Margin]]&lt;0,"Loss per Unit","Positive per Unit")</f>
        <v>Loss per Unit</v>
      </c>
    </row>
    <row r="992" spans="1:25" x14ac:dyDescent="0.3">
      <c r="A992">
        <v>1017</v>
      </c>
      <c r="B992" s="1">
        <v>44946</v>
      </c>
      <c r="C992" t="s">
        <v>13</v>
      </c>
      <c r="D992" t="s">
        <v>33</v>
      </c>
      <c r="E992">
        <v>29</v>
      </c>
      <c r="F992" t="s">
        <v>28</v>
      </c>
      <c r="G992">
        <v>3410.49</v>
      </c>
      <c r="H992">
        <v>3481.72</v>
      </c>
      <c r="I992" t="s">
        <v>29</v>
      </c>
      <c r="J992" s="2">
        <v>0.24</v>
      </c>
      <c r="K992" t="s">
        <v>26</v>
      </c>
      <c r="L992" t="s">
        <v>21</v>
      </c>
      <c r="M992" t="s">
        <v>45</v>
      </c>
      <c r="N992">
        <f>SalesData[[#This Row],[Quantity_Sold]]*SalesData[[#This Row],[Unit_Cost]]</f>
        <v>98904.209999999992</v>
      </c>
      <c r="O992">
        <f>SalesData[[#This Row],[Quantity_Sold]]*SalesData[[#This Row],[Unit_Price]]</f>
        <v>100969.87999999999</v>
      </c>
      <c r="P992">
        <f>SalesData[[#This Row],[Gross_sales]]*(1-SalesData[[#This Row],[Discount]])</f>
        <v>76737.108799999987</v>
      </c>
      <c r="Q992" s="2">
        <f>SalesData[[#This Row],[Sales_amount]]-SalesData[[#This Row],[Total_Cost]]</f>
        <v>-22167.101200000005</v>
      </c>
      <c r="R992" s="2">
        <f>SalesData[[#This Row],[Profit]]/SalesData[[#This Row],[Sales_amount]]</f>
        <v>-0.28887068520882309</v>
      </c>
      <c r="S992" s="2">
        <f>SalesData[[#This Row],[Unit_Price]]-SalesData[[#This Row],[Unit_Cost]]</f>
        <v>71.230000000000018</v>
      </c>
      <c r="T992" s="10">
        <f>SalesData[[#This Row],[Unit_Margin]]/SalesData[[#This Row],[Unit_Price]]</f>
        <v>2.0458279241294539E-2</v>
      </c>
      <c r="U992" s="2" t="str">
        <f>IF(SalesData[[#This Row],[Unit_Margin]]&lt;0, "Negative margin", "Positive margin")</f>
        <v>Positive margin</v>
      </c>
      <c r="V992" s="2" t="str">
        <f>IF(SalesData[[#This Row],[Profit]]&lt;0, "Loss", "Profit")</f>
        <v>Loss</v>
      </c>
      <c r="W992" s="2">
        <f>SalesData[[#This Row],[Unit_Price]]*(1-SalesData[[#This Row],[Discount]])</f>
        <v>2646.1071999999999</v>
      </c>
      <c r="X992" s="2">
        <f>SalesData[[#This Row],[Effective_Unit_Price]]-SalesData[[#This Row],[Unit_Cost]]</f>
        <v>-764.38279999999986</v>
      </c>
      <c r="Y992" s="2" t="str">
        <f>IF(SalesData[[#This Row],[Effective_Unit_Margin]]&lt;0,"Loss per Unit","Positive per Unit")</f>
        <v>Loss per Unit</v>
      </c>
    </row>
    <row r="993" spans="1:25" x14ac:dyDescent="0.3">
      <c r="A993">
        <v>1013</v>
      </c>
      <c r="B993" s="1">
        <v>45078</v>
      </c>
      <c r="C993" t="s">
        <v>32</v>
      </c>
      <c r="D993" t="s">
        <v>33</v>
      </c>
      <c r="E993">
        <v>16</v>
      </c>
      <c r="F993" t="s">
        <v>15</v>
      </c>
      <c r="G993">
        <v>1222.1500000000001</v>
      </c>
      <c r="H993">
        <v>1284.3599999999999</v>
      </c>
      <c r="I993" t="s">
        <v>16</v>
      </c>
      <c r="J993" s="2">
        <v>0.03</v>
      </c>
      <c r="K993" t="s">
        <v>30</v>
      </c>
      <c r="L993" t="s">
        <v>21</v>
      </c>
      <c r="M993" t="s">
        <v>35</v>
      </c>
      <c r="N993">
        <f>SalesData[[#This Row],[Quantity_Sold]]*SalesData[[#This Row],[Unit_Cost]]</f>
        <v>19554.400000000001</v>
      </c>
      <c r="O993">
        <f>SalesData[[#This Row],[Quantity_Sold]]*SalesData[[#This Row],[Unit_Price]]</f>
        <v>20549.759999999998</v>
      </c>
      <c r="P993">
        <f>SalesData[[#This Row],[Gross_sales]]*(1-SalesData[[#This Row],[Discount]])</f>
        <v>19933.267199999998</v>
      </c>
      <c r="Q993" s="2">
        <f>SalesData[[#This Row],[Sales_amount]]-SalesData[[#This Row],[Total_Cost]]</f>
        <v>378.86719999999696</v>
      </c>
      <c r="R993" s="2">
        <f>SalesData[[#This Row],[Profit]]/SalesData[[#This Row],[Sales_amount]]</f>
        <v>1.9006778778342819E-2</v>
      </c>
      <c r="S993" s="2">
        <f>SalesData[[#This Row],[Unit_Price]]-SalesData[[#This Row],[Unit_Cost]]</f>
        <v>62.209999999999809</v>
      </c>
      <c r="T993" s="10">
        <f>SalesData[[#This Row],[Unit_Margin]]/SalesData[[#This Row],[Unit_Price]]</f>
        <v>4.8436575414992536E-2</v>
      </c>
      <c r="U993" s="2" t="str">
        <f>IF(SalesData[[#This Row],[Unit_Margin]]&lt;0, "Negative margin", "Positive margin")</f>
        <v>Positive margin</v>
      </c>
      <c r="V993" s="2" t="str">
        <f>IF(SalesData[[#This Row],[Profit]]&lt;0, "Loss", "Profit")</f>
        <v>Profit</v>
      </c>
      <c r="W993" s="2">
        <f>SalesData[[#This Row],[Unit_Price]]*(1-SalesData[[#This Row],[Discount]])</f>
        <v>1245.8291999999999</v>
      </c>
      <c r="X993" s="2">
        <f>SalesData[[#This Row],[Effective_Unit_Price]]-SalesData[[#This Row],[Unit_Cost]]</f>
        <v>23.67919999999981</v>
      </c>
      <c r="Y993" s="2" t="str">
        <f>IF(SalesData[[#This Row],[Effective_Unit_Margin]]&lt;0,"Loss per Unit","Positive per Unit")</f>
        <v>Positive per Unit</v>
      </c>
    </row>
    <row r="994" spans="1:25" x14ac:dyDescent="0.3">
      <c r="A994">
        <v>1084</v>
      </c>
      <c r="B994" s="1">
        <v>44976</v>
      </c>
      <c r="C994" t="s">
        <v>23</v>
      </c>
      <c r="D994" t="s">
        <v>20</v>
      </c>
      <c r="E994">
        <v>35</v>
      </c>
      <c r="F994" t="s">
        <v>25</v>
      </c>
      <c r="G994">
        <v>465.61</v>
      </c>
      <c r="H994">
        <v>812.91</v>
      </c>
      <c r="I994" t="s">
        <v>29</v>
      </c>
      <c r="J994" s="2">
        <v>0.16</v>
      </c>
      <c r="K994" t="s">
        <v>26</v>
      </c>
      <c r="L994" t="s">
        <v>18</v>
      </c>
      <c r="M994" t="s">
        <v>46</v>
      </c>
      <c r="N994">
        <f>SalesData[[#This Row],[Quantity_Sold]]*SalesData[[#This Row],[Unit_Cost]]</f>
        <v>16296.35</v>
      </c>
      <c r="O994">
        <f>SalesData[[#This Row],[Quantity_Sold]]*SalesData[[#This Row],[Unit_Price]]</f>
        <v>28451.85</v>
      </c>
      <c r="P994">
        <f>SalesData[[#This Row],[Gross_sales]]*(1-SalesData[[#This Row],[Discount]])</f>
        <v>23899.553999999996</v>
      </c>
      <c r="Q994" s="2">
        <f>SalesData[[#This Row],[Sales_amount]]-SalesData[[#This Row],[Total_Cost]]</f>
        <v>7603.2039999999961</v>
      </c>
      <c r="R994" s="2">
        <f>SalesData[[#This Row],[Profit]]/SalesData[[#This Row],[Sales_amount]]</f>
        <v>0.31813162705881448</v>
      </c>
      <c r="S994" s="2">
        <f>SalesData[[#This Row],[Unit_Price]]-SalesData[[#This Row],[Unit_Cost]]</f>
        <v>347.29999999999995</v>
      </c>
      <c r="T994" s="10">
        <f>SalesData[[#This Row],[Unit_Margin]]/SalesData[[#This Row],[Unit_Price]]</f>
        <v>0.42723056672940418</v>
      </c>
      <c r="U994" s="2" t="str">
        <f>IF(SalesData[[#This Row],[Unit_Margin]]&lt;0, "Negative margin", "Positive margin")</f>
        <v>Positive margin</v>
      </c>
      <c r="V994" s="2" t="str">
        <f>IF(SalesData[[#This Row],[Profit]]&lt;0, "Loss", "Profit")</f>
        <v>Profit</v>
      </c>
      <c r="W994" s="2">
        <f>SalesData[[#This Row],[Unit_Price]]*(1-SalesData[[#This Row],[Discount]])</f>
        <v>682.84439999999995</v>
      </c>
      <c r="X994" s="2">
        <f>SalesData[[#This Row],[Effective_Unit_Price]]-SalesData[[#This Row],[Unit_Cost]]</f>
        <v>217.23439999999994</v>
      </c>
      <c r="Y994" s="2" t="str">
        <f>IF(SalesData[[#This Row],[Effective_Unit_Margin]]&lt;0,"Loss per Unit","Positive per Unit")</f>
        <v>Positive per Unit</v>
      </c>
    </row>
    <row r="995" spans="1:25" x14ac:dyDescent="0.3">
      <c r="A995">
        <v>1025</v>
      </c>
      <c r="B995" s="1">
        <v>45103</v>
      </c>
      <c r="C995" t="s">
        <v>23</v>
      </c>
      <c r="D995" t="s">
        <v>14</v>
      </c>
      <c r="E995">
        <v>47</v>
      </c>
      <c r="F995" t="s">
        <v>15</v>
      </c>
      <c r="G995">
        <v>3861.61</v>
      </c>
      <c r="H995">
        <v>3998.91</v>
      </c>
      <c r="I995" t="s">
        <v>29</v>
      </c>
      <c r="J995" s="2">
        <v>0.25</v>
      </c>
      <c r="K995" t="s">
        <v>30</v>
      </c>
      <c r="L995" t="s">
        <v>18</v>
      </c>
      <c r="M995" t="s">
        <v>44</v>
      </c>
      <c r="N995">
        <f>SalesData[[#This Row],[Quantity_Sold]]*SalesData[[#This Row],[Unit_Cost]]</f>
        <v>181495.67</v>
      </c>
      <c r="O995">
        <f>SalesData[[#This Row],[Quantity_Sold]]*SalesData[[#This Row],[Unit_Price]]</f>
        <v>187948.77</v>
      </c>
      <c r="P995">
        <f>SalesData[[#This Row],[Gross_sales]]*(1-SalesData[[#This Row],[Discount]])</f>
        <v>140961.57749999998</v>
      </c>
      <c r="Q995" s="2">
        <f>SalesData[[#This Row],[Sales_amount]]-SalesData[[#This Row],[Total_Cost]]</f>
        <v>-40534.092500000028</v>
      </c>
      <c r="R995" s="2">
        <f>SalesData[[#This Row],[Profit]]/SalesData[[#This Row],[Sales_amount]]</f>
        <v>-0.28755419185061287</v>
      </c>
      <c r="S995" s="2">
        <f>SalesData[[#This Row],[Unit_Price]]-SalesData[[#This Row],[Unit_Cost]]</f>
        <v>137.29999999999973</v>
      </c>
      <c r="T995" s="10">
        <f>SalesData[[#This Row],[Unit_Margin]]/SalesData[[#This Row],[Unit_Price]]</f>
        <v>3.4334356112040464E-2</v>
      </c>
      <c r="U995" s="2" t="str">
        <f>IF(SalesData[[#This Row],[Unit_Margin]]&lt;0, "Negative margin", "Positive margin")</f>
        <v>Positive margin</v>
      </c>
      <c r="V995" s="2" t="str">
        <f>IF(SalesData[[#This Row],[Profit]]&lt;0, "Loss", "Profit")</f>
        <v>Loss</v>
      </c>
      <c r="W995" s="2">
        <f>SalesData[[#This Row],[Unit_Price]]*(1-SalesData[[#This Row],[Discount]])</f>
        <v>2999.1824999999999</v>
      </c>
      <c r="X995" s="2">
        <f>SalesData[[#This Row],[Effective_Unit_Price]]-SalesData[[#This Row],[Unit_Cost]]</f>
        <v>-862.42750000000024</v>
      </c>
      <c r="Y995" s="2" t="str">
        <f>IF(SalesData[[#This Row],[Effective_Unit_Margin]]&lt;0,"Loss per Unit","Positive per Unit")</f>
        <v>Loss per Unit</v>
      </c>
    </row>
    <row r="996" spans="1:25" x14ac:dyDescent="0.3">
      <c r="A996">
        <v>1068</v>
      </c>
      <c r="B996" s="1">
        <v>45022</v>
      </c>
      <c r="C996" t="s">
        <v>41</v>
      </c>
      <c r="D996" t="s">
        <v>24</v>
      </c>
      <c r="E996">
        <v>31</v>
      </c>
      <c r="F996" t="s">
        <v>28</v>
      </c>
      <c r="G996">
        <v>3169.37</v>
      </c>
      <c r="H996">
        <v>3304.15</v>
      </c>
      <c r="I996" t="s">
        <v>16</v>
      </c>
      <c r="J996" s="2">
        <v>0.25</v>
      </c>
      <c r="K996" t="s">
        <v>30</v>
      </c>
      <c r="L996" t="s">
        <v>21</v>
      </c>
      <c r="M996" t="s">
        <v>42</v>
      </c>
      <c r="N996">
        <f>SalesData[[#This Row],[Quantity_Sold]]*SalesData[[#This Row],[Unit_Cost]]</f>
        <v>98250.47</v>
      </c>
      <c r="O996">
        <f>SalesData[[#This Row],[Quantity_Sold]]*SalesData[[#This Row],[Unit_Price]]</f>
        <v>102428.65000000001</v>
      </c>
      <c r="P996">
        <f>SalesData[[#This Row],[Gross_sales]]*(1-SalesData[[#This Row],[Discount]])</f>
        <v>76821.487500000003</v>
      </c>
      <c r="Q996" s="2">
        <f>SalesData[[#This Row],[Sales_amount]]-SalesData[[#This Row],[Total_Cost]]</f>
        <v>-21428.982499999998</v>
      </c>
      <c r="R996" s="2">
        <f>SalesData[[#This Row],[Profit]]/SalesData[[#This Row],[Sales_amount]]</f>
        <v>-0.27894516491886462</v>
      </c>
      <c r="S996" s="2">
        <f>SalesData[[#This Row],[Unit_Price]]-SalesData[[#This Row],[Unit_Cost]]</f>
        <v>134.7800000000002</v>
      </c>
      <c r="T996" s="10">
        <f>SalesData[[#This Row],[Unit_Margin]]/SalesData[[#This Row],[Unit_Price]]</f>
        <v>4.0791126310851564E-2</v>
      </c>
      <c r="U996" s="2" t="str">
        <f>IF(SalesData[[#This Row],[Unit_Margin]]&lt;0, "Negative margin", "Positive margin")</f>
        <v>Positive margin</v>
      </c>
      <c r="V996" s="2" t="str">
        <f>IF(SalesData[[#This Row],[Profit]]&lt;0, "Loss", "Profit")</f>
        <v>Loss</v>
      </c>
      <c r="W996" s="2">
        <f>SalesData[[#This Row],[Unit_Price]]*(1-SalesData[[#This Row],[Discount]])</f>
        <v>2478.1125000000002</v>
      </c>
      <c r="X996" s="2">
        <f>SalesData[[#This Row],[Effective_Unit_Price]]-SalesData[[#This Row],[Unit_Cost]]</f>
        <v>-691.25749999999971</v>
      </c>
      <c r="Y996" s="2" t="str">
        <f>IF(SalesData[[#This Row],[Effective_Unit_Margin]]&lt;0,"Loss per Unit","Positive per Unit")</f>
        <v>Loss per Unit</v>
      </c>
    </row>
    <row r="997" spans="1:25" x14ac:dyDescent="0.3">
      <c r="A997">
        <v>1010</v>
      </c>
      <c r="B997" s="1">
        <v>45031</v>
      </c>
      <c r="C997" t="s">
        <v>32</v>
      </c>
      <c r="D997" t="s">
        <v>14</v>
      </c>
      <c r="E997">
        <v>4</v>
      </c>
      <c r="F997" t="s">
        <v>25</v>
      </c>
      <c r="G997">
        <v>4943.03</v>
      </c>
      <c r="H997">
        <v>5442.15</v>
      </c>
      <c r="I997" t="s">
        <v>16</v>
      </c>
      <c r="J997" s="2">
        <v>0.28999999999999998</v>
      </c>
      <c r="K997" t="s">
        <v>17</v>
      </c>
      <c r="L997" t="s">
        <v>18</v>
      </c>
      <c r="M997" t="s">
        <v>52</v>
      </c>
      <c r="N997">
        <f>SalesData[[#This Row],[Quantity_Sold]]*SalesData[[#This Row],[Unit_Cost]]</f>
        <v>19772.12</v>
      </c>
      <c r="O997">
        <f>SalesData[[#This Row],[Quantity_Sold]]*SalesData[[#This Row],[Unit_Price]]</f>
        <v>21768.6</v>
      </c>
      <c r="P997">
        <f>SalesData[[#This Row],[Gross_sales]]*(1-SalesData[[#This Row],[Discount]])</f>
        <v>15455.705999999998</v>
      </c>
      <c r="Q997" s="2">
        <f>SalesData[[#This Row],[Sales_amount]]-SalesData[[#This Row],[Total_Cost]]</f>
        <v>-4316.4140000000007</v>
      </c>
      <c r="R997" s="2">
        <f>SalesData[[#This Row],[Profit]]/SalesData[[#This Row],[Sales_amount]]</f>
        <v>-0.27927640445541607</v>
      </c>
      <c r="S997" s="2">
        <f>SalesData[[#This Row],[Unit_Price]]-SalesData[[#This Row],[Unit_Cost]]</f>
        <v>499.11999999999989</v>
      </c>
      <c r="T997" s="10">
        <f>SalesData[[#This Row],[Unit_Margin]]/SalesData[[#This Row],[Unit_Price]]</f>
        <v>9.1713752836654616E-2</v>
      </c>
      <c r="U997" s="2" t="str">
        <f>IF(SalesData[[#This Row],[Unit_Margin]]&lt;0, "Negative margin", "Positive margin")</f>
        <v>Positive margin</v>
      </c>
      <c r="V997" s="2" t="str">
        <f>IF(SalesData[[#This Row],[Profit]]&lt;0, "Loss", "Profit")</f>
        <v>Loss</v>
      </c>
      <c r="W997" s="2">
        <f>SalesData[[#This Row],[Unit_Price]]*(1-SalesData[[#This Row],[Discount]])</f>
        <v>3863.9264999999996</v>
      </c>
      <c r="X997" s="2">
        <f>SalesData[[#This Row],[Effective_Unit_Price]]-SalesData[[#This Row],[Unit_Cost]]</f>
        <v>-1079.1035000000002</v>
      </c>
      <c r="Y997" s="2" t="str">
        <f>IF(SalesData[[#This Row],[Effective_Unit_Margin]]&lt;0,"Loss per Unit","Positive per Unit")</f>
        <v>Loss per Unit</v>
      </c>
    </row>
    <row r="998" spans="1:25" x14ac:dyDescent="0.3">
      <c r="A998">
        <v>1067</v>
      </c>
      <c r="B998" s="1">
        <v>45176</v>
      </c>
      <c r="C998" t="s">
        <v>13</v>
      </c>
      <c r="D998" t="s">
        <v>14</v>
      </c>
      <c r="E998">
        <v>37</v>
      </c>
      <c r="F998" t="s">
        <v>28</v>
      </c>
      <c r="G998">
        <v>1754.32</v>
      </c>
      <c r="H998">
        <v>1856.3999999999901</v>
      </c>
      <c r="I998" t="s">
        <v>29</v>
      </c>
      <c r="J998" s="2">
        <v>0.21</v>
      </c>
      <c r="K998" t="s">
        <v>26</v>
      </c>
      <c r="L998" t="s">
        <v>21</v>
      </c>
      <c r="M998" t="s">
        <v>19</v>
      </c>
      <c r="N998">
        <f>SalesData[[#This Row],[Quantity_Sold]]*SalesData[[#This Row],[Unit_Cost]]</f>
        <v>64909.84</v>
      </c>
      <c r="O998">
        <f>SalesData[[#This Row],[Quantity_Sold]]*SalesData[[#This Row],[Unit_Price]]</f>
        <v>68686.799999999639</v>
      </c>
      <c r="P998">
        <f>SalesData[[#This Row],[Gross_sales]]*(1-SalesData[[#This Row],[Discount]])</f>
        <v>54262.571999999716</v>
      </c>
      <c r="Q998" s="2">
        <f>SalesData[[#This Row],[Sales_amount]]-SalesData[[#This Row],[Total_Cost]]</f>
        <v>-10647.26800000028</v>
      </c>
      <c r="R998" s="2">
        <f>SalesData[[#This Row],[Profit]]/SalesData[[#This Row],[Sales_amount]]</f>
        <v>-0.19621753277747939</v>
      </c>
      <c r="S998" s="2">
        <f>SalesData[[#This Row],[Unit_Price]]-SalesData[[#This Row],[Unit_Cost]]</f>
        <v>102.07999999999015</v>
      </c>
      <c r="T998" s="10">
        <f>SalesData[[#This Row],[Unit_Margin]]/SalesData[[#This Row],[Unit_Price]]</f>
        <v>5.4988149105791154E-2</v>
      </c>
      <c r="U998" s="2" t="str">
        <f>IF(SalesData[[#This Row],[Unit_Margin]]&lt;0, "Negative margin", "Positive margin")</f>
        <v>Positive margin</v>
      </c>
      <c r="V998" s="2" t="str">
        <f>IF(SalesData[[#This Row],[Profit]]&lt;0, "Loss", "Profit")</f>
        <v>Loss</v>
      </c>
      <c r="W998" s="2">
        <f>SalesData[[#This Row],[Unit_Price]]*(1-SalesData[[#This Row],[Discount]])</f>
        <v>1466.5559999999923</v>
      </c>
      <c r="X998" s="2">
        <f>SalesData[[#This Row],[Effective_Unit_Price]]-SalesData[[#This Row],[Unit_Cost]]</f>
        <v>-287.76400000000763</v>
      </c>
      <c r="Y998" s="2" t="str">
        <f>IF(SalesData[[#This Row],[Effective_Unit_Margin]]&lt;0,"Loss per Unit","Positive per Unit")</f>
        <v>Loss per Unit</v>
      </c>
    </row>
    <row r="999" spans="1:25" x14ac:dyDescent="0.3">
      <c r="A999">
        <v>1018</v>
      </c>
      <c r="B999" s="1">
        <v>45043</v>
      </c>
      <c r="C999" t="s">
        <v>23</v>
      </c>
      <c r="D999" t="s">
        <v>24</v>
      </c>
      <c r="E999">
        <v>17</v>
      </c>
      <c r="F999" t="s">
        <v>28</v>
      </c>
      <c r="G999">
        <v>355.72</v>
      </c>
      <c r="H999">
        <v>438.27</v>
      </c>
      <c r="I999" t="s">
        <v>16</v>
      </c>
      <c r="J999" s="2">
        <v>0.06</v>
      </c>
      <c r="K999" t="s">
        <v>26</v>
      </c>
      <c r="L999" t="s">
        <v>18</v>
      </c>
      <c r="M999" t="s">
        <v>27</v>
      </c>
      <c r="N999">
        <f>SalesData[[#This Row],[Quantity_Sold]]*SalesData[[#This Row],[Unit_Cost]]</f>
        <v>6047.2400000000007</v>
      </c>
      <c r="O999">
        <f>SalesData[[#This Row],[Quantity_Sold]]*SalesData[[#This Row],[Unit_Price]]</f>
        <v>7450.59</v>
      </c>
      <c r="P999">
        <f>SalesData[[#This Row],[Gross_sales]]*(1-SalesData[[#This Row],[Discount]])</f>
        <v>7003.5545999999995</v>
      </c>
      <c r="Q999" s="2">
        <f>SalesData[[#This Row],[Sales_amount]]-SalesData[[#This Row],[Total_Cost]]</f>
        <v>956.31459999999879</v>
      </c>
      <c r="R999" s="2">
        <f>SalesData[[#This Row],[Profit]]/SalesData[[#This Row],[Sales_amount]]</f>
        <v>0.13654703284529243</v>
      </c>
      <c r="S999" s="2">
        <f>SalesData[[#This Row],[Unit_Price]]-SalesData[[#This Row],[Unit_Cost]]</f>
        <v>82.549999999999955</v>
      </c>
      <c r="T999" s="10">
        <f>SalesData[[#This Row],[Unit_Margin]]/SalesData[[#This Row],[Unit_Price]]</f>
        <v>0.18835421087457493</v>
      </c>
      <c r="U999" s="2" t="str">
        <f>IF(SalesData[[#This Row],[Unit_Margin]]&lt;0, "Negative margin", "Positive margin")</f>
        <v>Positive margin</v>
      </c>
      <c r="V999" s="2" t="str">
        <f>IF(SalesData[[#This Row],[Profit]]&lt;0, "Loss", "Profit")</f>
        <v>Profit</v>
      </c>
      <c r="W999" s="2">
        <f>SalesData[[#This Row],[Unit_Price]]*(1-SalesData[[#This Row],[Discount]])</f>
        <v>411.97379999999998</v>
      </c>
      <c r="X999" s="2">
        <f>SalesData[[#This Row],[Effective_Unit_Price]]-SalesData[[#This Row],[Unit_Cost]]</f>
        <v>56.253799999999956</v>
      </c>
      <c r="Y999" s="2" t="str">
        <f>IF(SalesData[[#This Row],[Effective_Unit_Margin]]&lt;0,"Loss per Unit","Positive per Unit")</f>
        <v>Positive per Unit</v>
      </c>
    </row>
    <row r="1000" spans="1:25" x14ac:dyDescent="0.3">
      <c r="A1000">
        <v>1100</v>
      </c>
      <c r="B1000" s="1">
        <v>45280</v>
      </c>
      <c r="C1000" t="s">
        <v>23</v>
      </c>
      <c r="D1000" t="s">
        <v>20</v>
      </c>
      <c r="E1000">
        <v>39</v>
      </c>
      <c r="F1000" t="s">
        <v>34</v>
      </c>
      <c r="G1000">
        <v>3685.03</v>
      </c>
      <c r="H1000">
        <v>3743.39</v>
      </c>
      <c r="I1000" t="s">
        <v>29</v>
      </c>
      <c r="J1000" s="2">
        <v>0.01</v>
      </c>
      <c r="K1000" t="s">
        <v>26</v>
      </c>
      <c r="L1000" t="s">
        <v>18</v>
      </c>
      <c r="M1000" t="s">
        <v>46</v>
      </c>
      <c r="N1000">
        <f>SalesData[[#This Row],[Quantity_Sold]]*SalesData[[#This Row],[Unit_Cost]]</f>
        <v>143716.17000000001</v>
      </c>
      <c r="O1000">
        <f>SalesData[[#This Row],[Quantity_Sold]]*SalesData[[#This Row],[Unit_Price]]</f>
        <v>145992.21</v>
      </c>
      <c r="P1000">
        <f>SalesData[[#This Row],[Gross_sales]]*(1-SalesData[[#This Row],[Discount]])</f>
        <v>144532.2879</v>
      </c>
      <c r="Q1000" s="2">
        <f>SalesData[[#This Row],[Sales_amount]]-SalesData[[#This Row],[Total_Cost]]</f>
        <v>816.11789999998291</v>
      </c>
      <c r="R1000" s="2">
        <f>SalesData[[#This Row],[Profit]]/SalesData[[#This Row],[Sales_amount]]</f>
        <v>5.6466130292259975E-3</v>
      </c>
      <c r="S1000" s="2">
        <f>SalesData[[#This Row],[Unit_Price]]-SalesData[[#This Row],[Unit_Cost]]</f>
        <v>58.359999999999673</v>
      </c>
      <c r="T1000" s="10">
        <f>SalesData[[#This Row],[Unit_Margin]]/SalesData[[#This Row],[Unit_Price]]</f>
        <v>1.5590146898933767E-2</v>
      </c>
      <c r="U1000" s="2" t="str">
        <f>IF(SalesData[[#This Row],[Unit_Margin]]&lt;0, "Negative margin", "Positive margin")</f>
        <v>Positive margin</v>
      </c>
      <c r="V1000" s="2" t="str">
        <f>IF(SalesData[[#This Row],[Profit]]&lt;0, "Loss", "Profit")</f>
        <v>Profit</v>
      </c>
      <c r="W1000" s="2">
        <f>SalesData[[#This Row],[Unit_Price]]*(1-SalesData[[#This Row],[Discount]])</f>
        <v>3705.9560999999999</v>
      </c>
      <c r="X1000" s="2">
        <f>SalesData[[#This Row],[Effective_Unit_Price]]-SalesData[[#This Row],[Unit_Cost]]</f>
        <v>20.926099999999678</v>
      </c>
      <c r="Y1000" s="2" t="str">
        <f>IF(SalesData[[#This Row],[Effective_Unit_Margin]]&lt;0,"Loss per Unit","Positive per Unit")</f>
        <v>Positive per Unit</v>
      </c>
    </row>
    <row r="1001" spans="1:25" x14ac:dyDescent="0.3">
      <c r="A1001">
        <v>1086</v>
      </c>
      <c r="B1001" s="1">
        <v>45154</v>
      </c>
      <c r="C1001" t="s">
        <v>41</v>
      </c>
      <c r="D1001" t="s">
        <v>33</v>
      </c>
      <c r="E1001">
        <v>48</v>
      </c>
      <c r="F1001" t="s">
        <v>25</v>
      </c>
      <c r="G1001">
        <v>2632.58</v>
      </c>
      <c r="H1001">
        <v>2926.68</v>
      </c>
      <c r="I1001" t="s">
        <v>16</v>
      </c>
      <c r="J1001" s="2">
        <v>0.14000000000000001</v>
      </c>
      <c r="K1001" t="s">
        <v>17</v>
      </c>
      <c r="L1001" t="s">
        <v>18</v>
      </c>
      <c r="M1001" t="s">
        <v>51</v>
      </c>
      <c r="N1001">
        <f>SalesData[[#This Row],[Quantity_Sold]]*SalesData[[#This Row],[Unit_Cost]]</f>
        <v>126363.84</v>
      </c>
      <c r="O1001">
        <f>SalesData[[#This Row],[Quantity_Sold]]*SalesData[[#This Row],[Unit_Price]]</f>
        <v>140480.63999999998</v>
      </c>
      <c r="P1001">
        <f>SalesData[[#This Row],[Gross_sales]]*(1-SalesData[[#This Row],[Discount]])</f>
        <v>120813.35039999998</v>
      </c>
      <c r="Q1001" s="2">
        <f>SalesData[[#This Row],[Sales_amount]]-SalesData[[#This Row],[Total_Cost]]</f>
        <v>-5550.4896000000153</v>
      </c>
      <c r="R1001" s="2">
        <f>SalesData[[#This Row],[Profit]]/SalesData[[#This Row],[Sales_amount]]</f>
        <v>-4.5942684162163724E-2</v>
      </c>
      <c r="S1001" s="2">
        <f>SalesData[[#This Row],[Unit_Price]]-SalesData[[#This Row],[Unit_Cost]]</f>
        <v>294.09999999999991</v>
      </c>
      <c r="T1001" s="10">
        <f>SalesData[[#This Row],[Unit_Margin]]/SalesData[[#This Row],[Unit_Price]]</f>
        <v>0.10048929162053929</v>
      </c>
      <c r="U1001" s="2" t="str">
        <f>IF(SalesData[[#This Row],[Unit_Margin]]&lt;0, "Negative margin", "Positive margin")</f>
        <v>Positive margin</v>
      </c>
      <c r="V1001" s="2" t="str">
        <f>IF(SalesData[[#This Row],[Profit]]&lt;0, "Loss", "Profit")</f>
        <v>Loss</v>
      </c>
      <c r="W1001" s="2">
        <f>SalesData[[#This Row],[Unit_Price]]*(1-SalesData[[#This Row],[Discount]])</f>
        <v>2516.9447999999998</v>
      </c>
      <c r="X1001" s="2">
        <f>SalesData[[#This Row],[Effective_Unit_Price]]-SalesData[[#This Row],[Unit_Cost]]</f>
        <v>-115.63520000000017</v>
      </c>
      <c r="Y1001" s="2" t="str">
        <f>IF(SalesData[[#This Row],[Effective_Unit_Margin]]&lt;0,"Loss per Unit","Positive per Unit")</f>
        <v>Loss per Unit</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2438-34A4-4690-A3F0-5D96CBE613AF}">
  <dimension ref="A1:J6"/>
  <sheetViews>
    <sheetView workbookViewId="0">
      <selection activeCell="H14" sqref="H14"/>
    </sheetView>
  </sheetViews>
  <sheetFormatPr defaultRowHeight="14.4" x14ac:dyDescent="0.3"/>
  <cols>
    <col min="3" max="3" width="14.6640625" style="6" customWidth="1"/>
    <col min="4" max="4" width="11.5546875" style="6" customWidth="1"/>
    <col min="5" max="5" width="11.21875" style="6" customWidth="1"/>
    <col min="6" max="6" width="11.6640625" style="4" customWidth="1"/>
    <col min="7" max="7" width="16.6640625" customWidth="1"/>
    <col min="8" max="8" width="16.109375" customWidth="1"/>
    <col min="9" max="9" width="12.109375" style="6" customWidth="1"/>
    <col min="10" max="10" width="15.21875" style="3" customWidth="1"/>
  </cols>
  <sheetData>
    <row r="1" spans="1:10" x14ac:dyDescent="0.3">
      <c r="A1" t="s">
        <v>59</v>
      </c>
      <c r="B1" t="s">
        <v>58</v>
      </c>
      <c r="C1" s="6" t="s">
        <v>60</v>
      </c>
      <c r="D1" s="6" t="s">
        <v>61</v>
      </c>
      <c r="E1" s="6" t="s">
        <v>62</v>
      </c>
      <c r="F1" s="4" t="s">
        <v>63</v>
      </c>
      <c r="G1" t="s">
        <v>64</v>
      </c>
      <c r="H1" t="s">
        <v>65</v>
      </c>
      <c r="I1" s="6" t="s">
        <v>66</v>
      </c>
      <c r="J1" s="3" t="s">
        <v>67</v>
      </c>
    </row>
    <row r="2" spans="1:10" x14ac:dyDescent="0.3">
      <c r="C2" s="6">
        <f>SUM(SalesData[Sales_amount])</f>
        <v>59686173.283699915</v>
      </c>
      <c r="D2" s="6">
        <f>SUM(SalesData[Total_Cost])</f>
        <v>63842093.640000068</v>
      </c>
      <c r="E2" s="6">
        <f>SUM(SalesData[Profit])</f>
        <v>-4155920.3563000215</v>
      </c>
      <c r="F2" s="4">
        <f>E2/C2</f>
        <v>-6.9629532731913121E-2</v>
      </c>
      <c r="G2">
        <f>SUM(SalesData[Quantity_Sold])</f>
        <v>25355</v>
      </c>
      <c r="H2">
        <f>COUNTA(SalesData[Product_ID])</f>
        <v>1000</v>
      </c>
      <c r="I2" s="6">
        <f>AVERAGE(SalesData[Sales_amount])</f>
        <v>59686.173283699914</v>
      </c>
      <c r="J2" s="3">
        <f>AVERAGE(SalesData[Discount])</f>
        <v>0.15239000000000005</v>
      </c>
    </row>
    <row r="6" spans="1:10" x14ac:dyDescent="0.3">
      <c r="G6" s="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BF628-BD1E-4D0D-91F1-6D3127E19957}">
  <dimension ref="A1"/>
  <sheetViews>
    <sheetView showGridLines="0" tabSelected="1" zoomScale="23" zoomScaleNormal="23" workbookViewId="0">
      <selection activeCell="CS30" sqref="CS30"/>
    </sheetView>
  </sheetViews>
  <sheetFormatPr defaultRowHeight="14.4"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Region Analysis</vt:lpstr>
      <vt:lpstr>Sales Rep Analysis</vt:lpstr>
      <vt:lpstr>Product Category Analysis</vt:lpstr>
      <vt:lpstr>Customer type analysis</vt:lpstr>
      <vt:lpstr>Sales Channel Analysis</vt:lpstr>
      <vt:lpstr>Discount Analysis</vt:lpstr>
      <vt:lpstr>Loss profit anlaysis</vt:lpstr>
      <vt:lpstr>profit status vs discount</vt:lpstr>
      <vt:lpstr>Effective Margin Analysis</vt:lpstr>
      <vt:lpstr>Payment Method Analysis</vt:lpstr>
      <vt:lpstr>Trend</vt:lpstr>
      <vt:lpstr>sales_data_Excel work</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Aminur Sarker</dc:creator>
  <cp:lastModifiedBy>Aminur Sarker</cp:lastModifiedBy>
  <dcterms:created xsi:type="dcterms:W3CDTF">2026-08-11T12:06:59Z</dcterms:created>
  <dcterms:modified xsi:type="dcterms:W3CDTF">2026-08-11T12:09:23Z</dcterms:modified>
</cp:coreProperties>
</file>